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ITSom\Assignments\Capstone Project\part1\Ajay_Undale_2511455_part1_data_cleaning\data\"/>
    </mc:Choice>
  </mc:AlternateContent>
  <xr:revisionPtr revIDLastSave="0" documentId="13_ncr:1_{9E12DD08-7702-488B-97A1-168EA459F158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leaned_orders" sheetId="1" r:id="rId1"/>
    <sheet name="business_rules" sheetId="2" r:id="rId2"/>
  </sheets>
  <definedNames>
    <definedName name="_xlnm._FilterDatabase" localSheetId="0" hidden="1">cleaned_orders!$A$1:$AN$933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78" i="1" l="1"/>
  <c r="AM933" i="1"/>
  <c r="AM502" i="1"/>
  <c r="AM932" i="1"/>
  <c r="AM500" i="1"/>
  <c r="AM499" i="1"/>
  <c r="AM498" i="1"/>
  <c r="AM931" i="1"/>
  <c r="AM497" i="1"/>
  <c r="AM930" i="1"/>
  <c r="AM929" i="1"/>
  <c r="AM495" i="1"/>
  <c r="AM494" i="1"/>
  <c r="AM927" i="1"/>
  <c r="AM926" i="1"/>
  <c r="AM925" i="1"/>
  <c r="AM493" i="1"/>
  <c r="AM924" i="1"/>
  <c r="AM491" i="1"/>
  <c r="AM489" i="1"/>
  <c r="AM922" i="1"/>
  <c r="AM921" i="1"/>
  <c r="AM488" i="1"/>
  <c r="AM487" i="1"/>
  <c r="AM920" i="1"/>
  <c r="AM918" i="1"/>
  <c r="AM486" i="1"/>
  <c r="AM917" i="1"/>
  <c r="AM916" i="1"/>
  <c r="AM915" i="1"/>
  <c r="AM914" i="1"/>
  <c r="AM912" i="1"/>
  <c r="AM485" i="1"/>
  <c r="AM484" i="1"/>
  <c r="AM483" i="1"/>
  <c r="AM482" i="1"/>
  <c r="AM911" i="1"/>
  <c r="AM910" i="1"/>
  <c r="AM479" i="1"/>
  <c r="AM478" i="1"/>
  <c r="AM475" i="1"/>
  <c r="AM908" i="1"/>
  <c r="AM474" i="1"/>
  <c r="AM905" i="1"/>
  <c r="AM904" i="1"/>
  <c r="AM903" i="1"/>
  <c r="AM902" i="1"/>
  <c r="AM470" i="1"/>
  <c r="AM901" i="1"/>
  <c r="AM469" i="1"/>
  <c r="AM468" i="1"/>
  <c r="AM897" i="1"/>
  <c r="AM466" i="1"/>
  <c r="AM896" i="1"/>
  <c r="AM895" i="1"/>
  <c r="AM893" i="1"/>
  <c r="AM464" i="1"/>
  <c r="AM892" i="1"/>
  <c r="AM891" i="1"/>
  <c r="AM461" i="1"/>
  <c r="AM460" i="1"/>
  <c r="AM890" i="1"/>
  <c r="AM889" i="1"/>
  <c r="AM458" i="1"/>
  <c r="AM457" i="1"/>
  <c r="AM886" i="1"/>
  <c r="AM456" i="1"/>
  <c r="AM885" i="1"/>
  <c r="AM884" i="1"/>
  <c r="AM883" i="1"/>
  <c r="AM882" i="1"/>
  <c r="AM454" i="1"/>
  <c r="AM880" i="1"/>
  <c r="AM879" i="1"/>
  <c r="AM448" i="1"/>
  <c r="AM447" i="1"/>
  <c r="AM446" i="1"/>
  <c r="AM445" i="1"/>
  <c r="AM876" i="1"/>
  <c r="AM443" i="1"/>
  <c r="AM875" i="1"/>
  <c r="AM442" i="1"/>
  <c r="AM441" i="1"/>
  <c r="AM438" i="1"/>
  <c r="AM874" i="1"/>
  <c r="AM871" i="1"/>
  <c r="AM434" i="1"/>
  <c r="AM870" i="1"/>
  <c r="AM433" i="1"/>
  <c r="AM432" i="1"/>
  <c r="AM868" i="1"/>
  <c r="AM867" i="1"/>
  <c r="AM431" i="1"/>
  <c r="AM866" i="1"/>
  <c r="AM428" i="1"/>
  <c r="AM865" i="1"/>
  <c r="AM427" i="1"/>
  <c r="AM863" i="1"/>
  <c r="AM861" i="1"/>
  <c r="AM424" i="1"/>
  <c r="AM422" i="1"/>
  <c r="AM860" i="1"/>
  <c r="AM859" i="1"/>
  <c r="AM858" i="1"/>
  <c r="AM420" i="1"/>
  <c r="AM419" i="1"/>
  <c r="AM418" i="1"/>
  <c r="AM856" i="1"/>
  <c r="AM417" i="1"/>
  <c r="AM416" i="1"/>
  <c r="AM415" i="1"/>
  <c r="AM412" i="1"/>
  <c r="AM411" i="1"/>
  <c r="AM853" i="1"/>
  <c r="AM410" i="1"/>
  <c r="AM409" i="1"/>
  <c r="AM408" i="1"/>
  <c r="AM852" i="1"/>
  <c r="AM407" i="1"/>
  <c r="AM851" i="1"/>
  <c r="AM406" i="1"/>
  <c r="AM405" i="1"/>
  <c r="AM848" i="1"/>
  <c r="AM404" i="1"/>
  <c r="AM847" i="1"/>
  <c r="AM845" i="1"/>
  <c r="AM844" i="1"/>
  <c r="AM843" i="1"/>
  <c r="AM402" i="1"/>
  <c r="AM842" i="1"/>
  <c r="AM401" i="1"/>
  <c r="AM841" i="1"/>
  <c r="AM840" i="1"/>
  <c r="AM399" i="1"/>
  <c r="AM396" i="1"/>
  <c r="AM838" i="1"/>
  <c r="AM394" i="1"/>
  <c r="AM393" i="1"/>
  <c r="AM391" i="1"/>
  <c r="AM834" i="1"/>
  <c r="AM833" i="1"/>
  <c r="AM832" i="1"/>
  <c r="AM390" i="1"/>
  <c r="AM389" i="1"/>
  <c r="AM388" i="1"/>
  <c r="AM831" i="1"/>
  <c r="AM830" i="1"/>
  <c r="AM386" i="1"/>
  <c r="AM385" i="1"/>
  <c r="AM823" i="1"/>
  <c r="AM822" i="1"/>
  <c r="AM382" i="1"/>
  <c r="AM821" i="1"/>
  <c r="AM381" i="1"/>
  <c r="AM820" i="1"/>
  <c r="AM379" i="1"/>
  <c r="AM378" i="1"/>
  <c r="AM377" i="1"/>
  <c r="AM818" i="1"/>
  <c r="AM376" i="1"/>
  <c r="AM374" i="1"/>
  <c r="AM373" i="1"/>
  <c r="AM817" i="1"/>
  <c r="AM814" i="1"/>
  <c r="AM813" i="1"/>
  <c r="AM812" i="1"/>
  <c r="AM811" i="1"/>
  <c r="AM810" i="1"/>
  <c r="AM809" i="1"/>
  <c r="AM371" i="1"/>
  <c r="AM808" i="1"/>
  <c r="AM807" i="1"/>
  <c r="AM368" i="1"/>
  <c r="AM806" i="1"/>
  <c r="AM367" i="1"/>
  <c r="AM366" i="1"/>
  <c r="AM805" i="1"/>
  <c r="AM804" i="1"/>
  <c r="AM362" i="1"/>
  <c r="AM361" i="1"/>
  <c r="AM803" i="1"/>
  <c r="AM802" i="1"/>
  <c r="AM800" i="1"/>
  <c r="AM360" i="1"/>
  <c r="AM359" i="1"/>
  <c r="AM799" i="1"/>
  <c r="AM798" i="1"/>
  <c r="AM796" i="1"/>
  <c r="AM358" i="1"/>
  <c r="AM357" i="1"/>
  <c r="AM356" i="1"/>
  <c r="AM354" i="1"/>
  <c r="AM353" i="1"/>
  <c r="AM352" i="1"/>
  <c r="AM351" i="1"/>
  <c r="AM350" i="1"/>
  <c r="AM348" i="1"/>
  <c r="AM347" i="1"/>
  <c r="AM793" i="1"/>
  <c r="AM346" i="1"/>
  <c r="AM792" i="1"/>
  <c r="AM345" i="1"/>
  <c r="AM791" i="1"/>
  <c r="AM790" i="1"/>
  <c r="AM788" i="1"/>
  <c r="AM787" i="1"/>
  <c r="AM343" i="1"/>
  <c r="AM786" i="1"/>
  <c r="AM342" i="1"/>
  <c r="AM340" i="1"/>
  <c r="AM785" i="1"/>
  <c r="AM339" i="1"/>
  <c r="AM784" i="1"/>
  <c r="AM338" i="1"/>
  <c r="AM783" i="1"/>
  <c r="AM337" i="1"/>
  <c r="AM334" i="1"/>
  <c r="AM782" i="1"/>
  <c r="AM780" i="1"/>
  <c r="AM779" i="1"/>
  <c r="AM333" i="1"/>
  <c r="AM332" i="1"/>
  <c r="AM331" i="1"/>
  <c r="AM778" i="1"/>
  <c r="AM777" i="1"/>
  <c r="AM330" i="1"/>
  <c r="AM776" i="1"/>
  <c r="AM775" i="1"/>
  <c r="AM774" i="1"/>
  <c r="AM326" i="1"/>
  <c r="AM771" i="1"/>
  <c r="AM770" i="1"/>
  <c r="AM325" i="1"/>
  <c r="AM324" i="1"/>
  <c r="AM323" i="1"/>
  <c r="AM769" i="1"/>
  <c r="AM322" i="1"/>
  <c r="AM321" i="1"/>
  <c r="AM320" i="1"/>
  <c r="AM768" i="1"/>
  <c r="AM767" i="1"/>
  <c r="AM766" i="1"/>
  <c r="AM318" i="1"/>
  <c r="AM317" i="1"/>
  <c r="AM765" i="1"/>
  <c r="AM764" i="1"/>
  <c r="AM314" i="1"/>
  <c r="AM761" i="1"/>
  <c r="AM312" i="1"/>
  <c r="AM760" i="1"/>
  <c r="AM311" i="1"/>
  <c r="AM759" i="1"/>
  <c r="AM758" i="1"/>
  <c r="AM757" i="1"/>
  <c r="AM306" i="1"/>
  <c r="AM756" i="1"/>
  <c r="AM305" i="1"/>
  <c r="AM755" i="1"/>
  <c r="AM304" i="1"/>
  <c r="AM754" i="1"/>
  <c r="AM753" i="1"/>
  <c r="AM302" i="1"/>
  <c r="AM301" i="1"/>
  <c r="AM752" i="1"/>
  <c r="AM300" i="1"/>
  <c r="AM299" i="1"/>
  <c r="AM298" i="1"/>
  <c r="AM750" i="1"/>
  <c r="AM749" i="1"/>
  <c r="AM297" i="1"/>
  <c r="AM748" i="1"/>
  <c r="AM746" i="1"/>
  <c r="AM296" i="1"/>
  <c r="AM295" i="1"/>
  <c r="AM743" i="1"/>
  <c r="AM294" i="1"/>
  <c r="AM742" i="1"/>
  <c r="AM292" i="1"/>
  <c r="AM741" i="1"/>
  <c r="AM291" i="1"/>
  <c r="AM290" i="1"/>
  <c r="AM740" i="1"/>
  <c r="AM289" i="1"/>
  <c r="AM287" i="1"/>
  <c r="AM286" i="1"/>
  <c r="AM739" i="1"/>
  <c r="AM283" i="1"/>
  <c r="AM738" i="1"/>
  <c r="AM282" i="1"/>
  <c r="AM737" i="1"/>
  <c r="AM280" i="1"/>
  <c r="AM279" i="1"/>
  <c r="AM278" i="1"/>
  <c r="AM734" i="1"/>
  <c r="AM732" i="1"/>
  <c r="AM277" i="1"/>
  <c r="AM275" i="1"/>
  <c r="AM272" i="1"/>
  <c r="AM728" i="1"/>
  <c r="AM271" i="1"/>
  <c r="AM270" i="1"/>
  <c r="AM269" i="1"/>
  <c r="AM268" i="1"/>
  <c r="AM266" i="1"/>
  <c r="AM264" i="1"/>
  <c r="AM726" i="1"/>
  <c r="AM725" i="1"/>
  <c r="AM724" i="1"/>
  <c r="AM261" i="1"/>
  <c r="AM260" i="1"/>
  <c r="AM259" i="1"/>
  <c r="AM258" i="1"/>
  <c r="AM721" i="1"/>
  <c r="AM256" i="1"/>
  <c r="AM720" i="1"/>
  <c r="AM254" i="1"/>
  <c r="AM253" i="1"/>
  <c r="AM719" i="1"/>
  <c r="AM718" i="1"/>
  <c r="AM717" i="1"/>
  <c r="AM251" i="1"/>
  <c r="AM716" i="1"/>
  <c r="AM250" i="1"/>
  <c r="AM249" i="1"/>
  <c r="AM248" i="1"/>
  <c r="AM247" i="1"/>
  <c r="AM712" i="1"/>
  <c r="AM245" i="1"/>
  <c r="AM244" i="1"/>
  <c r="AM243" i="1"/>
  <c r="AM711" i="1"/>
  <c r="AM710" i="1"/>
  <c r="AM240" i="1"/>
  <c r="AM708" i="1"/>
  <c r="AM707" i="1"/>
  <c r="AM706" i="1"/>
  <c r="AM237" i="1"/>
  <c r="AM704" i="1"/>
  <c r="AM703" i="1"/>
  <c r="AM236" i="1"/>
  <c r="AM235" i="1"/>
  <c r="AM702" i="1"/>
  <c r="AM701" i="1"/>
  <c r="AM233" i="1"/>
  <c r="AM700" i="1"/>
  <c r="AM699" i="1"/>
  <c r="AM232" i="1"/>
  <c r="AM698" i="1"/>
  <c r="AM230" i="1"/>
  <c r="AM229" i="1"/>
  <c r="AM697" i="1"/>
  <c r="AM694" i="1"/>
  <c r="AM227" i="1"/>
  <c r="AM693" i="1"/>
  <c r="AM692" i="1"/>
  <c r="AM226" i="1"/>
  <c r="AM225" i="1"/>
  <c r="AM224" i="1"/>
  <c r="AM223" i="1"/>
  <c r="AM691" i="1"/>
  <c r="AM222" i="1"/>
  <c r="AM221" i="1"/>
  <c r="AM220" i="1"/>
  <c r="AM690" i="1"/>
  <c r="AM689" i="1"/>
  <c r="AM688" i="1"/>
  <c r="AM219" i="1"/>
  <c r="AM687" i="1"/>
  <c r="AM686" i="1"/>
  <c r="AM218" i="1"/>
  <c r="AM217" i="1"/>
  <c r="AM679" i="1"/>
  <c r="AM678" i="1"/>
  <c r="AM213" i="1"/>
  <c r="AM676" i="1"/>
  <c r="AM212" i="1"/>
  <c r="AM675" i="1"/>
  <c r="AM674" i="1"/>
  <c r="AM673" i="1"/>
  <c r="AM672" i="1"/>
  <c r="AM209" i="1"/>
  <c r="AM670" i="1"/>
  <c r="AM669" i="1"/>
  <c r="AM667" i="1"/>
  <c r="AM205" i="1"/>
  <c r="AM204" i="1"/>
  <c r="AM203" i="1"/>
  <c r="AM202" i="1"/>
  <c r="AM201" i="1"/>
  <c r="AM663" i="1"/>
  <c r="AM661" i="1"/>
  <c r="AM200" i="1"/>
  <c r="AM199" i="1"/>
  <c r="AM198" i="1"/>
  <c r="AM197" i="1"/>
  <c r="AM658" i="1"/>
  <c r="AM196" i="1"/>
  <c r="AM656" i="1"/>
  <c r="AM193" i="1"/>
  <c r="AM655" i="1"/>
  <c r="AM654" i="1"/>
  <c r="AM653" i="1"/>
  <c r="AM652" i="1"/>
  <c r="AM651" i="1"/>
  <c r="AM190" i="1"/>
  <c r="AM189" i="1"/>
  <c r="AM187" i="1"/>
  <c r="AM185" i="1"/>
  <c r="AM184" i="1"/>
  <c r="AM648" i="1"/>
  <c r="AM181" i="1"/>
  <c r="AM180" i="1"/>
  <c r="AM646" i="1"/>
  <c r="AM645" i="1"/>
  <c r="AM644" i="1"/>
  <c r="AM178" i="1"/>
  <c r="AM643" i="1"/>
  <c r="AM642" i="1"/>
  <c r="AM176" i="1"/>
  <c r="AM175" i="1"/>
  <c r="AM174" i="1"/>
  <c r="AM640" i="1"/>
  <c r="AM639" i="1"/>
  <c r="AM638" i="1"/>
  <c r="AM637" i="1"/>
  <c r="AM172" i="1"/>
  <c r="AM636" i="1"/>
  <c r="AM635" i="1"/>
  <c r="AM171" i="1"/>
  <c r="AM170" i="1"/>
  <c r="AM634" i="1"/>
  <c r="AM168" i="1"/>
  <c r="AM167" i="1"/>
  <c r="AM164" i="1"/>
  <c r="AM631" i="1"/>
  <c r="AM161" i="1"/>
  <c r="AM160" i="1"/>
  <c r="AM629" i="1"/>
  <c r="AM158" i="1"/>
  <c r="AM157" i="1"/>
  <c r="AM156" i="1"/>
  <c r="AM628" i="1"/>
  <c r="AM627" i="1"/>
  <c r="AM626" i="1"/>
  <c r="AM625" i="1"/>
  <c r="AM155" i="1"/>
  <c r="AM154" i="1"/>
  <c r="AM624" i="1"/>
  <c r="AM623" i="1"/>
  <c r="AM622" i="1"/>
  <c r="AM621" i="1"/>
  <c r="AM153" i="1"/>
  <c r="AM152" i="1"/>
  <c r="AM620" i="1"/>
  <c r="AM619" i="1"/>
  <c r="AM618" i="1"/>
  <c r="AM150" i="1"/>
  <c r="AM616" i="1"/>
  <c r="AM148" i="1"/>
  <c r="AM615" i="1"/>
  <c r="AM147" i="1"/>
  <c r="AM146" i="1"/>
  <c r="AM145" i="1"/>
  <c r="AM143" i="1"/>
  <c r="AM613" i="1"/>
  <c r="AM612" i="1"/>
  <c r="AM139" i="1"/>
  <c r="AM138" i="1"/>
  <c r="AM137" i="1"/>
  <c r="AM136" i="1"/>
  <c r="AM611" i="1"/>
  <c r="AM610" i="1"/>
  <c r="AM131" i="1"/>
  <c r="AM130" i="1"/>
  <c r="AM607" i="1"/>
  <c r="AM606" i="1"/>
  <c r="AM605" i="1"/>
  <c r="AM604" i="1"/>
  <c r="AM129" i="1"/>
  <c r="AM602" i="1"/>
  <c r="AM601" i="1"/>
  <c r="AM127" i="1"/>
  <c r="AM124" i="1"/>
  <c r="AM123" i="1"/>
  <c r="AM122" i="1"/>
  <c r="AM600" i="1"/>
  <c r="AM599" i="1"/>
  <c r="AM121" i="1"/>
  <c r="AM598" i="1"/>
  <c r="AM120" i="1"/>
  <c r="AM595" i="1"/>
  <c r="AM118" i="1"/>
  <c r="AM592" i="1"/>
  <c r="AM591" i="1"/>
  <c r="AM590" i="1"/>
  <c r="AM115" i="1"/>
  <c r="AM586" i="1"/>
  <c r="AM113" i="1"/>
  <c r="AM111" i="1"/>
  <c r="AM110" i="1"/>
  <c r="AM584" i="1"/>
  <c r="AM108" i="1"/>
  <c r="AM583" i="1"/>
  <c r="AM105" i="1"/>
  <c r="AM582" i="1"/>
  <c r="AM104" i="1"/>
  <c r="AM581" i="1"/>
  <c r="AM580" i="1"/>
  <c r="AM578" i="1"/>
  <c r="AM577" i="1"/>
  <c r="AM576" i="1"/>
  <c r="AM575" i="1"/>
  <c r="AM573" i="1"/>
  <c r="AM569" i="1"/>
  <c r="AM101" i="1"/>
  <c r="AM567" i="1"/>
  <c r="AM566" i="1"/>
  <c r="AM98" i="1"/>
  <c r="AM564" i="1"/>
  <c r="AM563" i="1"/>
  <c r="AM93" i="1"/>
  <c r="AM92" i="1"/>
  <c r="AM89" i="1"/>
  <c r="AM562" i="1"/>
  <c r="AM561" i="1"/>
  <c r="AM560" i="1"/>
  <c r="AM559" i="1"/>
  <c r="AM85" i="1"/>
  <c r="AM84" i="1"/>
  <c r="AM557" i="1"/>
  <c r="AM83" i="1"/>
  <c r="AM81" i="1"/>
  <c r="AM553" i="1"/>
  <c r="AM76" i="1"/>
  <c r="AM552" i="1"/>
  <c r="AM75" i="1"/>
  <c r="AM74" i="1"/>
  <c r="AM73" i="1"/>
  <c r="AM71" i="1"/>
  <c r="AM70" i="1"/>
  <c r="AM69" i="1"/>
  <c r="AM550" i="1"/>
  <c r="AM67" i="1"/>
  <c r="AM66" i="1"/>
  <c r="AM65" i="1"/>
  <c r="AM547" i="1"/>
  <c r="AM546" i="1"/>
  <c r="AM545" i="1"/>
  <c r="AM544" i="1"/>
  <c r="AM543" i="1"/>
  <c r="AM60" i="1"/>
  <c r="AM542" i="1"/>
  <c r="AM59" i="1"/>
  <c r="AM541" i="1"/>
  <c r="AM540" i="1"/>
  <c r="AM538" i="1"/>
  <c r="AM57" i="1"/>
  <c r="AM56" i="1"/>
  <c r="AM55" i="1"/>
  <c r="AM54" i="1"/>
  <c r="AM53" i="1"/>
  <c r="AM52" i="1"/>
  <c r="AM50" i="1"/>
  <c r="AM537" i="1"/>
  <c r="AM49" i="1"/>
  <c r="AM536" i="1"/>
  <c r="AM534" i="1"/>
  <c r="AM48" i="1"/>
  <c r="AM532" i="1"/>
  <c r="AM530" i="1"/>
  <c r="AM529" i="1"/>
  <c r="AM46" i="1"/>
  <c r="AM45" i="1"/>
  <c r="AM528" i="1"/>
  <c r="AM527" i="1"/>
  <c r="AM44" i="1"/>
  <c r="AM43" i="1"/>
  <c r="AM42" i="1"/>
  <c r="AM41" i="1"/>
  <c r="AM40" i="1"/>
  <c r="AM39" i="1"/>
  <c r="AM36" i="1"/>
  <c r="AM526" i="1"/>
  <c r="AM525" i="1"/>
  <c r="AM524" i="1"/>
  <c r="AM523" i="1"/>
  <c r="AM517" i="1"/>
  <c r="AM19" i="1"/>
  <c r="AM516" i="1"/>
  <c r="AM18" i="1"/>
  <c r="AM515" i="1"/>
  <c r="AM16" i="1"/>
  <c r="AM513" i="1"/>
  <c r="AM510" i="1"/>
  <c r="AM13" i="1"/>
  <c r="AM12" i="1"/>
  <c r="AM11" i="1"/>
  <c r="AM10" i="1"/>
  <c r="AM509" i="1"/>
  <c r="AM9" i="1"/>
  <c r="AM508" i="1"/>
  <c r="AM507" i="1"/>
  <c r="AM7" i="1"/>
  <c r="AM504" i="1"/>
  <c r="AM503" i="1"/>
  <c r="AM3" i="1"/>
  <c r="AM2" i="1"/>
  <c r="AE3" i="1"/>
  <c r="AE4" i="1"/>
  <c r="AE5" i="1"/>
  <c r="AE503" i="1"/>
  <c r="AE6" i="1"/>
  <c r="AE504" i="1"/>
  <c r="AE506" i="1"/>
  <c r="AE7" i="1"/>
  <c r="AE507" i="1"/>
  <c r="AE508" i="1"/>
  <c r="AE8" i="1"/>
  <c r="AE9" i="1"/>
  <c r="AE509" i="1"/>
  <c r="AE10" i="1"/>
  <c r="AE11" i="1"/>
  <c r="AE12" i="1"/>
  <c r="AE13" i="1"/>
  <c r="AE510" i="1"/>
  <c r="AE14" i="1"/>
  <c r="AE511" i="1"/>
  <c r="AE512" i="1"/>
  <c r="AE513" i="1"/>
  <c r="AE514" i="1"/>
  <c r="AE15" i="1"/>
  <c r="AF15" i="1" s="1"/>
  <c r="AG15" i="1" s="1"/>
  <c r="AE16" i="1"/>
  <c r="AE17" i="1"/>
  <c r="AE515" i="1"/>
  <c r="AE18" i="1"/>
  <c r="AE516" i="1"/>
  <c r="AE19" i="1"/>
  <c r="AE517" i="1"/>
  <c r="AF517" i="1" s="1"/>
  <c r="AG517" i="1" s="1"/>
  <c r="AE20" i="1"/>
  <c r="AF20" i="1" s="1"/>
  <c r="AG20" i="1" s="1"/>
  <c r="AE21" i="1"/>
  <c r="AE518" i="1"/>
  <c r="AE22" i="1"/>
  <c r="AE23" i="1"/>
  <c r="AE519" i="1"/>
  <c r="AE24" i="1"/>
  <c r="AE25" i="1"/>
  <c r="AE26" i="1"/>
  <c r="AE27" i="1"/>
  <c r="AE520" i="1"/>
  <c r="AE28" i="1"/>
  <c r="AE29" i="1"/>
  <c r="AE30" i="1"/>
  <c r="AE31" i="1"/>
  <c r="AE32" i="1"/>
  <c r="AE521" i="1"/>
  <c r="AE33" i="1"/>
  <c r="AE522" i="1"/>
  <c r="AE34" i="1"/>
  <c r="AE35" i="1"/>
  <c r="AE523" i="1"/>
  <c r="AE524" i="1"/>
  <c r="AE525" i="1"/>
  <c r="AE526" i="1"/>
  <c r="AF526" i="1" s="1"/>
  <c r="AG526" i="1" s="1"/>
  <c r="AE36" i="1"/>
  <c r="AE37" i="1"/>
  <c r="AE38" i="1"/>
  <c r="AE39" i="1"/>
  <c r="AE40" i="1"/>
  <c r="AE41" i="1"/>
  <c r="AE42" i="1"/>
  <c r="AF42" i="1" s="1"/>
  <c r="AG42" i="1" s="1"/>
  <c r="AE43" i="1"/>
  <c r="AF43" i="1" s="1"/>
  <c r="AG43" i="1" s="1"/>
  <c r="AE44" i="1"/>
  <c r="AE527" i="1"/>
  <c r="AE528" i="1"/>
  <c r="AE45" i="1"/>
  <c r="AE46" i="1"/>
  <c r="AE529" i="1"/>
  <c r="AE530" i="1"/>
  <c r="AE47" i="1"/>
  <c r="AE531" i="1"/>
  <c r="AE532" i="1"/>
  <c r="AE533" i="1"/>
  <c r="AE48" i="1"/>
  <c r="AE534" i="1"/>
  <c r="AE535" i="1"/>
  <c r="AE536" i="1"/>
  <c r="AE49" i="1"/>
  <c r="AE537" i="1"/>
  <c r="AE50" i="1"/>
  <c r="AE51" i="1"/>
  <c r="AE52" i="1"/>
  <c r="AE53" i="1"/>
  <c r="AE54" i="1"/>
  <c r="AE55" i="1"/>
  <c r="AE56" i="1"/>
  <c r="AF56" i="1" s="1"/>
  <c r="AG56" i="1" s="1"/>
  <c r="AE57" i="1"/>
  <c r="AE538" i="1"/>
  <c r="AE540" i="1"/>
  <c r="AE541" i="1"/>
  <c r="AE58" i="1"/>
  <c r="AE59" i="1"/>
  <c r="AE542" i="1"/>
  <c r="AF542" i="1" s="1"/>
  <c r="AG542" i="1" s="1"/>
  <c r="AE60" i="1"/>
  <c r="AF60" i="1" s="1"/>
  <c r="AG60" i="1" s="1"/>
  <c r="AE543" i="1"/>
  <c r="AE61" i="1"/>
  <c r="AE544" i="1"/>
  <c r="AE545" i="1"/>
  <c r="AE62" i="1"/>
  <c r="AE546" i="1"/>
  <c r="AE547" i="1"/>
  <c r="AE548" i="1"/>
  <c r="AE63" i="1"/>
  <c r="AE64" i="1"/>
  <c r="AE65" i="1"/>
  <c r="AE66" i="1"/>
  <c r="AE549" i="1"/>
  <c r="AE67" i="1"/>
  <c r="AE550" i="1"/>
  <c r="AE68" i="1"/>
  <c r="AE69" i="1"/>
  <c r="AE70" i="1"/>
  <c r="AE71" i="1"/>
  <c r="AE551" i="1"/>
  <c r="AE72" i="1"/>
  <c r="AE73" i="1"/>
  <c r="AE74" i="1"/>
  <c r="AE75" i="1"/>
  <c r="AF75" i="1" s="1"/>
  <c r="AG75" i="1" s="1"/>
  <c r="AE552" i="1"/>
  <c r="AE76" i="1"/>
  <c r="AE77" i="1"/>
  <c r="AE80" i="1"/>
  <c r="AE553" i="1"/>
  <c r="AE554" i="1"/>
  <c r="AE555" i="1"/>
  <c r="AF555" i="1" s="1"/>
  <c r="AG555" i="1" s="1"/>
  <c r="AE81" i="1"/>
  <c r="AF81" i="1" s="1"/>
  <c r="AG81" i="1" s="1"/>
  <c r="AE82" i="1"/>
  <c r="AE83" i="1"/>
  <c r="AE557" i="1"/>
  <c r="AE84" i="1"/>
  <c r="AE85" i="1"/>
  <c r="AE558" i="1"/>
  <c r="AE559" i="1"/>
  <c r="AE560" i="1"/>
  <c r="AE561" i="1"/>
  <c r="AE87" i="1"/>
  <c r="AE562" i="1"/>
  <c r="AE88" i="1"/>
  <c r="AE89" i="1"/>
  <c r="AE90" i="1"/>
  <c r="AE92" i="1"/>
  <c r="AE93" i="1"/>
  <c r="AE563" i="1"/>
  <c r="AE564" i="1"/>
  <c r="AE94" i="1"/>
  <c r="AE565" i="1"/>
  <c r="AE95" i="1"/>
  <c r="AE96" i="1"/>
  <c r="AE97" i="1"/>
  <c r="AE98" i="1"/>
  <c r="AF98" i="1" s="1"/>
  <c r="AG98" i="1" s="1"/>
  <c r="AE566" i="1"/>
  <c r="AE99" i="1"/>
  <c r="AE567" i="1"/>
  <c r="AE568" i="1"/>
  <c r="AE100" i="1"/>
  <c r="AE101" i="1"/>
  <c r="AE569" i="1"/>
  <c r="AF569" i="1" s="1"/>
  <c r="AG569" i="1" s="1"/>
  <c r="AE570" i="1"/>
  <c r="AF570" i="1" s="1"/>
  <c r="AG570" i="1" s="1"/>
  <c r="AE571" i="1"/>
  <c r="AE102" i="1"/>
  <c r="AE572" i="1"/>
  <c r="AE573" i="1"/>
  <c r="AE103" i="1"/>
  <c r="AE574" i="1"/>
  <c r="AE575" i="1"/>
  <c r="AE576" i="1"/>
  <c r="AE577" i="1"/>
  <c r="AE578" i="1"/>
  <c r="AE580" i="1"/>
  <c r="AE581" i="1"/>
  <c r="AE104" i="1"/>
  <c r="AE582" i="1"/>
  <c r="AE105" i="1"/>
  <c r="AE583" i="1"/>
  <c r="AE106" i="1"/>
  <c r="AE107" i="1"/>
  <c r="AE108" i="1"/>
  <c r="AE109" i="1"/>
  <c r="AE584" i="1"/>
  <c r="AE110" i="1"/>
  <c r="AE585" i="1"/>
  <c r="AE111" i="1"/>
  <c r="AF111" i="1" s="1"/>
  <c r="AG111" i="1" s="1"/>
  <c r="AE112" i="1"/>
  <c r="AE113" i="1"/>
  <c r="AE586" i="1"/>
  <c r="AE587" i="1"/>
  <c r="AE588" i="1"/>
  <c r="AE589" i="1"/>
  <c r="AE114" i="1"/>
  <c r="AF114" i="1" s="1"/>
  <c r="AG114" i="1" s="1"/>
  <c r="AE115" i="1"/>
  <c r="AF115" i="1" s="1"/>
  <c r="AG115" i="1" s="1"/>
  <c r="AE116" i="1"/>
  <c r="AE590" i="1"/>
  <c r="AE591" i="1"/>
  <c r="AE117" i="1"/>
  <c r="AE592" i="1"/>
  <c r="AE118" i="1"/>
  <c r="AE119" i="1"/>
  <c r="AE593" i="1"/>
  <c r="AE594" i="1"/>
  <c r="AE595" i="1"/>
  <c r="AE120" i="1"/>
  <c r="AE596" i="1"/>
  <c r="AE597" i="1"/>
  <c r="AE598" i="1"/>
  <c r="AE121" i="1"/>
  <c r="AE599" i="1"/>
  <c r="AE600" i="1"/>
  <c r="AE122" i="1"/>
  <c r="AE123" i="1"/>
  <c r="AE124" i="1"/>
  <c r="AE125" i="1"/>
  <c r="AE126" i="1"/>
  <c r="AE127" i="1"/>
  <c r="AE601" i="1"/>
  <c r="AF601" i="1" s="1"/>
  <c r="AG601" i="1" s="1"/>
  <c r="AE602" i="1"/>
  <c r="AE603" i="1"/>
  <c r="AE128" i="1"/>
  <c r="AE129" i="1"/>
  <c r="AE604" i="1"/>
  <c r="AE605" i="1"/>
  <c r="AE606" i="1"/>
  <c r="AF606" i="1" s="1"/>
  <c r="AG606" i="1" s="1"/>
  <c r="AE607" i="1"/>
  <c r="AF607" i="1" s="1"/>
  <c r="AG607" i="1" s="1"/>
  <c r="AE130" i="1"/>
  <c r="AE609" i="1"/>
  <c r="AE131" i="1"/>
  <c r="AE132" i="1"/>
  <c r="AE610" i="1"/>
  <c r="AE133" i="1"/>
  <c r="AE134" i="1"/>
  <c r="AE611" i="1"/>
  <c r="AE135" i="1"/>
  <c r="AE136" i="1"/>
  <c r="AE137" i="1"/>
  <c r="AE138" i="1"/>
  <c r="AE139" i="1"/>
  <c r="AE140" i="1"/>
  <c r="AE141" i="1"/>
  <c r="AE142" i="1"/>
  <c r="AE612" i="1"/>
  <c r="AE613" i="1"/>
  <c r="AE614" i="1"/>
  <c r="AE143" i="1"/>
  <c r="AE144" i="1"/>
  <c r="AE145" i="1"/>
  <c r="AE146" i="1"/>
  <c r="AF146" i="1" s="1"/>
  <c r="AG146" i="1" s="1"/>
  <c r="AE147" i="1"/>
  <c r="AF147" i="1" s="1"/>
  <c r="AG147" i="1" s="1"/>
  <c r="AE615" i="1"/>
  <c r="AE148" i="1"/>
  <c r="AE616" i="1"/>
  <c r="AE617" i="1"/>
  <c r="AE150" i="1"/>
  <c r="AE618" i="1"/>
  <c r="AF618" i="1" s="1"/>
  <c r="AG618" i="1" s="1"/>
  <c r="AE619" i="1"/>
  <c r="AE151" i="1"/>
  <c r="AE620" i="1"/>
  <c r="AE152" i="1"/>
  <c r="AE153" i="1"/>
  <c r="AE621" i="1"/>
  <c r="AE622" i="1"/>
  <c r="AE623" i="1"/>
  <c r="AE624" i="1"/>
  <c r="AE154" i="1"/>
  <c r="AE155" i="1"/>
  <c r="AE625" i="1"/>
  <c r="AE626" i="1"/>
  <c r="AE627" i="1"/>
  <c r="AE628" i="1"/>
  <c r="AE156" i="1"/>
  <c r="AF156" i="1" s="1"/>
  <c r="AG156" i="1" s="1"/>
  <c r="AE157" i="1"/>
  <c r="AF157" i="1" s="1"/>
  <c r="AG157" i="1" s="1"/>
  <c r="AE158" i="1"/>
  <c r="AF158" i="1" s="1"/>
  <c r="AG158" i="1" s="1"/>
  <c r="AE629" i="1"/>
  <c r="AE160" i="1"/>
  <c r="AE161" i="1"/>
  <c r="AE162" i="1"/>
  <c r="AE630" i="1"/>
  <c r="AE631" i="1"/>
  <c r="AE164" i="1"/>
  <c r="AE165" i="1"/>
  <c r="AE632" i="1"/>
  <c r="AE167" i="1"/>
  <c r="AE633" i="1"/>
  <c r="AE168" i="1"/>
  <c r="AE634" i="1"/>
  <c r="AE169" i="1"/>
  <c r="AE170" i="1"/>
  <c r="AE171" i="1"/>
  <c r="AF171" i="1" s="1"/>
  <c r="AG171" i="1" s="1"/>
  <c r="AE635" i="1"/>
  <c r="AE636" i="1"/>
  <c r="AE172" i="1"/>
  <c r="AE637" i="1"/>
  <c r="AE173" i="1"/>
  <c r="AE638" i="1"/>
  <c r="AF638" i="1" s="1"/>
  <c r="AG638" i="1" s="1"/>
  <c r="AE639" i="1"/>
  <c r="AF639" i="1" s="1"/>
  <c r="AG639" i="1" s="1"/>
  <c r="AE640" i="1"/>
  <c r="AE174" i="1"/>
  <c r="AE641" i="1"/>
  <c r="AE175" i="1"/>
  <c r="AE176" i="1"/>
  <c r="AE642" i="1"/>
  <c r="AE643" i="1"/>
  <c r="AE177" i="1"/>
  <c r="AE178" i="1"/>
  <c r="AE179" i="1"/>
  <c r="AE644" i="1"/>
  <c r="AE645" i="1"/>
  <c r="AE646" i="1"/>
  <c r="AE180" i="1"/>
  <c r="AE181" i="1"/>
  <c r="AE182" i="1"/>
  <c r="AF182" i="1" s="1"/>
  <c r="AG182" i="1" s="1"/>
  <c r="AE183" i="1"/>
  <c r="AF183" i="1" s="1"/>
  <c r="AG183" i="1" s="1"/>
  <c r="AE647" i="1"/>
  <c r="AE648" i="1"/>
  <c r="AE184" i="1"/>
  <c r="AE185" i="1"/>
  <c r="AE650" i="1"/>
  <c r="AE186" i="1"/>
  <c r="AF186" i="1" s="1"/>
  <c r="AG186" i="1" s="1"/>
  <c r="AE187" i="1"/>
  <c r="AE188" i="1"/>
  <c r="AE189" i="1"/>
  <c r="AE190" i="1"/>
  <c r="AE191" i="1"/>
  <c r="AE651" i="1"/>
  <c r="AE652" i="1"/>
  <c r="AE653" i="1"/>
  <c r="AE192" i="1"/>
  <c r="AE654" i="1"/>
  <c r="AE655" i="1"/>
  <c r="AE193" i="1"/>
  <c r="AE194" i="1"/>
  <c r="AE656" i="1"/>
  <c r="AE657" i="1"/>
  <c r="AE196" i="1"/>
  <c r="AF196" i="1" s="1"/>
  <c r="AG196" i="1" s="1"/>
  <c r="AE658" i="1"/>
  <c r="AF658" i="1" s="1"/>
  <c r="AG658" i="1" s="1"/>
  <c r="AE197" i="1"/>
  <c r="AF197" i="1" s="1"/>
  <c r="AG197" i="1" s="1"/>
  <c r="AE198" i="1"/>
  <c r="AE199" i="1"/>
  <c r="AE660" i="1"/>
  <c r="AE200" i="1"/>
  <c r="AE661" i="1"/>
  <c r="AE662" i="1"/>
  <c r="AE663" i="1"/>
  <c r="AE201" i="1"/>
  <c r="AE202" i="1"/>
  <c r="AE664" i="1"/>
  <c r="AE203" i="1"/>
  <c r="AE204" i="1"/>
  <c r="AE665" i="1"/>
  <c r="AE205" i="1"/>
  <c r="AE666" i="1"/>
  <c r="AE667" i="1"/>
  <c r="AF667" i="1" s="1"/>
  <c r="AG667" i="1" s="1"/>
  <c r="AE668" i="1"/>
  <c r="AE206" i="1"/>
  <c r="AE207" i="1"/>
  <c r="AE669" i="1"/>
  <c r="AE670" i="1"/>
  <c r="AE671" i="1"/>
  <c r="AF671" i="1" s="1"/>
  <c r="AG671" i="1" s="1"/>
  <c r="AE208" i="1"/>
  <c r="AF208" i="1" s="1"/>
  <c r="AG208" i="1" s="1"/>
  <c r="AE209" i="1"/>
  <c r="AE672" i="1"/>
  <c r="AE210" i="1"/>
  <c r="AE673" i="1"/>
  <c r="AE674" i="1"/>
  <c r="AE211" i="1"/>
  <c r="AE675" i="1"/>
  <c r="AE212" i="1"/>
  <c r="AE676" i="1"/>
  <c r="AE677" i="1"/>
  <c r="AE213" i="1"/>
  <c r="AE214" i="1"/>
  <c r="AE678" i="1"/>
  <c r="AE679" i="1"/>
  <c r="AE681" i="1"/>
  <c r="AE215" i="1"/>
  <c r="AF215" i="1" s="1"/>
  <c r="AG215" i="1" s="1"/>
  <c r="AE216" i="1"/>
  <c r="AF216" i="1" s="1"/>
  <c r="AG216" i="1" s="1"/>
  <c r="AE682" i="1"/>
  <c r="AE684" i="1"/>
  <c r="AE217" i="1"/>
  <c r="AE218" i="1"/>
  <c r="AE685" i="1"/>
  <c r="AE686" i="1"/>
  <c r="AF686" i="1" s="1"/>
  <c r="AG686" i="1" s="1"/>
  <c r="AE687" i="1"/>
  <c r="AE219" i="1"/>
  <c r="AE688" i="1"/>
  <c r="AE689" i="1"/>
  <c r="AE690" i="1"/>
  <c r="AE220" i="1"/>
  <c r="AE221" i="1"/>
  <c r="AE222" i="1"/>
  <c r="AE691" i="1"/>
  <c r="AE223" i="1"/>
  <c r="AE224" i="1"/>
  <c r="AE225" i="1"/>
  <c r="AE226" i="1"/>
  <c r="AE692" i="1"/>
  <c r="AE693" i="1"/>
  <c r="AE227" i="1"/>
  <c r="AF227" i="1" s="1"/>
  <c r="AG227" i="1" s="1"/>
  <c r="AE694" i="1"/>
  <c r="AF694" i="1" s="1"/>
  <c r="AG694" i="1" s="1"/>
  <c r="AE696" i="1"/>
  <c r="AF696" i="1" s="1"/>
  <c r="AG696" i="1" s="1"/>
  <c r="AE697" i="1"/>
  <c r="AE228" i="1"/>
  <c r="AE229" i="1"/>
  <c r="AE230" i="1"/>
  <c r="AE231" i="1"/>
  <c r="AE698" i="1"/>
  <c r="AE232" i="1"/>
  <c r="AE699" i="1"/>
  <c r="AE700" i="1"/>
  <c r="AE233" i="1"/>
  <c r="AE701" i="1"/>
  <c r="AE234" i="1"/>
  <c r="AE702" i="1"/>
  <c r="AE235" i="1"/>
  <c r="AE236" i="1"/>
  <c r="AE703" i="1"/>
  <c r="AF703" i="1" s="1"/>
  <c r="AG703" i="1" s="1"/>
  <c r="AE704" i="1"/>
  <c r="AE237" i="1"/>
  <c r="AE705" i="1"/>
  <c r="AE706" i="1"/>
  <c r="AE707" i="1"/>
  <c r="AE708" i="1"/>
  <c r="AF708" i="1" s="1"/>
  <c r="AG708" i="1" s="1"/>
  <c r="AE238" i="1"/>
  <c r="AF238" i="1" s="1"/>
  <c r="AG238" i="1" s="1"/>
  <c r="AE240" i="1"/>
  <c r="AE241" i="1"/>
  <c r="AE242" i="1"/>
  <c r="AE709" i="1"/>
  <c r="AE710" i="1"/>
  <c r="AE711" i="1"/>
  <c r="AE243" i="1"/>
  <c r="AE244" i="1"/>
  <c r="AE245" i="1"/>
  <c r="AE246" i="1"/>
  <c r="AE712" i="1"/>
  <c r="AE713" i="1"/>
  <c r="AE247" i="1"/>
  <c r="AE248" i="1"/>
  <c r="AE714" i="1"/>
  <c r="AE715" i="1"/>
  <c r="AF715" i="1" s="1"/>
  <c r="AG715" i="1" s="1"/>
  <c r="AE249" i="1"/>
  <c r="AF249" i="1" s="1"/>
  <c r="AG249" i="1" s="1"/>
  <c r="AE250" i="1"/>
  <c r="AE716" i="1"/>
  <c r="AE251" i="1"/>
  <c r="AE717" i="1"/>
  <c r="AE252" i="1"/>
  <c r="AE718" i="1"/>
  <c r="AF718" i="1" s="1"/>
  <c r="AG718" i="1" s="1"/>
  <c r="AE719" i="1"/>
  <c r="AE253" i="1"/>
  <c r="AE254" i="1"/>
  <c r="AE720" i="1"/>
  <c r="AE255" i="1"/>
  <c r="AE256" i="1"/>
  <c r="AE721" i="1"/>
  <c r="AE722" i="1"/>
  <c r="AE257" i="1"/>
  <c r="AE258" i="1"/>
  <c r="AE259" i="1"/>
  <c r="AE260" i="1"/>
  <c r="AE261" i="1"/>
  <c r="AE723" i="1"/>
  <c r="AE724" i="1"/>
  <c r="AE262" i="1"/>
  <c r="AF262" i="1" s="1"/>
  <c r="AG262" i="1" s="1"/>
  <c r="AE725" i="1"/>
  <c r="AF725" i="1" s="1"/>
  <c r="AG725" i="1" s="1"/>
  <c r="AE726" i="1"/>
  <c r="AF726" i="1" s="1"/>
  <c r="AG726" i="1" s="1"/>
  <c r="AE263" i="1"/>
  <c r="AE264" i="1"/>
  <c r="AE265" i="1"/>
  <c r="AE727" i="1"/>
  <c r="AE266" i="1"/>
  <c r="AE267" i="1"/>
  <c r="AE268" i="1"/>
  <c r="AE269" i="1"/>
  <c r="AE270" i="1"/>
  <c r="AE271" i="1"/>
  <c r="AE728" i="1"/>
  <c r="AE272" i="1"/>
  <c r="AE729" i="1"/>
  <c r="AE273" i="1"/>
  <c r="AE274" i="1"/>
  <c r="AE730" i="1"/>
  <c r="AF730" i="1" s="1"/>
  <c r="AG730" i="1" s="1"/>
  <c r="AE731" i="1"/>
  <c r="AE275" i="1"/>
  <c r="AE276" i="1"/>
  <c r="AE277" i="1"/>
  <c r="AE732" i="1"/>
  <c r="AE733" i="1"/>
  <c r="AF733" i="1" s="1"/>
  <c r="AG733" i="1" s="1"/>
  <c r="AE734" i="1"/>
  <c r="AF734" i="1" s="1"/>
  <c r="AG734" i="1" s="1"/>
  <c r="AE278" i="1"/>
  <c r="AE279" i="1"/>
  <c r="AE280" i="1"/>
  <c r="AE735" i="1"/>
  <c r="AE736" i="1"/>
  <c r="AE737" i="1"/>
  <c r="AE281" i="1"/>
  <c r="AE282" i="1"/>
  <c r="AE738" i="1"/>
  <c r="AE283" i="1"/>
  <c r="AF283" i="1" s="1"/>
  <c r="AG283" i="1" s="1"/>
  <c r="AE739" i="1"/>
  <c r="AF739" i="1" s="1"/>
  <c r="AG739" i="1" s="1"/>
  <c r="AE284" i="1"/>
  <c r="AE285" i="1"/>
  <c r="AE286" i="1"/>
  <c r="AE287" i="1"/>
  <c r="AF287" i="1" s="1"/>
  <c r="AG287" i="1" s="1"/>
  <c r="AE289" i="1"/>
  <c r="AE740" i="1"/>
  <c r="AE290" i="1"/>
  <c r="AE291" i="1"/>
  <c r="AE741" i="1"/>
  <c r="AE292" i="1"/>
  <c r="AE742" i="1"/>
  <c r="AE293" i="1"/>
  <c r="AE294" i="1"/>
  <c r="AF294" i="1" s="1"/>
  <c r="AG294" i="1" s="1"/>
  <c r="AE743" i="1"/>
  <c r="AF743" i="1" s="1"/>
  <c r="AG743" i="1" s="1"/>
  <c r="AE744" i="1"/>
  <c r="AF744" i="1" s="1"/>
  <c r="AG744" i="1" s="1"/>
  <c r="AE295" i="1"/>
  <c r="AE745" i="1"/>
  <c r="AE296" i="1"/>
  <c r="AE746" i="1"/>
  <c r="AE747" i="1"/>
  <c r="AE748" i="1"/>
  <c r="AE297" i="1"/>
  <c r="AE749" i="1"/>
  <c r="AE750" i="1"/>
  <c r="AF750" i="1" s="1"/>
  <c r="AG750" i="1" s="1"/>
  <c r="AE298" i="1"/>
  <c r="AE299" i="1"/>
  <c r="AE300" i="1"/>
  <c r="AE751" i="1"/>
  <c r="AF751" i="1" s="1"/>
  <c r="AG751" i="1" s="1"/>
  <c r="AE752" i="1"/>
  <c r="AF752" i="1" s="1"/>
  <c r="AG752" i="1" s="1"/>
  <c r="AE301" i="1"/>
  <c r="AE302" i="1"/>
  <c r="AE753" i="1"/>
  <c r="AE303" i="1"/>
  <c r="AE754" i="1"/>
  <c r="AE304" i="1"/>
  <c r="AE755" i="1"/>
  <c r="AE305" i="1"/>
  <c r="AE756" i="1"/>
  <c r="AF756" i="1" s="1"/>
  <c r="AG756" i="1" s="1"/>
  <c r="AE306" i="1"/>
  <c r="AF306" i="1" s="1"/>
  <c r="AG306" i="1" s="1"/>
  <c r="AE307" i="1"/>
  <c r="AF307" i="1" s="1"/>
  <c r="AG307" i="1" s="1"/>
  <c r="AE757" i="1"/>
  <c r="AE308" i="1"/>
  <c r="AE758" i="1"/>
  <c r="AE309" i="1"/>
  <c r="AE310" i="1"/>
  <c r="AE759" i="1"/>
  <c r="AE311" i="1"/>
  <c r="AE760" i="1"/>
  <c r="AE312" i="1"/>
  <c r="AE313" i="1"/>
  <c r="AE761" i="1"/>
  <c r="AF761" i="1" s="1"/>
  <c r="AG761" i="1" s="1"/>
  <c r="AE314" i="1"/>
  <c r="AF314" i="1" s="1"/>
  <c r="AG314" i="1" s="1"/>
  <c r="AE315" i="1"/>
  <c r="AF315" i="1" s="1"/>
  <c r="AG315" i="1" s="1"/>
  <c r="AE763" i="1"/>
  <c r="AE764" i="1"/>
  <c r="AE316" i="1"/>
  <c r="AE765" i="1"/>
  <c r="AE317" i="1"/>
  <c r="AE318" i="1"/>
  <c r="AE766" i="1"/>
  <c r="AE767" i="1"/>
  <c r="AF767" i="1" s="1"/>
  <c r="AG767" i="1" s="1"/>
  <c r="AE319" i="1"/>
  <c r="AF319" i="1" s="1"/>
  <c r="AG319" i="1" s="1"/>
  <c r="AE768" i="1"/>
  <c r="AF768" i="1" s="1"/>
  <c r="AG768" i="1" s="1"/>
  <c r="AE320" i="1"/>
  <c r="AE321" i="1"/>
  <c r="AE322" i="1"/>
  <c r="AE769" i="1"/>
  <c r="AE323" i="1"/>
  <c r="AE324" i="1"/>
  <c r="AE325" i="1"/>
  <c r="AE770" i="1"/>
  <c r="AF770" i="1" s="1"/>
  <c r="AG770" i="1" s="1"/>
  <c r="AE771" i="1"/>
  <c r="AF771" i="1" s="1"/>
  <c r="AG771" i="1" s="1"/>
  <c r="AE772" i="1"/>
  <c r="AE326" i="1"/>
  <c r="AE774" i="1"/>
  <c r="AF774" i="1" s="1"/>
  <c r="AG774" i="1" s="1"/>
  <c r="AE327" i="1"/>
  <c r="AE775" i="1"/>
  <c r="AE328" i="1"/>
  <c r="AE776" i="1"/>
  <c r="AE329" i="1"/>
  <c r="AE330" i="1"/>
  <c r="AE777" i="1"/>
  <c r="AE778" i="1"/>
  <c r="AF778" i="1" s="1"/>
  <c r="AG778" i="1" s="1"/>
  <c r="AE331" i="1"/>
  <c r="AF331" i="1" s="1"/>
  <c r="AG331" i="1" s="1"/>
  <c r="AE332" i="1"/>
  <c r="AF332" i="1" s="1"/>
  <c r="AG332" i="1" s="1"/>
  <c r="AE333" i="1"/>
  <c r="AE779" i="1"/>
  <c r="AE780" i="1"/>
  <c r="AE781" i="1"/>
  <c r="AE782" i="1"/>
  <c r="AE334" i="1"/>
  <c r="AE335" i="1"/>
  <c r="AE336" i="1"/>
  <c r="AF336" i="1" s="1"/>
  <c r="AG336" i="1" s="1"/>
  <c r="AE337" i="1"/>
  <c r="AF337" i="1" s="1"/>
  <c r="AG337" i="1" s="1"/>
  <c r="AE783" i="1"/>
  <c r="AF783" i="1" s="1"/>
  <c r="AG783" i="1" s="1"/>
  <c r="AE338" i="1"/>
  <c r="AE784" i="1"/>
  <c r="AE339" i="1"/>
  <c r="AE785" i="1"/>
  <c r="AE340" i="1"/>
  <c r="AE342" i="1"/>
  <c r="AE786" i="1"/>
  <c r="AE343" i="1"/>
  <c r="AF343" i="1" s="1"/>
  <c r="AG343" i="1" s="1"/>
  <c r="AE344" i="1"/>
  <c r="AF344" i="1" s="1"/>
  <c r="AG344" i="1" s="1"/>
  <c r="AE787" i="1"/>
  <c r="AF787" i="1" s="1"/>
  <c r="AG787" i="1" s="1"/>
  <c r="AE788" i="1"/>
  <c r="AE789" i="1"/>
  <c r="AE790" i="1"/>
  <c r="AE791" i="1"/>
  <c r="AE345" i="1"/>
  <c r="AE792" i="1"/>
  <c r="AE346" i="1"/>
  <c r="AF346" i="1" s="1"/>
  <c r="AG346" i="1" s="1"/>
  <c r="AE793" i="1"/>
  <c r="AF793" i="1" s="1"/>
  <c r="AG793" i="1" s="1"/>
  <c r="AE794" i="1"/>
  <c r="AE347" i="1"/>
  <c r="AF347" i="1" s="1"/>
  <c r="AG347" i="1" s="1"/>
  <c r="AE348" i="1"/>
  <c r="AE349" i="1"/>
  <c r="AE350" i="1"/>
  <c r="AE351" i="1"/>
  <c r="AE352" i="1"/>
  <c r="AE353" i="1"/>
  <c r="AF353" i="1" s="1"/>
  <c r="AG353" i="1" s="1"/>
  <c r="AE354" i="1"/>
  <c r="AE355" i="1"/>
  <c r="AF355" i="1" s="1"/>
  <c r="AG355" i="1" s="1"/>
  <c r="AE795" i="1"/>
  <c r="AF795" i="1" s="1"/>
  <c r="AG795" i="1" s="1"/>
  <c r="AE356" i="1"/>
  <c r="AE357" i="1"/>
  <c r="AE358" i="1"/>
  <c r="AE796" i="1"/>
  <c r="AE797" i="1"/>
  <c r="AE798" i="1"/>
  <c r="AE799" i="1"/>
  <c r="AF799" i="1" s="1"/>
  <c r="AG799" i="1" s="1"/>
  <c r="AE359" i="1"/>
  <c r="AF359" i="1" s="1"/>
  <c r="AG359" i="1" s="1"/>
  <c r="AE360" i="1"/>
  <c r="AF360" i="1" s="1"/>
  <c r="AG360" i="1" s="1"/>
  <c r="AE800" i="1"/>
  <c r="AE802" i="1"/>
  <c r="AE803" i="1"/>
  <c r="AE361" i="1"/>
  <c r="AE362" i="1"/>
  <c r="AE363" i="1"/>
  <c r="AE364" i="1"/>
  <c r="AF364" i="1" s="1"/>
  <c r="AG364" i="1" s="1"/>
  <c r="AE365" i="1"/>
  <c r="AF365" i="1" s="1"/>
  <c r="AG365" i="1" s="1"/>
  <c r="AE804" i="1"/>
  <c r="AF804" i="1" s="1"/>
  <c r="AG804" i="1" s="1"/>
  <c r="AE805" i="1"/>
  <c r="AE366" i="1"/>
  <c r="AE367" i="1"/>
  <c r="AE806" i="1"/>
  <c r="AE368" i="1"/>
  <c r="AE369" i="1"/>
  <c r="AE807" i="1"/>
  <c r="AF807" i="1" s="1"/>
  <c r="AG807" i="1" s="1"/>
  <c r="AE370" i="1"/>
  <c r="AF370" i="1" s="1"/>
  <c r="AG370" i="1" s="1"/>
  <c r="AE808" i="1"/>
  <c r="AF808" i="1" s="1"/>
  <c r="AG808" i="1" s="1"/>
  <c r="AE371" i="1"/>
  <c r="AE809" i="1"/>
  <c r="AE810" i="1"/>
  <c r="AE811" i="1"/>
  <c r="AE812" i="1"/>
  <c r="AE813" i="1"/>
  <c r="AE372" i="1"/>
  <c r="AF372" i="1" s="1"/>
  <c r="AG372" i="1" s="1"/>
  <c r="AE814" i="1"/>
  <c r="AF814" i="1" s="1"/>
  <c r="AG814" i="1" s="1"/>
  <c r="AE815" i="1"/>
  <c r="AF815" i="1" s="1"/>
  <c r="AG815" i="1" s="1"/>
  <c r="AE816" i="1"/>
  <c r="AE817" i="1"/>
  <c r="AE373" i="1"/>
  <c r="AE374" i="1"/>
  <c r="AE375" i="1"/>
  <c r="AE376" i="1"/>
  <c r="AE818" i="1"/>
  <c r="AF818" i="1" s="1"/>
  <c r="AG818" i="1" s="1"/>
  <c r="AE377" i="1"/>
  <c r="AF377" i="1" s="1"/>
  <c r="AG377" i="1" s="1"/>
  <c r="AE819" i="1"/>
  <c r="AF819" i="1" s="1"/>
  <c r="AG819" i="1" s="1"/>
  <c r="AE378" i="1"/>
  <c r="AE379" i="1"/>
  <c r="AE820" i="1"/>
  <c r="AE380" i="1"/>
  <c r="AE381" i="1"/>
  <c r="AE821" i="1"/>
  <c r="AE382" i="1"/>
  <c r="AF382" i="1" s="1"/>
  <c r="AG382" i="1" s="1"/>
  <c r="AE822" i="1"/>
  <c r="AF822" i="1" s="1"/>
  <c r="AG822" i="1" s="1"/>
  <c r="AE823" i="1"/>
  <c r="AE383" i="1"/>
  <c r="AF383" i="1" s="1"/>
  <c r="AG383" i="1" s="1"/>
  <c r="AE384" i="1"/>
  <c r="AE825" i="1"/>
  <c r="AE385" i="1"/>
  <c r="AE386" i="1"/>
  <c r="AE826" i="1"/>
  <c r="AE827" i="1"/>
  <c r="AF827" i="1" s="1"/>
  <c r="AG827" i="1" s="1"/>
  <c r="AE828" i="1"/>
  <c r="AF828" i="1" s="1"/>
  <c r="AG828" i="1" s="1"/>
  <c r="AE829" i="1"/>
  <c r="AF829" i="1" s="1"/>
  <c r="AG829" i="1" s="1"/>
  <c r="AE387" i="1"/>
  <c r="AE830" i="1"/>
  <c r="AE831" i="1"/>
  <c r="AE388" i="1"/>
  <c r="AE389" i="1"/>
  <c r="AE390" i="1"/>
  <c r="AF390" i="1" s="1"/>
  <c r="AG390" i="1" s="1"/>
  <c r="AE832" i="1"/>
  <c r="AF832" i="1" s="1"/>
  <c r="AG832" i="1" s="1"/>
  <c r="AE833" i="1"/>
  <c r="AF833" i="1" s="1"/>
  <c r="AG833" i="1" s="1"/>
  <c r="AE834" i="1"/>
  <c r="AE391" i="1"/>
  <c r="AE836" i="1"/>
  <c r="AE837" i="1"/>
  <c r="AE392" i="1"/>
  <c r="AE393" i="1"/>
  <c r="AF393" i="1" s="1"/>
  <c r="AG393" i="1" s="1"/>
  <c r="AE394" i="1"/>
  <c r="AF394" i="1" s="1"/>
  <c r="AG394" i="1" s="1"/>
  <c r="AE395" i="1"/>
  <c r="AF395" i="1" s="1"/>
  <c r="AG395" i="1" s="1"/>
  <c r="AE838" i="1"/>
  <c r="AE396" i="1"/>
  <c r="AE397" i="1"/>
  <c r="AE399" i="1"/>
  <c r="AE400" i="1"/>
  <c r="AE839" i="1"/>
  <c r="AF839" i="1" s="1"/>
  <c r="AG839" i="1" s="1"/>
  <c r="AE840" i="1"/>
  <c r="AF840" i="1" s="1"/>
  <c r="AG840" i="1" s="1"/>
  <c r="AE841" i="1"/>
  <c r="AF841" i="1" s="1"/>
  <c r="AG841" i="1" s="1"/>
  <c r="AE401" i="1"/>
  <c r="AE842" i="1"/>
  <c r="AE402" i="1"/>
  <c r="AE843" i="1"/>
  <c r="AE844" i="1"/>
  <c r="AE845" i="1"/>
  <c r="AF845" i="1" s="1"/>
  <c r="AG845" i="1" s="1"/>
  <c r="AE846" i="1"/>
  <c r="AF846" i="1" s="1"/>
  <c r="AG846" i="1" s="1"/>
  <c r="AE847" i="1"/>
  <c r="AF847" i="1" s="1"/>
  <c r="AG847" i="1" s="1"/>
  <c r="AE404" i="1"/>
  <c r="AE848" i="1"/>
  <c r="AE405" i="1"/>
  <c r="AE850" i="1"/>
  <c r="AE406" i="1"/>
  <c r="AE851" i="1"/>
  <c r="AF851" i="1" s="1"/>
  <c r="AG851" i="1" s="1"/>
  <c r="AE407" i="1"/>
  <c r="AF407" i="1" s="1"/>
  <c r="AG407" i="1" s="1"/>
  <c r="AE852" i="1"/>
  <c r="AF852" i="1" s="1"/>
  <c r="AG852" i="1" s="1"/>
  <c r="AE408" i="1"/>
  <c r="AE409" i="1"/>
  <c r="AE410" i="1"/>
  <c r="AE853" i="1"/>
  <c r="AE855" i="1"/>
  <c r="AE411" i="1"/>
  <c r="AF411" i="1" s="1"/>
  <c r="AG411" i="1" s="1"/>
  <c r="AE412" i="1"/>
  <c r="AF412" i="1" s="1"/>
  <c r="AG412" i="1" s="1"/>
  <c r="AE413" i="1"/>
  <c r="AF413" i="1" s="1"/>
  <c r="AG413" i="1" s="1"/>
  <c r="AE414" i="1"/>
  <c r="AE415" i="1"/>
  <c r="AE416" i="1"/>
  <c r="AE417" i="1"/>
  <c r="AE856" i="1"/>
  <c r="AE418" i="1"/>
  <c r="AF418" i="1" s="1"/>
  <c r="AG418" i="1" s="1"/>
  <c r="AE419" i="1"/>
  <c r="AF419" i="1" s="1"/>
  <c r="AG419" i="1" s="1"/>
  <c r="AE857" i="1"/>
  <c r="AF857" i="1" s="1"/>
  <c r="AG857" i="1" s="1"/>
  <c r="AE420" i="1"/>
  <c r="AE858" i="1"/>
  <c r="AE859" i="1"/>
  <c r="AE421" i="1"/>
  <c r="AE860" i="1"/>
  <c r="AE422" i="1"/>
  <c r="AF422" i="1" s="1"/>
  <c r="AG422" i="1" s="1"/>
  <c r="AE423" i="1"/>
  <c r="AF423" i="1" s="1"/>
  <c r="AG423" i="1" s="1"/>
  <c r="AE424" i="1"/>
  <c r="AF424" i="1" s="1"/>
  <c r="AG424" i="1" s="1"/>
  <c r="AE861" i="1"/>
  <c r="AE862" i="1"/>
  <c r="AE425" i="1"/>
  <c r="AE426" i="1"/>
  <c r="AE863" i="1"/>
  <c r="AE864" i="1"/>
  <c r="AF864" i="1" s="1"/>
  <c r="AG864" i="1" s="1"/>
  <c r="AE427" i="1"/>
  <c r="AF427" i="1" s="1"/>
  <c r="AG427" i="1" s="1"/>
  <c r="AE865" i="1"/>
  <c r="AF865" i="1" s="1"/>
  <c r="AG865" i="1" s="1"/>
  <c r="AE428" i="1"/>
  <c r="AE429" i="1"/>
  <c r="AE430" i="1"/>
  <c r="AE866" i="1"/>
  <c r="AE431" i="1"/>
  <c r="AE867" i="1"/>
  <c r="AF867" i="1" s="1"/>
  <c r="AG867" i="1" s="1"/>
  <c r="AE868" i="1"/>
  <c r="AF868" i="1" s="1"/>
  <c r="AG868" i="1" s="1"/>
  <c r="AE869" i="1"/>
  <c r="AF869" i="1" s="1"/>
  <c r="AG869" i="1" s="1"/>
  <c r="AE432" i="1"/>
  <c r="AE433" i="1"/>
  <c r="AE870" i="1"/>
  <c r="AE434" i="1"/>
  <c r="AE435" i="1"/>
  <c r="AE436" i="1"/>
  <c r="AF436" i="1" s="1"/>
  <c r="AG436" i="1" s="1"/>
  <c r="AE871" i="1"/>
  <c r="AF871" i="1" s="1"/>
  <c r="AG871" i="1" s="1"/>
  <c r="AE872" i="1"/>
  <c r="AF872" i="1" s="1"/>
  <c r="AG872" i="1" s="1"/>
  <c r="AE873" i="1"/>
  <c r="AE437" i="1"/>
  <c r="AE874" i="1"/>
  <c r="AE438" i="1"/>
  <c r="AE439" i="1"/>
  <c r="AE440" i="1"/>
  <c r="AF440" i="1" s="1"/>
  <c r="AG440" i="1" s="1"/>
  <c r="AE441" i="1"/>
  <c r="AF441" i="1" s="1"/>
  <c r="AG441" i="1" s="1"/>
  <c r="AE442" i="1"/>
  <c r="AF442" i="1" s="1"/>
  <c r="AG442" i="1" s="1"/>
  <c r="AE875" i="1"/>
  <c r="AE443" i="1"/>
  <c r="AE876" i="1"/>
  <c r="AE444" i="1"/>
  <c r="AE877" i="1"/>
  <c r="AE445" i="1"/>
  <c r="AF445" i="1" s="1"/>
  <c r="AG445" i="1" s="1"/>
  <c r="AE446" i="1"/>
  <c r="AF446" i="1" s="1"/>
  <c r="AG446" i="1" s="1"/>
  <c r="AE878" i="1"/>
  <c r="AF878" i="1" s="1"/>
  <c r="AG878" i="1" s="1"/>
  <c r="AE447" i="1"/>
  <c r="AE448" i="1"/>
  <c r="AE879" i="1"/>
  <c r="AE449" i="1"/>
  <c r="AE880" i="1"/>
  <c r="AE450" i="1"/>
  <c r="AF450" i="1" s="1"/>
  <c r="AG450" i="1" s="1"/>
  <c r="AE451" i="1"/>
  <c r="AF451" i="1" s="1"/>
  <c r="AG451" i="1" s="1"/>
  <c r="AE452" i="1"/>
  <c r="AF452" i="1" s="1"/>
  <c r="AG452" i="1" s="1"/>
  <c r="AE881" i="1"/>
  <c r="AE453" i="1"/>
  <c r="AE454" i="1"/>
  <c r="AE882" i="1"/>
  <c r="AE883" i="1"/>
  <c r="AE455" i="1"/>
  <c r="AF455" i="1" s="1"/>
  <c r="AG455" i="1" s="1"/>
  <c r="AE884" i="1"/>
  <c r="AF884" i="1" s="1"/>
  <c r="AG884" i="1" s="1"/>
  <c r="AE885" i="1"/>
  <c r="AF885" i="1" s="1"/>
  <c r="AG885" i="1" s="1"/>
  <c r="AE456" i="1"/>
  <c r="AE886" i="1"/>
  <c r="AE887" i="1"/>
  <c r="AE888" i="1"/>
  <c r="AE457" i="1"/>
  <c r="AE458" i="1"/>
  <c r="AF458" i="1" s="1"/>
  <c r="AG458" i="1" s="1"/>
  <c r="AE459" i="1"/>
  <c r="AF459" i="1" s="1"/>
  <c r="AG459" i="1" s="1"/>
  <c r="AE889" i="1"/>
  <c r="AF889" i="1" s="1"/>
  <c r="AG889" i="1" s="1"/>
  <c r="AE890" i="1"/>
  <c r="AE460" i="1"/>
  <c r="AE461" i="1"/>
  <c r="AE891" i="1"/>
  <c r="AE462" i="1"/>
  <c r="AE463" i="1"/>
  <c r="AF463" i="1" s="1"/>
  <c r="AG463" i="1" s="1"/>
  <c r="AE892" i="1"/>
  <c r="AF892" i="1" s="1"/>
  <c r="AG892" i="1" s="1"/>
  <c r="AE464" i="1"/>
  <c r="AF464" i="1" s="1"/>
  <c r="AG464" i="1" s="1"/>
  <c r="AE465" i="1"/>
  <c r="AE893" i="1"/>
  <c r="AE894" i="1"/>
  <c r="AE895" i="1"/>
  <c r="AE896" i="1"/>
  <c r="AE466" i="1"/>
  <c r="AF466" i="1" s="1"/>
  <c r="AG466" i="1" s="1"/>
  <c r="AE897" i="1"/>
  <c r="AF897" i="1" s="1"/>
  <c r="AG897" i="1" s="1"/>
  <c r="AE467" i="1"/>
  <c r="AF467" i="1" s="1"/>
  <c r="AG467" i="1" s="1"/>
  <c r="AE898" i="1"/>
  <c r="AE899" i="1"/>
  <c r="AE900" i="1"/>
  <c r="AE468" i="1"/>
  <c r="AE469" i="1"/>
  <c r="AE901" i="1"/>
  <c r="AF901" i="1" s="1"/>
  <c r="AG901" i="1" s="1"/>
  <c r="AE470" i="1"/>
  <c r="AF470" i="1" s="1"/>
  <c r="AG470" i="1" s="1"/>
  <c r="AE902" i="1"/>
  <c r="AF902" i="1" s="1"/>
  <c r="AG902" i="1" s="1"/>
  <c r="AE903" i="1"/>
  <c r="AE471" i="1"/>
  <c r="AE904" i="1"/>
  <c r="AE905" i="1"/>
  <c r="AE472" i="1"/>
  <c r="AE906" i="1"/>
  <c r="AF906" i="1" s="1"/>
  <c r="AG906" i="1" s="1"/>
  <c r="AE907" i="1"/>
  <c r="AF907" i="1" s="1"/>
  <c r="AG907" i="1" s="1"/>
  <c r="AE473" i="1"/>
  <c r="AF473" i="1" s="1"/>
  <c r="AG473" i="1" s="1"/>
  <c r="AE474" i="1"/>
  <c r="AE908" i="1"/>
  <c r="AE909" i="1"/>
  <c r="AE475" i="1"/>
  <c r="AE477" i="1"/>
  <c r="AE478" i="1"/>
  <c r="AF478" i="1" s="1"/>
  <c r="AG478" i="1" s="1"/>
  <c r="AE479" i="1"/>
  <c r="AF479" i="1" s="1"/>
  <c r="AG479" i="1" s="1"/>
  <c r="AE910" i="1"/>
  <c r="AF910" i="1" s="1"/>
  <c r="AG910" i="1" s="1"/>
  <c r="AE911" i="1"/>
  <c r="AE480" i="1"/>
  <c r="AE481" i="1"/>
  <c r="AE482" i="1"/>
  <c r="AE483" i="1"/>
  <c r="AE484" i="1"/>
  <c r="AF484" i="1" s="1"/>
  <c r="AG484" i="1" s="1"/>
  <c r="AE485" i="1"/>
  <c r="AF485" i="1" s="1"/>
  <c r="AG485" i="1" s="1"/>
  <c r="AE912" i="1"/>
  <c r="AF912" i="1" s="1"/>
  <c r="AG912" i="1" s="1"/>
  <c r="AE913" i="1"/>
  <c r="AE914" i="1"/>
  <c r="AE915" i="1"/>
  <c r="AE916" i="1"/>
  <c r="AE917" i="1"/>
  <c r="AE486" i="1"/>
  <c r="AF486" i="1" s="1"/>
  <c r="AG486" i="1" s="1"/>
  <c r="AE918" i="1"/>
  <c r="AF918" i="1" s="1"/>
  <c r="AG918" i="1" s="1"/>
  <c r="AE919" i="1"/>
  <c r="AF919" i="1" s="1"/>
  <c r="AG919" i="1" s="1"/>
  <c r="AE920" i="1"/>
  <c r="AE487" i="1"/>
  <c r="AE488" i="1"/>
  <c r="AE921" i="1"/>
  <c r="AE922" i="1"/>
  <c r="AE489" i="1"/>
  <c r="AF489" i="1" s="1"/>
  <c r="AG489" i="1" s="1"/>
  <c r="AE490" i="1"/>
  <c r="AF490" i="1" s="1"/>
  <c r="AG490" i="1" s="1"/>
  <c r="AE923" i="1"/>
  <c r="AF923" i="1" s="1"/>
  <c r="AG923" i="1" s="1"/>
  <c r="AE491" i="1"/>
  <c r="AE924" i="1"/>
  <c r="AE492" i="1"/>
  <c r="AE493" i="1"/>
  <c r="AE925" i="1"/>
  <c r="AF925" i="1" s="1"/>
  <c r="AG925" i="1" s="1"/>
  <c r="AE926" i="1"/>
  <c r="AF926" i="1" s="1"/>
  <c r="AG926" i="1" s="1"/>
  <c r="AE927" i="1"/>
  <c r="AF927" i="1" s="1"/>
  <c r="AG927" i="1" s="1"/>
  <c r="AE494" i="1"/>
  <c r="AF494" i="1" s="1"/>
  <c r="AG494" i="1" s="1"/>
  <c r="AE928" i="1"/>
  <c r="AE495" i="1"/>
  <c r="AE929" i="1"/>
  <c r="AE930" i="1"/>
  <c r="AE496" i="1"/>
  <c r="AF496" i="1" s="1"/>
  <c r="AG496" i="1" s="1"/>
  <c r="AE497" i="1"/>
  <c r="AF497" i="1" s="1"/>
  <c r="AG497" i="1" s="1"/>
  <c r="AE931" i="1"/>
  <c r="AF931" i="1" s="1"/>
  <c r="AG931" i="1" s="1"/>
  <c r="AE498" i="1"/>
  <c r="AF498" i="1" s="1"/>
  <c r="AG498" i="1" s="1"/>
  <c r="AE499" i="1"/>
  <c r="AE500" i="1"/>
  <c r="AE501" i="1"/>
  <c r="AE932" i="1"/>
  <c r="AE502" i="1"/>
  <c r="AF502" i="1" s="1"/>
  <c r="AG502" i="1" s="1"/>
  <c r="AE933" i="1"/>
  <c r="AF933" i="1" s="1"/>
  <c r="AG933" i="1" s="1"/>
  <c r="AE288" i="1"/>
  <c r="AF288" i="1" s="1"/>
  <c r="AG288" i="1" s="1"/>
  <c r="AE341" i="1"/>
  <c r="AF341" i="1" s="1"/>
  <c r="AG341" i="1" s="1"/>
  <c r="AE835" i="1"/>
  <c r="AE398" i="1"/>
  <c r="AE163" i="1"/>
  <c r="AE801" i="1"/>
  <c r="AE854" i="1"/>
  <c r="AF854" i="1" s="1"/>
  <c r="AG854" i="1" s="1"/>
  <c r="AE86" i="1"/>
  <c r="AF86" i="1" s="1"/>
  <c r="AG86" i="1" s="1"/>
  <c r="AE849" i="1"/>
  <c r="AF849" i="1" s="1"/>
  <c r="AG849" i="1" s="1"/>
  <c r="AE695" i="1"/>
  <c r="AF695" i="1" s="1"/>
  <c r="AG695" i="1" s="1"/>
  <c r="AE78" i="1"/>
  <c r="AE149" i="1"/>
  <c r="AE683" i="1"/>
  <c r="AE166" i="1"/>
  <c r="AE403" i="1"/>
  <c r="AF403" i="1" s="1"/>
  <c r="AG403" i="1" s="1"/>
  <c r="AE762" i="1"/>
  <c r="AF762" i="1" s="1"/>
  <c r="AG762" i="1" s="1"/>
  <c r="AE476" i="1"/>
  <c r="AF476" i="1" s="1"/>
  <c r="AG476" i="1" s="1"/>
  <c r="AE556" i="1"/>
  <c r="AF556" i="1" s="1"/>
  <c r="AG556" i="1" s="1"/>
  <c r="AE824" i="1"/>
  <c r="AE505" i="1"/>
  <c r="AE195" i="1"/>
  <c r="AE539" i="1"/>
  <c r="AE680" i="1"/>
  <c r="AF680" i="1" s="1"/>
  <c r="AG680" i="1" s="1"/>
  <c r="AE608" i="1"/>
  <c r="AF608" i="1" s="1"/>
  <c r="AG608" i="1" s="1"/>
  <c r="AE649" i="1"/>
  <c r="AF649" i="1" s="1"/>
  <c r="AG649" i="1" s="1"/>
  <c r="AE579" i="1"/>
  <c r="AF579" i="1" s="1"/>
  <c r="AG579" i="1" s="1"/>
  <c r="AE239" i="1"/>
  <c r="AE773" i="1"/>
  <c r="AE91" i="1"/>
  <c r="AE159" i="1"/>
  <c r="AE79" i="1"/>
  <c r="AF79" i="1" s="1"/>
  <c r="AG79" i="1" s="1"/>
  <c r="AE659" i="1"/>
  <c r="AF659" i="1" s="1"/>
  <c r="AG659" i="1" s="1"/>
  <c r="AE2" i="1"/>
  <c r="AF2" i="1" s="1"/>
  <c r="AG2" i="1" s="1"/>
  <c r="AH3" i="1"/>
  <c r="AH4" i="1"/>
  <c r="AH5" i="1"/>
  <c r="AH503" i="1"/>
  <c r="AH6" i="1"/>
  <c r="AH504" i="1"/>
  <c r="AH506" i="1"/>
  <c r="AH7" i="1"/>
  <c r="AH507" i="1"/>
  <c r="AH508" i="1"/>
  <c r="AH8" i="1"/>
  <c r="AH9" i="1"/>
  <c r="AH509" i="1"/>
  <c r="AH10" i="1"/>
  <c r="AH11" i="1"/>
  <c r="AH12" i="1"/>
  <c r="AH13" i="1"/>
  <c r="AH510" i="1"/>
  <c r="AH14" i="1"/>
  <c r="AH511" i="1"/>
  <c r="AH512" i="1"/>
  <c r="AH513" i="1"/>
  <c r="AH514" i="1"/>
  <c r="AH15" i="1"/>
  <c r="AH16" i="1"/>
  <c r="AH17" i="1"/>
  <c r="AH515" i="1"/>
  <c r="AH18" i="1"/>
  <c r="AH516" i="1"/>
  <c r="AH19" i="1"/>
  <c r="AH517" i="1"/>
  <c r="AH20" i="1"/>
  <c r="AH21" i="1"/>
  <c r="AH518" i="1"/>
  <c r="AH22" i="1"/>
  <c r="AH23" i="1"/>
  <c r="AH519" i="1"/>
  <c r="AH24" i="1"/>
  <c r="AH25" i="1"/>
  <c r="AH26" i="1"/>
  <c r="AH27" i="1"/>
  <c r="AH520" i="1"/>
  <c r="AH28" i="1"/>
  <c r="AH29" i="1"/>
  <c r="AH30" i="1"/>
  <c r="AH31" i="1"/>
  <c r="AH32" i="1"/>
  <c r="AH521" i="1"/>
  <c r="AH33" i="1"/>
  <c r="AH522" i="1"/>
  <c r="AH34" i="1"/>
  <c r="AH35" i="1"/>
  <c r="AH523" i="1"/>
  <c r="AH524" i="1"/>
  <c r="AH525" i="1"/>
  <c r="AH526" i="1"/>
  <c r="AH36" i="1"/>
  <c r="AH37" i="1"/>
  <c r="AH38" i="1"/>
  <c r="AH39" i="1"/>
  <c r="AH40" i="1"/>
  <c r="AH41" i="1"/>
  <c r="AH42" i="1"/>
  <c r="AH43" i="1"/>
  <c r="AH44" i="1"/>
  <c r="AH527" i="1"/>
  <c r="AH528" i="1"/>
  <c r="AH45" i="1"/>
  <c r="AH46" i="1"/>
  <c r="AH529" i="1"/>
  <c r="AH530" i="1"/>
  <c r="AH47" i="1"/>
  <c r="AH531" i="1"/>
  <c r="AH532" i="1"/>
  <c r="AH533" i="1"/>
  <c r="AH48" i="1"/>
  <c r="AH534" i="1"/>
  <c r="AH535" i="1"/>
  <c r="AH536" i="1"/>
  <c r="AH49" i="1"/>
  <c r="AH537" i="1"/>
  <c r="AH50" i="1"/>
  <c r="AH51" i="1"/>
  <c r="AH52" i="1"/>
  <c r="AH53" i="1"/>
  <c r="AH54" i="1"/>
  <c r="AH55" i="1"/>
  <c r="AH56" i="1"/>
  <c r="AH57" i="1"/>
  <c r="AH538" i="1"/>
  <c r="AH540" i="1"/>
  <c r="AH541" i="1"/>
  <c r="AH58" i="1"/>
  <c r="AH59" i="1"/>
  <c r="AH542" i="1"/>
  <c r="AH60" i="1"/>
  <c r="AH543" i="1"/>
  <c r="AH61" i="1"/>
  <c r="AH544" i="1"/>
  <c r="AH545" i="1"/>
  <c r="AH62" i="1"/>
  <c r="AH546" i="1"/>
  <c r="AH547" i="1"/>
  <c r="AH548" i="1"/>
  <c r="AH63" i="1"/>
  <c r="AH64" i="1"/>
  <c r="AH65" i="1"/>
  <c r="AH66" i="1"/>
  <c r="AH549" i="1"/>
  <c r="AH67" i="1"/>
  <c r="AH550" i="1"/>
  <c r="AH68" i="1"/>
  <c r="AH69" i="1"/>
  <c r="AH70" i="1"/>
  <c r="AH71" i="1"/>
  <c r="AH551" i="1"/>
  <c r="AH72" i="1"/>
  <c r="AH73" i="1"/>
  <c r="AH74" i="1"/>
  <c r="AH75" i="1"/>
  <c r="AH552" i="1"/>
  <c r="AH76" i="1"/>
  <c r="AH77" i="1"/>
  <c r="AH80" i="1"/>
  <c r="AH553" i="1"/>
  <c r="AH554" i="1"/>
  <c r="AH555" i="1"/>
  <c r="AH81" i="1"/>
  <c r="AH82" i="1"/>
  <c r="AH83" i="1"/>
  <c r="AH557" i="1"/>
  <c r="AH84" i="1"/>
  <c r="AH85" i="1"/>
  <c r="AH558" i="1"/>
  <c r="AH559" i="1"/>
  <c r="AH560" i="1"/>
  <c r="AH561" i="1"/>
  <c r="AH87" i="1"/>
  <c r="AH562" i="1"/>
  <c r="AH88" i="1"/>
  <c r="AH89" i="1"/>
  <c r="AH90" i="1"/>
  <c r="AH92" i="1"/>
  <c r="AH93" i="1"/>
  <c r="AH563" i="1"/>
  <c r="AH564" i="1"/>
  <c r="AH94" i="1"/>
  <c r="AH565" i="1"/>
  <c r="AH95" i="1"/>
  <c r="AH96" i="1"/>
  <c r="AH97" i="1"/>
  <c r="AH98" i="1"/>
  <c r="AH566" i="1"/>
  <c r="AH99" i="1"/>
  <c r="AH567" i="1"/>
  <c r="AH568" i="1"/>
  <c r="AH100" i="1"/>
  <c r="AH101" i="1"/>
  <c r="AH569" i="1"/>
  <c r="AH570" i="1"/>
  <c r="AH571" i="1"/>
  <c r="AH102" i="1"/>
  <c r="AH572" i="1"/>
  <c r="AH573" i="1"/>
  <c r="AH103" i="1"/>
  <c r="AH574" i="1"/>
  <c r="AH575" i="1"/>
  <c r="AH576" i="1"/>
  <c r="AH577" i="1"/>
  <c r="AH578" i="1"/>
  <c r="AH580" i="1"/>
  <c r="AH581" i="1"/>
  <c r="AH104" i="1"/>
  <c r="AH582" i="1"/>
  <c r="AH105" i="1"/>
  <c r="AH583" i="1"/>
  <c r="AH106" i="1"/>
  <c r="AH107" i="1"/>
  <c r="AH108" i="1"/>
  <c r="AH109" i="1"/>
  <c r="AH584" i="1"/>
  <c r="AH110" i="1"/>
  <c r="AH585" i="1"/>
  <c r="AH111" i="1"/>
  <c r="AH112" i="1"/>
  <c r="AH113" i="1"/>
  <c r="AH586" i="1"/>
  <c r="AH587" i="1"/>
  <c r="AH588" i="1"/>
  <c r="AH589" i="1"/>
  <c r="AH114" i="1"/>
  <c r="AH115" i="1"/>
  <c r="AH116" i="1"/>
  <c r="AH590" i="1"/>
  <c r="AH591" i="1"/>
  <c r="AH117" i="1"/>
  <c r="AH592" i="1"/>
  <c r="AH118" i="1"/>
  <c r="AH119" i="1"/>
  <c r="AH593" i="1"/>
  <c r="AH594" i="1"/>
  <c r="AH595" i="1"/>
  <c r="AH120" i="1"/>
  <c r="AH596" i="1"/>
  <c r="AH597" i="1"/>
  <c r="AH598" i="1"/>
  <c r="AH121" i="1"/>
  <c r="AH599" i="1"/>
  <c r="AH600" i="1"/>
  <c r="AH122" i="1"/>
  <c r="AH123" i="1"/>
  <c r="AH124" i="1"/>
  <c r="AH125" i="1"/>
  <c r="AH126" i="1"/>
  <c r="AH127" i="1"/>
  <c r="AH601" i="1"/>
  <c r="AH602" i="1"/>
  <c r="AH603" i="1"/>
  <c r="AH128" i="1"/>
  <c r="AH129" i="1"/>
  <c r="AH604" i="1"/>
  <c r="AH605" i="1"/>
  <c r="AH606" i="1"/>
  <c r="AH607" i="1"/>
  <c r="AH130" i="1"/>
  <c r="AH609" i="1"/>
  <c r="AH131" i="1"/>
  <c r="AH132" i="1"/>
  <c r="AH610" i="1"/>
  <c r="AH133" i="1"/>
  <c r="AH134" i="1"/>
  <c r="AH611" i="1"/>
  <c r="AH135" i="1"/>
  <c r="AH136" i="1"/>
  <c r="AH137" i="1"/>
  <c r="AH138" i="1"/>
  <c r="AH139" i="1"/>
  <c r="AH140" i="1"/>
  <c r="AH141" i="1"/>
  <c r="AH142" i="1"/>
  <c r="AH612" i="1"/>
  <c r="AH613" i="1"/>
  <c r="AH614" i="1"/>
  <c r="AH143" i="1"/>
  <c r="AH144" i="1"/>
  <c r="AH145" i="1"/>
  <c r="AH146" i="1"/>
  <c r="AH147" i="1"/>
  <c r="AH615" i="1"/>
  <c r="AH148" i="1"/>
  <c r="AH616" i="1"/>
  <c r="AH617" i="1"/>
  <c r="AH150" i="1"/>
  <c r="AH618" i="1"/>
  <c r="AH619" i="1"/>
  <c r="AH151" i="1"/>
  <c r="AH620" i="1"/>
  <c r="AH152" i="1"/>
  <c r="AH153" i="1"/>
  <c r="AH621" i="1"/>
  <c r="AH622" i="1"/>
  <c r="AH623" i="1"/>
  <c r="AH624" i="1"/>
  <c r="AH154" i="1"/>
  <c r="AH155" i="1"/>
  <c r="AH625" i="1"/>
  <c r="AH626" i="1"/>
  <c r="AH627" i="1"/>
  <c r="AH628" i="1"/>
  <c r="AH156" i="1"/>
  <c r="AH157" i="1"/>
  <c r="AH158" i="1"/>
  <c r="AH629" i="1"/>
  <c r="AH160" i="1"/>
  <c r="AH161" i="1"/>
  <c r="AH162" i="1"/>
  <c r="AH630" i="1"/>
  <c r="AH631" i="1"/>
  <c r="AH164" i="1"/>
  <c r="AH165" i="1"/>
  <c r="AH632" i="1"/>
  <c r="AH167" i="1"/>
  <c r="AH633" i="1"/>
  <c r="AH168" i="1"/>
  <c r="AH634" i="1"/>
  <c r="AH169" i="1"/>
  <c r="AH170" i="1"/>
  <c r="AH171" i="1"/>
  <c r="AH635" i="1"/>
  <c r="AH636" i="1"/>
  <c r="AH172" i="1"/>
  <c r="AH637" i="1"/>
  <c r="AH173" i="1"/>
  <c r="AH638" i="1"/>
  <c r="AH639" i="1"/>
  <c r="AH640" i="1"/>
  <c r="AH174" i="1"/>
  <c r="AH641" i="1"/>
  <c r="AH175" i="1"/>
  <c r="AH176" i="1"/>
  <c r="AH642" i="1"/>
  <c r="AH643" i="1"/>
  <c r="AH177" i="1"/>
  <c r="AH178" i="1"/>
  <c r="AH179" i="1"/>
  <c r="AH644" i="1"/>
  <c r="AH645" i="1"/>
  <c r="AH646" i="1"/>
  <c r="AH180" i="1"/>
  <c r="AH181" i="1"/>
  <c r="AH182" i="1"/>
  <c r="AH183" i="1"/>
  <c r="AH647" i="1"/>
  <c r="AH648" i="1"/>
  <c r="AH184" i="1"/>
  <c r="AH185" i="1"/>
  <c r="AH650" i="1"/>
  <c r="AH186" i="1"/>
  <c r="AH187" i="1"/>
  <c r="AH188" i="1"/>
  <c r="AH189" i="1"/>
  <c r="AH190" i="1"/>
  <c r="AH191" i="1"/>
  <c r="AH651" i="1"/>
  <c r="AH652" i="1"/>
  <c r="AH653" i="1"/>
  <c r="AH192" i="1"/>
  <c r="AH654" i="1"/>
  <c r="AH655" i="1"/>
  <c r="AH193" i="1"/>
  <c r="AH194" i="1"/>
  <c r="AH656" i="1"/>
  <c r="AH657" i="1"/>
  <c r="AH196" i="1"/>
  <c r="AH658" i="1"/>
  <c r="AH197" i="1"/>
  <c r="AH198" i="1"/>
  <c r="AH199" i="1"/>
  <c r="AH660" i="1"/>
  <c r="AH200" i="1"/>
  <c r="AH661" i="1"/>
  <c r="AH662" i="1"/>
  <c r="AH663" i="1"/>
  <c r="AH201" i="1"/>
  <c r="AH202" i="1"/>
  <c r="AH664" i="1"/>
  <c r="AH203" i="1"/>
  <c r="AH204" i="1"/>
  <c r="AH665" i="1"/>
  <c r="AH205" i="1"/>
  <c r="AH666" i="1"/>
  <c r="AH667" i="1"/>
  <c r="AH668" i="1"/>
  <c r="AH206" i="1"/>
  <c r="AH207" i="1"/>
  <c r="AH669" i="1"/>
  <c r="AH670" i="1"/>
  <c r="AH671" i="1"/>
  <c r="AH208" i="1"/>
  <c r="AH209" i="1"/>
  <c r="AH672" i="1"/>
  <c r="AH210" i="1"/>
  <c r="AH673" i="1"/>
  <c r="AH674" i="1"/>
  <c r="AH211" i="1"/>
  <c r="AH675" i="1"/>
  <c r="AH212" i="1"/>
  <c r="AH676" i="1"/>
  <c r="AH677" i="1"/>
  <c r="AH213" i="1"/>
  <c r="AH214" i="1"/>
  <c r="AH678" i="1"/>
  <c r="AH679" i="1"/>
  <c r="AH681" i="1"/>
  <c r="AH215" i="1"/>
  <c r="AH216" i="1"/>
  <c r="AH682" i="1"/>
  <c r="AH684" i="1"/>
  <c r="AH217" i="1"/>
  <c r="AH218" i="1"/>
  <c r="AH685" i="1"/>
  <c r="AH686" i="1"/>
  <c r="AH687" i="1"/>
  <c r="AH219" i="1"/>
  <c r="AH688" i="1"/>
  <c r="AH689" i="1"/>
  <c r="AH690" i="1"/>
  <c r="AH220" i="1"/>
  <c r="AH221" i="1"/>
  <c r="AH222" i="1"/>
  <c r="AH691" i="1"/>
  <c r="AH223" i="1"/>
  <c r="AH224" i="1"/>
  <c r="AH225" i="1"/>
  <c r="AH226" i="1"/>
  <c r="AH692" i="1"/>
  <c r="AH693" i="1"/>
  <c r="AH227" i="1"/>
  <c r="AH694" i="1"/>
  <c r="AH696" i="1"/>
  <c r="AH697" i="1"/>
  <c r="AH228" i="1"/>
  <c r="AH229" i="1"/>
  <c r="AH230" i="1"/>
  <c r="AH231" i="1"/>
  <c r="AH698" i="1"/>
  <c r="AH232" i="1"/>
  <c r="AH699" i="1"/>
  <c r="AH700" i="1"/>
  <c r="AH233" i="1"/>
  <c r="AH701" i="1"/>
  <c r="AH234" i="1"/>
  <c r="AH702" i="1"/>
  <c r="AH235" i="1"/>
  <c r="AH236" i="1"/>
  <c r="AH703" i="1"/>
  <c r="AH704" i="1"/>
  <c r="AH237" i="1"/>
  <c r="AH705" i="1"/>
  <c r="AH706" i="1"/>
  <c r="AH707" i="1"/>
  <c r="AH708" i="1"/>
  <c r="AH238" i="1"/>
  <c r="AH240" i="1"/>
  <c r="AH241" i="1"/>
  <c r="AH242" i="1"/>
  <c r="AH709" i="1"/>
  <c r="AH710" i="1"/>
  <c r="AH711" i="1"/>
  <c r="AH243" i="1"/>
  <c r="AH244" i="1"/>
  <c r="AH245" i="1"/>
  <c r="AH246" i="1"/>
  <c r="AH712" i="1"/>
  <c r="AH713" i="1"/>
  <c r="AH247" i="1"/>
  <c r="AH248" i="1"/>
  <c r="AH714" i="1"/>
  <c r="AH715" i="1"/>
  <c r="AH249" i="1"/>
  <c r="AH250" i="1"/>
  <c r="AH716" i="1"/>
  <c r="AH251" i="1"/>
  <c r="AH717" i="1"/>
  <c r="AH252" i="1"/>
  <c r="AH718" i="1"/>
  <c r="AH719" i="1"/>
  <c r="AH253" i="1"/>
  <c r="AH254" i="1"/>
  <c r="AH720" i="1"/>
  <c r="AH255" i="1"/>
  <c r="AH256" i="1"/>
  <c r="AH721" i="1"/>
  <c r="AH722" i="1"/>
  <c r="AH257" i="1"/>
  <c r="AH258" i="1"/>
  <c r="AH259" i="1"/>
  <c r="AH260" i="1"/>
  <c r="AH261" i="1"/>
  <c r="AH723" i="1"/>
  <c r="AH724" i="1"/>
  <c r="AH262" i="1"/>
  <c r="AH725" i="1"/>
  <c r="AH726" i="1"/>
  <c r="AH263" i="1"/>
  <c r="AH264" i="1"/>
  <c r="AH265" i="1"/>
  <c r="AH727" i="1"/>
  <c r="AH266" i="1"/>
  <c r="AH267" i="1"/>
  <c r="AH268" i="1"/>
  <c r="AH269" i="1"/>
  <c r="AH270" i="1"/>
  <c r="AH271" i="1"/>
  <c r="AH728" i="1"/>
  <c r="AH272" i="1"/>
  <c r="AH729" i="1"/>
  <c r="AH273" i="1"/>
  <c r="AH274" i="1"/>
  <c r="AH730" i="1"/>
  <c r="AH731" i="1"/>
  <c r="AH275" i="1"/>
  <c r="AH276" i="1"/>
  <c r="AH277" i="1"/>
  <c r="AH732" i="1"/>
  <c r="AH733" i="1"/>
  <c r="AH734" i="1"/>
  <c r="AH278" i="1"/>
  <c r="AH279" i="1"/>
  <c r="AH280" i="1"/>
  <c r="AH735" i="1"/>
  <c r="AH736" i="1"/>
  <c r="AH737" i="1"/>
  <c r="AH281" i="1"/>
  <c r="AH282" i="1"/>
  <c r="AH738" i="1"/>
  <c r="AH283" i="1"/>
  <c r="AH739" i="1"/>
  <c r="AH284" i="1"/>
  <c r="AH285" i="1"/>
  <c r="AH286" i="1"/>
  <c r="AH287" i="1"/>
  <c r="AH289" i="1"/>
  <c r="AH740" i="1"/>
  <c r="AH290" i="1"/>
  <c r="AH291" i="1"/>
  <c r="AH741" i="1"/>
  <c r="AH292" i="1"/>
  <c r="AH742" i="1"/>
  <c r="AH293" i="1"/>
  <c r="AH294" i="1"/>
  <c r="AH743" i="1"/>
  <c r="AH744" i="1"/>
  <c r="AH295" i="1"/>
  <c r="AH745" i="1"/>
  <c r="AH296" i="1"/>
  <c r="AH746" i="1"/>
  <c r="AH747" i="1"/>
  <c r="AH748" i="1"/>
  <c r="AH297" i="1"/>
  <c r="AH749" i="1"/>
  <c r="AH750" i="1"/>
  <c r="AH298" i="1"/>
  <c r="AH299" i="1"/>
  <c r="AH300" i="1"/>
  <c r="AH751" i="1"/>
  <c r="AH752" i="1"/>
  <c r="AH301" i="1"/>
  <c r="AH302" i="1"/>
  <c r="AH753" i="1"/>
  <c r="AH303" i="1"/>
  <c r="AH754" i="1"/>
  <c r="AH304" i="1"/>
  <c r="AH755" i="1"/>
  <c r="AH305" i="1"/>
  <c r="AH756" i="1"/>
  <c r="AH306" i="1"/>
  <c r="AH307" i="1"/>
  <c r="AH757" i="1"/>
  <c r="AH308" i="1"/>
  <c r="AH758" i="1"/>
  <c r="AH309" i="1"/>
  <c r="AH310" i="1"/>
  <c r="AH759" i="1"/>
  <c r="AH311" i="1"/>
  <c r="AH760" i="1"/>
  <c r="AH312" i="1"/>
  <c r="AH313" i="1"/>
  <c r="AH761" i="1"/>
  <c r="AH314" i="1"/>
  <c r="AH315" i="1"/>
  <c r="AH763" i="1"/>
  <c r="AH764" i="1"/>
  <c r="AH316" i="1"/>
  <c r="AH765" i="1"/>
  <c r="AH317" i="1"/>
  <c r="AH318" i="1"/>
  <c r="AH766" i="1"/>
  <c r="AH767" i="1"/>
  <c r="AH319" i="1"/>
  <c r="AH768" i="1"/>
  <c r="AH320" i="1"/>
  <c r="AH321" i="1"/>
  <c r="AH322" i="1"/>
  <c r="AH769" i="1"/>
  <c r="AH323" i="1"/>
  <c r="AH324" i="1"/>
  <c r="AH325" i="1"/>
  <c r="AH770" i="1"/>
  <c r="AH771" i="1"/>
  <c r="AH772" i="1"/>
  <c r="AH326" i="1"/>
  <c r="AH774" i="1"/>
  <c r="AH327" i="1"/>
  <c r="AH775" i="1"/>
  <c r="AH328" i="1"/>
  <c r="AH776" i="1"/>
  <c r="AH329" i="1"/>
  <c r="AH330" i="1"/>
  <c r="AH777" i="1"/>
  <c r="AH778" i="1"/>
  <c r="AH331" i="1"/>
  <c r="AH332" i="1"/>
  <c r="AH333" i="1"/>
  <c r="AH779" i="1"/>
  <c r="AH780" i="1"/>
  <c r="AH781" i="1"/>
  <c r="AH782" i="1"/>
  <c r="AH334" i="1"/>
  <c r="AH335" i="1"/>
  <c r="AH336" i="1"/>
  <c r="AH337" i="1"/>
  <c r="AH783" i="1"/>
  <c r="AH338" i="1"/>
  <c r="AH784" i="1"/>
  <c r="AH339" i="1"/>
  <c r="AH785" i="1"/>
  <c r="AH340" i="1"/>
  <c r="AH342" i="1"/>
  <c r="AH786" i="1"/>
  <c r="AH343" i="1"/>
  <c r="AH344" i="1"/>
  <c r="AH787" i="1"/>
  <c r="AH788" i="1"/>
  <c r="AH789" i="1"/>
  <c r="AH790" i="1"/>
  <c r="AH791" i="1"/>
  <c r="AH345" i="1"/>
  <c r="AH792" i="1"/>
  <c r="AH346" i="1"/>
  <c r="AH793" i="1"/>
  <c r="AH794" i="1"/>
  <c r="AH347" i="1"/>
  <c r="AH348" i="1"/>
  <c r="AH349" i="1"/>
  <c r="AH350" i="1"/>
  <c r="AH351" i="1"/>
  <c r="AH352" i="1"/>
  <c r="AH353" i="1"/>
  <c r="AH354" i="1"/>
  <c r="AH355" i="1"/>
  <c r="AH795" i="1"/>
  <c r="AH356" i="1"/>
  <c r="AH357" i="1"/>
  <c r="AH358" i="1"/>
  <c r="AH796" i="1"/>
  <c r="AH797" i="1"/>
  <c r="AH798" i="1"/>
  <c r="AH799" i="1"/>
  <c r="AH359" i="1"/>
  <c r="AH360" i="1"/>
  <c r="AH800" i="1"/>
  <c r="AH802" i="1"/>
  <c r="AH803" i="1"/>
  <c r="AH361" i="1"/>
  <c r="AH362" i="1"/>
  <c r="AH363" i="1"/>
  <c r="AH364" i="1"/>
  <c r="AH365" i="1"/>
  <c r="AH804" i="1"/>
  <c r="AH805" i="1"/>
  <c r="AH366" i="1"/>
  <c r="AH367" i="1"/>
  <c r="AH806" i="1"/>
  <c r="AH368" i="1"/>
  <c r="AH369" i="1"/>
  <c r="AH807" i="1"/>
  <c r="AH370" i="1"/>
  <c r="AH808" i="1"/>
  <c r="AH371" i="1"/>
  <c r="AH809" i="1"/>
  <c r="AH810" i="1"/>
  <c r="AH811" i="1"/>
  <c r="AH812" i="1"/>
  <c r="AH813" i="1"/>
  <c r="AH372" i="1"/>
  <c r="AH814" i="1"/>
  <c r="AH815" i="1"/>
  <c r="AH816" i="1"/>
  <c r="AH817" i="1"/>
  <c r="AH373" i="1"/>
  <c r="AH374" i="1"/>
  <c r="AH375" i="1"/>
  <c r="AH376" i="1"/>
  <c r="AH818" i="1"/>
  <c r="AH377" i="1"/>
  <c r="AH819" i="1"/>
  <c r="AH378" i="1"/>
  <c r="AH379" i="1"/>
  <c r="AH820" i="1"/>
  <c r="AH380" i="1"/>
  <c r="AH381" i="1"/>
  <c r="AH821" i="1"/>
  <c r="AH382" i="1"/>
  <c r="AH822" i="1"/>
  <c r="AH823" i="1"/>
  <c r="AH383" i="1"/>
  <c r="AH384" i="1"/>
  <c r="AH825" i="1"/>
  <c r="AH385" i="1"/>
  <c r="AH386" i="1"/>
  <c r="AH826" i="1"/>
  <c r="AH827" i="1"/>
  <c r="AH828" i="1"/>
  <c r="AH829" i="1"/>
  <c r="AH387" i="1"/>
  <c r="AH830" i="1"/>
  <c r="AH831" i="1"/>
  <c r="AH388" i="1"/>
  <c r="AH389" i="1"/>
  <c r="AH390" i="1"/>
  <c r="AH832" i="1"/>
  <c r="AH833" i="1"/>
  <c r="AH834" i="1"/>
  <c r="AH391" i="1"/>
  <c r="AH836" i="1"/>
  <c r="AH837" i="1"/>
  <c r="AH392" i="1"/>
  <c r="AH393" i="1"/>
  <c r="AH394" i="1"/>
  <c r="AH395" i="1"/>
  <c r="AH838" i="1"/>
  <c r="AH396" i="1"/>
  <c r="AH397" i="1"/>
  <c r="AH399" i="1"/>
  <c r="AH400" i="1"/>
  <c r="AH839" i="1"/>
  <c r="AH840" i="1"/>
  <c r="AH841" i="1"/>
  <c r="AH401" i="1"/>
  <c r="AH842" i="1"/>
  <c r="AH402" i="1"/>
  <c r="AH843" i="1"/>
  <c r="AH844" i="1"/>
  <c r="AH845" i="1"/>
  <c r="AH846" i="1"/>
  <c r="AH847" i="1"/>
  <c r="AH404" i="1"/>
  <c r="AH848" i="1"/>
  <c r="AH405" i="1"/>
  <c r="AH850" i="1"/>
  <c r="AH406" i="1"/>
  <c r="AH851" i="1"/>
  <c r="AH407" i="1"/>
  <c r="AH852" i="1"/>
  <c r="AH408" i="1"/>
  <c r="AH409" i="1"/>
  <c r="AH410" i="1"/>
  <c r="AH853" i="1"/>
  <c r="AH855" i="1"/>
  <c r="AH411" i="1"/>
  <c r="AH412" i="1"/>
  <c r="AH413" i="1"/>
  <c r="AH414" i="1"/>
  <c r="AH415" i="1"/>
  <c r="AH416" i="1"/>
  <c r="AH417" i="1"/>
  <c r="AH856" i="1"/>
  <c r="AH418" i="1"/>
  <c r="AH419" i="1"/>
  <c r="AH857" i="1"/>
  <c r="AH420" i="1"/>
  <c r="AH858" i="1"/>
  <c r="AH859" i="1"/>
  <c r="AH421" i="1"/>
  <c r="AH860" i="1"/>
  <c r="AH422" i="1"/>
  <c r="AH423" i="1"/>
  <c r="AH424" i="1"/>
  <c r="AH861" i="1"/>
  <c r="AH862" i="1"/>
  <c r="AH425" i="1"/>
  <c r="AH426" i="1"/>
  <c r="AH863" i="1"/>
  <c r="AH864" i="1"/>
  <c r="AH427" i="1"/>
  <c r="AH865" i="1"/>
  <c r="AH428" i="1"/>
  <c r="AH429" i="1"/>
  <c r="AH430" i="1"/>
  <c r="AH866" i="1"/>
  <c r="AH431" i="1"/>
  <c r="AH867" i="1"/>
  <c r="AH868" i="1"/>
  <c r="AH869" i="1"/>
  <c r="AH432" i="1"/>
  <c r="AH433" i="1"/>
  <c r="AH870" i="1"/>
  <c r="AH434" i="1"/>
  <c r="AH435" i="1"/>
  <c r="AH436" i="1"/>
  <c r="AH871" i="1"/>
  <c r="AH872" i="1"/>
  <c r="AH873" i="1"/>
  <c r="AH437" i="1"/>
  <c r="AH874" i="1"/>
  <c r="AH438" i="1"/>
  <c r="AH439" i="1"/>
  <c r="AH440" i="1"/>
  <c r="AH441" i="1"/>
  <c r="AH442" i="1"/>
  <c r="AH875" i="1"/>
  <c r="AH443" i="1"/>
  <c r="AH876" i="1"/>
  <c r="AH444" i="1"/>
  <c r="AH877" i="1"/>
  <c r="AH445" i="1"/>
  <c r="AH446" i="1"/>
  <c r="AH878" i="1"/>
  <c r="AH447" i="1"/>
  <c r="AH448" i="1"/>
  <c r="AH879" i="1"/>
  <c r="AH449" i="1"/>
  <c r="AH880" i="1"/>
  <c r="AH450" i="1"/>
  <c r="AH451" i="1"/>
  <c r="AH452" i="1"/>
  <c r="AH881" i="1"/>
  <c r="AH453" i="1"/>
  <c r="AH454" i="1"/>
  <c r="AH882" i="1"/>
  <c r="AH883" i="1"/>
  <c r="AH455" i="1"/>
  <c r="AH884" i="1"/>
  <c r="AH885" i="1"/>
  <c r="AH456" i="1"/>
  <c r="AH886" i="1"/>
  <c r="AH887" i="1"/>
  <c r="AH888" i="1"/>
  <c r="AH457" i="1"/>
  <c r="AH458" i="1"/>
  <c r="AH459" i="1"/>
  <c r="AH889" i="1"/>
  <c r="AH890" i="1"/>
  <c r="AH460" i="1"/>
  <c r="AH461" i="1"/>
  <c r="AH891" i="1"/>
  <c r="AH462" i="1"/>
  <c r="AH463" i="1"/>
  <c r="AH892" i="1"/>
  <c r="AH464" i="1"/>
  <c r="AH465" i="1"/>
  <c r="AH893" i="1"/>
  <c r="AH894" i="1"/>
  <c r="AH895" i="1"/>
  <c r="AH896" i="1"/>
  <c r="AH466" i="1"/>
  <c r="AH897" i="1"/>
  <c r="AH467" i="1"/>
  <c r="AH898" i="1"/>
  <c r="AH899" i="1"/>
  <c r="AH900" i="1"/>
  <c r="AH468" i="1"/>
  <c r="AH469" i="1"/>
  <c r="AH901" i="1"/>
  <c r="AH470" i="1"/>
  <c r="AH902" i="1"/>
  <c r="AH903" i="1"/>
  <c r="AH471" i="1"/>
  <c r="AH904" i="1"/>
  <c r="AH905" i="1"/>
  <c r="AH472" i="1"/>
  <c r="AH906" i="1"/>
  <c r="AH907" i="1"/>
  <c r="AH473" i="1"/>
  <c r="AH474" i="1"/>
  <c r="AH908" i="1"/>
  <c r="AH909" i="1"/>
  <c r="AH475" i="1"/>
  <c r="AH477" i="1"/>
  <c r="AH478" i="1"/>
  <c r="AH479" i="1"/>
  <c r="AH910" i="1"/>
  <c r="AH911" i="1"/>
  <c r="AH480" i="1"/>
  <c r="AH481" i="1"/>
  <c r="AH482" i="1"/>
  <c r="AH483" i="1"/>
  <c r="AH484" i="1"/>
  <c r="AH485" i="1"/>
  <c r="AH912" i="1"/>
  <c r="AH913" i="1"/>
  <c r="AH914" i="1"/>
  <c r="AH915" i="1"/>
  <c r="AH916" i="1"/>
  <c r="AH917" i="1"/>
  <c r="AH486" i="1"/>
  <c r="AH918" i="1"/>
  <c r="AH919" i="1"/>
  <c r="AH920" i="1"/>
  <c r="AH487" i="1"/>
  <c r="AH488" i="1"/>
  <c r="AH921" i="1"/>
  <c r="AH922" i="1"/>
  <c r="AH489" i="1"/>
  <c r="AH490" i="1"/>
  <c r="AH923" i="1"/>
  <c r="AH491" i="1"/>
  <c r="AH924" i="1"/>
  <c r="AH492" i="1"/>
  <c r="AH493" i="1"/>
  <c r="AH925" i="1"/>
  <c r="AH926" i="1"/>
  <c r="AH927" i="1"/>
  <c r="AH494" i="1"/>
  <c r="AH928" i="1"/>
  <c r="AH495" i="1"/>
  <c r="AH929" i="1"/>
  <c r="AH930" i="1"/>
  <c r="AH496" i="1"/>
  <c r="AH497" i="1"/>
  <c r="AH931" i="1"/>
  <c r="AH498" i="1"/>
  <c r="AH499" i="1"/>
  <c r="AH500" i="1"/>
  <c r="AH501" i="1"/>
  <c r="AH932" i="1"/>
  <c r="AH502" i="1"/>
  <c r="AH933" i="1"/>
  <c r="AH288" i="1"/>
  <c r="AH341" i="1"/>
  <c r="AH835" i="1"/>
  <c r="AH398" i="1"/>
  <c r="AH163" i="1"/>
  <c r="AH801" i="1"/>
  <c r="AH854" i="1"/>
  <c r="AH86" i="1"/>
  <c r="AH849" i="1"/>
  <c r="AH695" i="1"/>
  <c r="AH78" i="1"/>
  <c r="AH149" i="1"/>
  <c r="AH683" i="1"/>
  <c r="AH166" i="1"/>
  <c r="AH403" i="1"/>
  <c r="AH762" i="1"/>
  <c r="AH476" i="1"/>
  <c r="AH556" i="1"/>
  <c r="AH824" i="1"/>
  <c r="AH505" i="1"/>
  <c r="AH195" i="1"/>
  <c r="AH539" i="1"/>
  <c r="AH680" i="1"/>
  <c r="AH608" i="1"/>
  <c r="AH649" i="1"/>
  <c r="AH579" i="1"/>
  <c r="AH239" i="1"/>
  <c r="AH773" i="1"/>
  <c r="AH91" i="1"/>
  <c r="AH159" i="1"/>
  <c r="AH79" i="1"/>
  <c r="AH659" i="1"/>
  <c r="AH2" i="1"/>
  <c r="AJ3" i="1"/>
  <c r="AJ4" i="1"/>
  <c r="AJ5" i="1"/>
  <c r="AJ503" i="1"/>
  <c r="AJ6" i="1"/>
  <c r="AJ504" i="1"/>
  <c r="AJ506" i="1"/>
  <c r="AJ7" i="1"/>
  <c r="AJ507" i="1"/>
  <c r="AJ508" i="1"/>
  <c r="AJ8" i="1"/>
  <c r="AJ9" i="1"/>
  <c r="AJ509" i="1"/>
  <c r="AJ10" i="1"/>
  <c r="AJ11" i="1"/>
  <c r="AJ12" i="1"/>
  <c r="AJ13" i="1"/>
  <c r="AJ510" i="1"/>
  <c r="AJ14" i="1"/>
  <c r="AJ511" i="1"/>
  <c r="AJ512" i="1"/>
  <c r="AJ513" i="1"/>
  <c r="AJ514" i="1"/>
  <c r="AJ15" i="1"/>
  <c r="AJ16" i="1"/>
  <c r="AJ17" i="1"/>
  <c r="AJ515" i="1"/>
  <c r="AJ18" i="1"/>
  <c r="AJ516" i="1"/>
  <c r="AJ19" i="1"/>
  <c r="AJ517" i="1"/>
  <c r="AJ20" i="1"/>
  <c r="AJ21" i="1"/>
  <c r="AJ518" i="1"/>
  <c r="AJ22" i="1"/>
  <c r="AJ23" i="1"/>
  <c r="AJ519" i="1"/>
  <c r="AJ24" i="1"/>
  <c r="AJ25" i="1"/>
  <c r="AJ26" i="1"/>
  <c r="AJ27" i="1"/>
  <c r="AJ520" i="1"/>
  <c r="AJ28" i="1"/>
  <c r="AJ29" i="1"/>
  <c r="AJ30" i="1"/>
  <c r="AJ31" i="1"/>
  <c r="AJ32" i="1"/>
  <c r="AJ521" i="1"/>
  <c r="AJ33" i="1"/>
  <c r="AJ522" i="1"/>
  <c r="AJ34" i="1"/>
  <c r="AJ35" i="1"/>
  <c r="AJ523" i="1"/>
  <c r="AJ524" i="1"/>
  <c r="AJ525" i="1"/>
  <c r="AJ526" i="1"/>
  <c r="AJ36" i="1"/>
  <c r="AJ37" i="1"/>
  <c r="AJ38" i="1"/>
  <c r="AJ39" i="1"/>
  <c r="AJ40" i="1"/>
  <c r="AJ41" i="1"/>
  <c r="AJ42" i="1"/>
  <c r="AJ43" i="1"/>
  <c r="AJ44" i="1"/>
  <c r="AJ527" i="1"/>
  <c r="AJ528" i="1"/>
  <c r="AJ45" i="1"/>
  <c r="AJ46" i="1"/>
  <c r="AJ529" i="1"/>
  <c r="AJ530" i="1"/>
  <c r="AJ47" i="1"/>
  <c r="AJ531" i="1"/>
  <c r="AJ532" i="1"/>
  <c r="AJ533" i="1"/>
  <c r="AJ48" i="1"/>
  <c r="AJ534" i="1"/>
  <c r="AJ535" i="1"/>
  <c r="AJ536" i="1"/>
  <c r="AJ49" i="1"/>
  <c r="AJ537" i="1"/>
  <c r="AJ50" i="1"/>
  <c r="AJ51" i="1"/>
  <c r="AJ52" i="1"/>
  <c r="AJ53" i="1"/>
  <c r="AJ54" i="1"/>
  <c r="AJ55" i="1"/>
  <c r="AJ56" i="1"/>
  <c r="AJ57" i="1"/>
  <c r="AJ538" i="1"/>
  <c r="AJ540" i="1"/>
  <c r="AJ541" i="1"/>
  <c r="AJ58" i="1"/>
  <c r="AJ59" i="1"/>
  <c r="AJ542" i="1"/>
  <c r="AJ60" i="1"/>
  <c r="AJ543" i="1"/>
  <c r="AJ61" i="1"/>
  <c r="AJ544" i="1"/>
  <c r="AJ545" i="1"/>
  <c r="AJ62" i="1"/>
  <c r="AJ546" i="1"/>
  <c r="AJ547" i="1"/>
  <c r="AJ548" i="1"/>
  <c r="AJ63" i="1"/>
  <c r="AJ64" i="1"/>
  <c r="AJ65" i="1"/>
  <c r="AJ66" i="1"/>
  <c r="AJ549" i="1"/>
  <c r="AJ67" i="1"/>
  <c r="AJ550" i="1"/>
  <c r="AJ68" i="1"/>
  <c r="AJ69" i="1"/>
  <c r="AJ70" i="1"/>
  <c r="AJ71" i="1"/>
  <c r="AJ551" i="1"/>
  <c r="AJ72" i="1"/>
  <c r="AJ73" i="1"/>
  <c r="AJ74" i="1"/>
  <c r="AJ75" i="1"/>
  <c r="AJ552" i="1"/>
  <c r="AJ76" i="1"/>
  <c r="AJ77" i="1"/>
  <c r="AJ80" i="1"/>
  <c r="AJ553" i="1"/>
  <c r="AJ554" i="1"/>
  <c r="AJ555" i="1"/>
  <c r="AJ81" i="1"/>
  <c r="AJ82" i="1"/>
  <c r="AJ83" i="1"/>
  <c r="AJ557" i="1"/>
  <c r="AJ84" i="1"/>
  <c r="AJ85" i="1"/>
  <c r="AJ558" i="1"/>
  <c r="AJ559" i="1"/>
  <c r="AJ560" i="1"/>
  <c r="AJ561" i="1"/>
  <c r="AJ87" i="1"/>
  <c r="AJ562" i="1"/>
  <c r="AJ88" i="1"/>
  <c r="AJ89" i="1"/>
  <c r="AJ90" i="1"/>
  <c r="AJ92" i="1"/>
  <c r="AJ93" i="1"/>
  <c r="AJ563" i="1"/>
  <c r="AJ564" i="1"/>
  <c r="AJ94" i="1"/>
  <c r="AJ565" i="1"/>
  <c r="AJ95" i="1"/>
  <c r="AJ96" i="1"/>
  <c r="AJ97" i="1"/>
  <c r="AJ98" i="1"/>
  <c r="AJ566" i="1"/>
  <c r="AJ99" i="1"/>
  <c r="AJ567" i="1"/>
  <c r="AJ568" i="1"/>
  <c r="AJ100" i="1"/>
  <c r="AJ101" i="1"/>
  <c r="AJ569" i="1"/>
  <c r="AJ570" i="1"/>
  <c r="AJ571" i="1"/>
  <c r="AJ102" i="1"/>
  <c r="AJ572" i="1"/>
  <c r="AJ573" i="1"/>
  <c r="AJ103" i="1"/>
  <c r="AJ574" i="1"/>
  <c r="AJ575" i="1"/>
  <c r="AJ576" i="1"/>
  <c r="AJ577" i="1"/>
  <c r="AJ578" i="1"/>
  <c r="AJ580" i="1"/>
  <c r="AJ581" i="1"/>
  <c r="AJ104" i="1"/>
  <c r="AJ582" i="1"/>
  <c r="AJ105" i="1"/>
  <c r="AJ583" i="1"/>
  <c r="AJ106" i="1"/>
  <c r="AJ107" i="1"/>
  <c r="AJ108" i="1"/>
  <c r="AJ109" i="1"/>
  <c r="AJ584" i="1"/>
  <c r="AJ110" i="1"/>
  <c r="AJ585" i="1"/>
  <c r="AJ111" i="1"/>
  <c r="AJ112" i="1"/>
  <c r="AJ113" i="1"/>
  <c r="AJ586" i="1"/>
  <c r="AJ587" i="1"/>
  <c r="AJ588" i="1"/>
  <c r="AJ589" i="1"/>
  <c r="AJ114" i="1"/>
  <c r="AJ115" i="1"/>
  <c r="AJ116" i="1"/>
  <c r="AJ590" i="1"/>
  <c r="AJ591" i="1"/>
  <c r="AJ117" i="1"/>
  <c r="AJ592" i="1"/>
  <c r="AJ118" i="1"/>
  <c r="AJ119" i="1"/>
  <c r="AJ593" i="1"/>
  <c r="AJ594" i="1"/>
  <c r="AJ595" i="1"/>
  <c r="AJ120" i="1"/>
  <c r="AJ596" i="1"/>
  <c r="AJ597" i="1"/>
  <c r="AJ598" i="1"/>
  <c r="AJ121" i="1"/>
  <c r="AJ599" i="1"/>
  <c r="AJ600" i="1"/>
  <c r="AJ122" i="1"/>
  <c r="AJ123" i="1"/>
  <c r="AJ124" i="1"/>
  <c r="AJ125" i="1"/>
  <c r="AJ126" i="1"/>
  <c r="AJ127" i="1"/>
  <c r="AJ601" i="1"/>
  <c r="AJ602" i="1"/>
  <c r="AJ603" i="1"/>
  <c r="AJ128" i="1"/>
  <c r="AJ129" i="1"/>
  <c r="AJ604" i="1"/>
  <c r="AJ605" i="1"/>
  <c r="AJ606" i="1"/>
  <c r="AJ607" i="1"/>
  <c r="AJ130" i="1"/>
  <c r="AJ609" i="1"/>
  <c r="AJ131" i="1"/>
  <c r="AJ132" i="1"/>
  <c r="AJ610" i="1"/>
  <c r="AJ133" i="1"/>
  <c r="AJ134" i="1"/>
  <c r="AJ611" i="1"/>
  <c r="AJ135" i="1"/>
  <c r="AJ136" i="1"/>
  <c r="AJ137" i="1"/>
  <c r="AJ138" i="1"/>
  <c r="AJ139" i="1"/>
  <c r="AJ140" i="1"/>
  <c r="AJ141" i="1"/>
  <c r="AJ142" i="1"/>
  <c r="AJ612" i="1"/>
  <c r="AJ613" i="1"/>
  <c r="AJ614" i="1"/>
  <c r="AJ143" i="1"/>
  <c r="AJ144" i="1"/>
  <c r="AJ145" i="1"/>
  <c r="AJ146" i="1"/>
  <c r="AJ147" i="1"/>
  <c r="AJ615" i="1"/>
  <c r="AJ148" i="1"/>
  <c r="AJ616" i="1"/>
  <c r="AJ617" i="1"/>
  <c r="AJ150" i="1"/>
  <c r="AJ618" i="1"/>
  <c r="AJ619" i="1"/>
  <c r="AJ151" i="1"/>
  <c r="AJ620" i="1"/>
  <c r="AJ152" i="1"/>
  <c r="AJ153" i="1"/>
  <c r="AJ621" i="1"/>
  <c r="AJ622" i="1"/>
  <c r="AJ623" i="1"/>
  <c r="AJ624" i="1"/>
  <c r="AJ154" i="1"/>
  <c r="AJ155" i="1"/>
  <c r="AJ625" i="1"/>
  <c r="AJ626" i="1"/>
  <c r="AJ627" i="1"/>
  <c r="AJ628" i="1"/>
  <c r="AJ156" i="1"/>
  <c r="AJ157" i="1"/>
  <c r="AJ158" i="1"/>
  <c r="AJ629" i="1"/>
  <c r="AJ160" i="1"/>
  <c r="AJ161" i="1"/>
  <c r="AJ162" i="1"/>
  <c r="AJ630" i="1"/>
  <c r="AJ631" i="1"/>
  <c r="AJ164" i="1"/>
  <c r="AJ165" i="1"/>
  <c r="AJ632" i="1"/>
  <c r="AJ167" i="1"/>
  <c r="AJ633" i="1"/>
  <c r="AJ168" i="1"/>
  <c r="AJ634" i="1"/>
  <c r="AJ169" i="1"/>
  <c r="AJ170" i="1"/>
  <c r="AJ171" i="1"/>
  <c r="AJ635" i="1"/>
  <c r="AJ636" i="1"/>
  <c r="AJ172" i="1"/>
  <c r="AJ637" i="1"/>
  <c r="AJ173" i="1"/>
  <c r="AJ638" i="1"/>
  <c r="AJ639" i="1"/>
  <c r="AJ640" i="1"/>
  <c r="AJ174" i="1"/>
  <c r="AJ641" i="1"/>
  <c r="AJ175" i="1"/>
  <c r="AJ176" i="1"/>
  <c r="AJ642" i="1"/>
  <c r="AJ643" i="1"/>
  <c r="AJ177" i="1"/>
  <c r="AJ178" i="1"/>
  <c r="AJ179" i="1"/>
  <c r="AJ644" i="1"/>
  <c r="AJ645" i="1"/>
  <c r="AJ646" i="1"/>
  <c r="AJ180" i="1"/>
  <c r="AJ181" i="1"/>
  <c r="AJ182" i="1"/>
  <c r="AJ183" i="1"/>
  <c r="AJ647" i="1"/>
  <c r="AJ648" i="1"/>
  <c r="AJ184" i="1"/>
  <c r="AJ185" i="1"/>
  <c r="AJ650" i="1"/>
  <c r="AJ186" i="1"/>
  <c r="AJ187" i="1"/>
  <c r="AJ188" i="1"/>
  <c r="AJ189" i="1"/>
  <c r="AJ190" i="1"/>
  <c r="AJ191" i="1"/>
  <c r="AJ651" i="1"/>
  <c r="AJ652" i="1"/>
  <c r="AJ653" i="1"/>
  <c r="AJ192" i="1"/>
  <c r="AJ654" i="1"/>
  <c r="AJ655" i="1"/>
  <c r="AJ193" i="1"/>
  <c r="AJ194" i="1"/>
  <c r="AJ656" i="1"/>
  <c r="AJ657" i="1"/>
  <c r="AJ196" i="1"/>
  <c r="AJ658" i="1"/>
  <c r="AJ197" i="1"/>
  <c r="AJ198" i="1"/>
  <c r="AJ199" i="1"/>
  <c r="AJ660" i="1"/>
  <c r="AJ200" i="1"/>
  <c r="AJ661" i="1"/>
  <c r="AJ662" i="1"/>
  <c r="AJ663" i="1"/>
  <c r="AJ201" i="1"/>
  <c r="AJ202" i="1"/>
  <c r="AJ664" i="1"/>
  <c r="AJ203" i="1"/>
  <c r="AJ204" i="1"/>
  <c r="AJ665" i="1"/>
  <c r="AJ205" i="1"/>
  <c r="AJ666" i="1"/>
  <c r="AJ667" i="1"/>
  <c r="AJ668" i="1"/>
  <c r="AJ206" i="1"/>
  <c r="AJ207" i="1"/>
  <c r="AJ669" i="1"/>
  <c r="AJ670" i="1"/>
  <c r="AJ671" i="1"/>
  <c r="AJ208" i="1"/>
  <c r="AJ209" i="1"/>
  <c r="AJ672" i="1"/>
  <c r="AJ210" i="1"/>
  <c r="AJ673" i="1"/>
  <c r="AJ674" i="1"/>
  <c r="AJ211" i="1"/>
  <c r="AJ675" i="1"/>
  <c r="AJ212" i="1"/>
  <c r="AJ676" i="1"/>
  <c r="AJ677" i="1"/>
  <c r="AJ213" i="1"/>
  <c r="AJ214" i="1"/>
  <c r="AJ678" i="1"/>
  <c r="AJ679" i="1"/>
  <c r="AJ681" i="1"/>
  <c r="AJ215" i="1"/>
  <c r="AJ216" i="1"/>
  <c r="AJ682" i="1"/>
  <c r="AJ684" i="1"/>
  <c r="AJ217" i="1"/>
  <c r="AJ218" i="1"/>
  <c r="AJ685" i="1"/>
  <c r="AJ686" i="1"/>
  <c r="AJ687" i="1"/>
  <c r="AJ219" i="1"/>
  <c r="AJ688" i="1"/>
  <c r="AJ689" i="1"/>
  <c r="AJ690" i="1"/>
  <c r="AJ220" i="1"/>
  <c r="AJ221" i="1"/>
  <c r="AJ222" i="1"/>
  <c r="AJ691" i="1"/>
  <c r="AJ223" i="1"/>
  <c r="AJ224" i="1"/>
  <c r="AJ225" i="1"/>
  <c r="AJ226" i="1"/>
  <c r="AJ692" i="1"/>
  <c r="AJ693" i="1"/>
  <c r="AJ227" i="1"/>
  <c r="AJ694" i="1"/>
  <c r="AJ696" i="1"/>
  <c r="AJ697" i="1"/>
  <c r="AJ228" i="1"/>
  <c r="AJ229" i="1"/>
  <c r="AJ230" i="1"/>
  <c r="AJ231" i="1"/>
  <c r="AJ698" i="1"/>
  <c r="AJ232" i="1"/>
  <c r="AJ699" i="1"/>
  <c r="AJ700" i="1"/>
  <c r="AJ233" i="1"/>
  <c r="AJ701" i="1"/>
  <c r="AJ234" i="1"/>
  <c r="AJ702" i="1"/>
  <c r="AJ235" i="1"/>
  <c r="AJ236" i="1"/>
  <c r="AJ703" i="1"/>
  <c r="AJ704" i="1"/>
  <c r="AJ237" i="1"/>
  <c r="AJ705" i="1"/>
  <c r="AJ706" i="1"/>
  <c r="AJ707" i="1"/>
  <c r="AJ708" i="1"/>
  <c r="AJ238" i="1"/>
  <c r="AJ240" i="1"/>
  <c r="AJ241" i="1"/>
  <c r="AJ242" i="1"/>
  <c r="AJ709" i="1"/>
  <c r="AJ710" i="1"/>
  <c r="AJ711" i="1"/>
  <c r="AJ243" i="1"/>
  <c r="AJ244" i="1"/>
  <c r="AJ245" i="1"/>
  <c r="AJ246" i="1"/>
  <c r="AJ712" i="1"/>
  <c r="AJ713" i="1"/>
  <c r="AJ247" i="1"/>
  <c r="AJ248" i="1"/>
  <c r="AJ714" i="1"/>
  <c r="AJ715" i="1"/>
  <c r="AJ249" i="1"/>
  <c r="AJ250" i="1"/>
  <c r="AJ716" i="1"/>
  <c r="AJ251" i="1"/>
  <c r="AJ717" i="1"/>
  <c r="AJ252" i="1"/>
  <c r="AJ718" i="1"/>
  <c r="AJ719" i="1"/>
  <c r="AJ253" i="1"/>
  <c r="AJ254" i="1"/>
  <c r="AJ720" i="1"/>
  <c r="AJ255" i="1"/>
  <c r="AJ256" i="1"/>
  <c r="AJ721" i="1"/>
  <c r="AJ722" i="1"/>
  <c r="AJ257" i="1"/>
  <c r="AJ258" i="1"/>
  <c r="AJ259" i="1"/>
  <c r="AJ260" i="1"/>
  <c r="AJ261" i="1"/>
  <c r="AJ723" i="1"/>
  <c r="AJ724" i="1"/>
  <c r="AJ262" i="1"/>
  <c r="AJ725" i="1"/>
  <c r="AJ726" i="1"/>
  <c r="AJ263" i="1"/>
  <c r="AJ264" i="1"/>
  <c r="AJ265" i="1"/>
  <c r="AJ727" i="1"/>
  <c r="AJ266" i="1"/>
  <c r="AJ267" i="1"/>
  <c r="AJ268" i="1"/>
  <c r="AJ269" i="1"/>
  <c r="AJ270" i="1"/>
  <c r="AJ271" i="1"/>
  <c r="AJ728" i="1"/>
  <c r="AJ272" i="1"/>
  <c r="AJ729" i="1"/>
  <c r="AJ273" i="1"/>
  <c r="AJ274" i="1"/>
  <c r="AJ730" i="1"/>
  <c r="AJ731" i="1"/>
  <c r="AJ275" i="1"/>
  <c r="AJ276" i="1"/>
  <c r="AJ277" i="1"/>
  <c r="AJ732" i="1"/>
  <c r="AJ733" i="1"/>
  <c r="AJ734" i="1"/>
  <c r="AJ278" i="1"/>
  <c r="AJ279" i="1"/>
  <c r="AJ280" i="1"/>
  <c r="AJ735" i="1"/>
  <c r="AJ736" i="1"/>
  <c r="AJ737" i="1"/>
  <c r="AJ281" i="1"/>
  <c r="AJ282" i="1"/>
  <c r="AJ738" i="1"/>
  <c r="AJ283" i="1"/>
  <c r="AJ739" i="1"/>
  <c r="AJ284" i="1"/>
  <c r="AJ285" i="1"/>
  <c r="AJ286" i="1"/>
  <c r="AJ287" i="1"/>
  <c r="AJ289" i="1"/>
  <c r="AJ740" i="1"/>
  <c r="AJ290" i="1"/>
  <c r="AJ291" i="1"/>
  <c r="AJ741" i="1"/>
  <c r="AJ292" i="1"/>
  <c r="AJ742" i="1"/>
  <c r="AJ293" i="1"/>
  <c r="AJ294" i="1"/>
  <c r="AJ743" i="1"/>
  <c r="AJ744" i="1"/>
  <c r="AJ295" i="1"/>
  <c r="AJ745" i="1"/>
  <c r="AJ296" i="1"/>
  <c r="AJ746" i="1"/>
  <c r="AJ747" i="1"/>
  <c r="AJ748" i="1"/>
  <c r="AJ297" i="1"/>
  <c r="AJ749" i="1"/>
  <c r="AJ750" i="1"/>
  <c r="AJ298" i="1"/>
  <c r="AJ299" i="1"/>
  <c r="AJ300" i="1"/>
  <c r="AJ751" i="1"/>
  <c r="AJ752" i="1"/>
  <c r="AJ301" i="1"/>
  <c r="AJ302" i="1"/>
  <c r="AJ753" i="1"/>
  <c r="AJ303" i="1"/>
  <c r="AJ754" i="1"/>
  <c r="AJ304" i="1"/>
  <c r="AJ755" i="1"/>
  <c r="AJ305" i="1"/>
  <c r="AJ756" i="1"/>
  <c r="AJ306" i="1"/>
  <c r="AJ307" i="1"/>
  <c r="AJ757" i="1"/>
  <c r="AJ308" i="1"/>
  <c r="AJ758" i="1"/>
  <c r="AJ309" i="1"/>
  <c r="AJ310" i="1"/>
  <c r="AJ759" i="1"/>
  <c r="AJ311" i="1"/>
  <c r="AJ760" i="1"/>
  <c r="AJ312" i="1"/>
  <c r="AJ313" i="1"/>
  <c r="AJ761" i="1"/>
  <c r="AJ314" i="1"/>
  <c r="AJ315" i="1"/>
  <c r="AJ763" i="1"/>
  <c r="AJ764" i="1"/>
  <c r="AJ316" i="1"/>
  <c r="AJ765" i="1"/>
  <c r="AJ317" i="1"/>
  <c r="AJ318" i="1"/>
  <c r="AJ766" i="1"/>
  <c r="AJ767" i="1"/>
  <c r="AJ319" i="1"/>
  <c r="AJ768" i="1"/>
  <c r="AJ320" i="1"/>
  <c r="AJ321" i="1"/>
  <c r="AJ322" i="1"/>
  <c r="AJ769" i="1"/>
  <c r="AJ323" i="1"/>
  <c r="AJ324" i="1"/>
  <c r="AJ325" i="1"/>
  <c r="AJ770" i="1"/>
  <c r="AJ771" i="1"/>
  <c r="AJ772" i="1"/>
  <c r="AJ326" i="1"/>
  <c r="AJ774" i="1"/>
  <c r="AJ327" i="1"/>
  <c r="AJ775" i="1"/>
  <c r="AJ328" i="1"/>
  <c r="AJ776" i="1"/>
  <c r="AJ329" i="1"/>
  <c r="AJ330" i="1"/>
  <c r="AJ777" i="1"/>
  <c r="AJ778" i="1"/>
  <c r="AJ331" i="1"/>
  <c r="AJ332" i="1"/>
  <c r="AJ333" i="1"/>
  <c r="AJ779" i="1"/>
  <c r="AJ780" i="1"/>
  <c r="AJ781" i="1"/>
  <c r="AJ782" i="1"/>
  <c r="AJ334" i="1"/>
  <c r="AJ335" i="1"/>
  <c r="AJ336" i="1"/>
  <c r="AJ337" i="1"/>
  <c r="AJ783" i="1"/>
  <c r="AJ338" i="1"/>
  <c r="AJ784" i="1"/>
  <c r="AJ339" i="1"/>
  <c r="AJ785" i="1"/>
  <c r="AJ340" i="1"/>
  <c r="AJ342" i="1"/>
  <c r="AJ786" i="1"/>
  <c r="AJ343" i="1"/>
  <c r="AJ344" i="1"/>
  <c r="AJ787" i="1"/>
  <c r="AJ788" i="1"/>
  <c r="AJ789" i="1"/>
  <c r="AJ790" i="1"/>
  <c r="AJ791" i="1"/>
  <c r="AJ345" i="1"/>
  <c r="AJ792" i="1"/>
  <c r="AJ346" i="1"/>
  <c r="AJ793" i="1"/>
  <c r="AJ794" i="1"/>
  <c r="AJ347" i="1"/>
  <c r="AJ348" i="1"/>
  <c r="AJ349" i="1"/>
  <c r="AJ350" i="1"/>
  <c r="AJ351" i="1"/>
  <c r="AJ352" i="1"/>
  <c r="AJ353" i="1"/>
  <c r="AJ354" i="1"/>
  <c r="AJ355" i="1"/>
  <c r="AJ795" i="1"/>
  <c r="AJ356" i="1"/>
  <c r="AJ357" i="1"/>
  <c r="AJ358" i="1"/>
  <c r="AJ796" i="1"/>
  <c r="AJ797" i="1"/>
  <c r="AJ798" i="1"/>
  <c r="AJ799" i="1"/>
  <c r="AJ359" i="1"/>
  <c r="AJ360" i="1"/>
  <c r="AJ800" i="1"/>
  <c r="AJ802" i="1"/>
  <c r="AJ803" i="1"/>
  <c r="AJ361" i="1"/>
  <c r="AJ362" i="1"/>
  <c r="AJ363" i="1"/>
  <c r="AJ364" i="1"/>
  <c r="AJ365" i="1"/>
  <c r="AJ804" i="1"/>
  <c r="AJ805" i="1"/>
  <c r="AJ366" i="1"/>
  <c r="AJ367" i="1"/>
  <c r="AJ806" i="1"/>
  <c r="AJ368" i="1"/>
  <c r="AJ369" i="1"/>
  <c r="AJ807" i="1"/>
  <c r="AJ370" i="1"/>
  <c r="AJ808" i="1"/>
  <c r="AJ371" i="1"/>
  <c r="AJ809" i="1"/>
  <c r="AJ810" i="1"/>
  <c r="AJ811" i="1"/>
  <c r="AJ812" i="1"/>
  <c r="AJ813" i="1"/>
  <c r="AJ372" i="1"/>
  <c r="AJ814" i="1"/>
  <c r="AJ815" i="1"/>
  <c r="AJ816" i="1"/>
  <c r="AJ817" i="1"/>
  <c r="AJ373" i="1"/>
  <c r="AJ374" i="1"/>
  <c r="AJ375" i="1"/>
  <c r="AJ376" i="1"/>
  <c r="AJ818" i="1"/>
  <c r="AJ377" i="1"/>
  <c r="AJ819" i="1"/>
  <c r="AJ378" i="1"/>
  <c r="AJ379" i="1"/>
  <c r="AJ820" i="1"/>
  <c r="AJ380" i="1"/>
  <c r="AJ381" i="1"/>
  <c r="AJ821" i="1"/>
  <c r="AJ382" i="1"/>
  <c r="AJ822" i="1"/>
  <c r="AJ823" i="1"/>
  <c r="AJ383" i="1"/>
  <c r="AJ384" i="1"/>
  <c r="AJ825" i="1"/>
  <c r="AJ385" i="1"/>
  <c r="AJ386" i="1"/>
  <c r="AJ826" i="1"/>
  <c r="AJ827" i="1"/>
  <c r="AJ828" i="1"/>
  <c r="AJ829" i="1"/>
  <c r="AJ387" i="1"/>
  <c r="AJ830" i="1"/>
  <c r="AJ831" i="1"/>
  <c r="AJ388" i="1"/>
  <c r="AJ389" i="1"/>
  <c r="AJ390" i="1"/>
  <c r="AJ832" i="1"/>
  <c r="AJ833" i="1"/>
  <c r="AJ834" i="1"/>
  <c r="AJ391" i="1"/>
  <c r="AJ836" i="1"/>
  <c r="AJ837" i="1"/>
  <c r="AJ392" i="1"/>
  <c r="AJ393" i="1"/>
  <c r="AJ394" i="1"/>
  <c r="AJ395" i="1"/>
  <c r="AJ838" i="1"/>
  <c r="AJ396" i="1"/>
  <c r="AJ397" i="1"/>
  <c r="AJ399" i="1"/>
  <c r="AJ400" i="1"/>
  <c r="AJ839" i="1"/>
  <c r="AJ840" i="1"/>
  <c r="AJ841" i="1"/>
  <c r="AJ401" i="1"/>
  <c r="AJ842" i="1"/>
  <c r="AJ402" i="1"/>
  <c r="AJ843" i="1"/>
  <c r="AJ844" i="1"/>
  <c r="AJ845" i="1"/>
  <c r="AJ846" i="1"/>
  <c r="AJ847" i="1"/>
  <c r="AJ404" i="1"/>
  <c r="AJ848" i="1"/>
  <c r="AJ405" i="1"/>
  <c r="AJ850" i="1"/>
  <c r="AJ406" i="1"/>
  <c r="AJ851" i="1"/>
  <c r="AJ407" i="1"/>
  <c r="AJ852" i="1"/>
  <c r="AJ408" i="1"/>
  <c r="AJ409" i="1"/>
  <c r="AJ410" i="1"/>
  <c r="AJ853" i="1"/>
  <c r="AJ855" i="1"/>
  <c r="AJ411" i="1"/>
  <c r="AJ412" i="1"/>
  <c r="AJ413" i="1"/>
  <c r="AJ414" i="1"/>
  <c r="AJ415" i="1"/>
  <c r="AJ416" i="1"/>
  <c r="AJ417" i="1"/>
  <c r="AJ856" i="1"/>
  <c r="AJ418" i="1"/>
  <c r="AJ419" i="1"/>
  <c r="AJ857" i="1"/>
  <c r="AJ420" i="1"/>
  <c r="AJ858" i="1"/>
  <c r="AJ859" i="1"/>
  <c r="AJ421" i="1"/>
  <c r="AJ860" i="1"/>
  <c r="AJ422" i="1"/>
  <c r="AJ423" i="1"/>
  <c r="AJ424" i="1"/>
  <c r="AJ861" i="1"/>
  <c r="AJ862" i="1"/>
  <c r="AJ425" i="1"/>
  <c r="AJ426" i="1"/>
  <c r="AJ863" i="1"/>
  <c r="AJ864" i="1"/>
  <c r="AJ427" i="1"/>
  <c r="AJ865" i="1"/>
  <c r="AJ428" i="1"/>
  <c r="AJ429" i="1"/>
  <c r="AJ430" i="1"/>
  <c r="AJ866" i="1"/>
  <c r="AJ431" i="1"/>
  <c r="AJ867" i="1"/>
  <c r="AJ868" i="1"/>
  <c r="AJ869" i="1"/>
  <c r="AJ432" i="1"/>
  <c r="AJ433" i="1"/>
  <c r="AJ870" i="1"/>
  <c r="AJ434" i="1"/>
  <c r="AJ435" i="1"/>
  <c r="AJ436" i="1"/>
  <c r="AJ871" i="1"/>
  <c r="AJ872" i="1"/>
  <c r="AJ873" i="1"/>
  <c r="AJ437" i="1"/>
  <c r="AJ874" i="1"/>
  <c r="AJ438" i="1"/>
  <c r="AJ439" i="1"/>
  <c r="AJ440" i="1"/>
  <c r="AJ441" i="1"/>
  <c r="AJ442" i="1"/>
  <c r="AJ875" i="1"/>
  <c r="AJ443" i="1"/>
  <c r="AJ876" i="1"/>
  <c r="AJ444" i="1"/>
  <c r="AJ877" i="1"/>
  <c r="AJ445" i="1"/>
  <c r="AJ446" i="1"/>
  <c r="AJ878" i="1"/>
  <c r="AJ447" i="1"/>
  <c r="AJ448" i="1"/>
  <c r="AJ879" i="1"/>
  <c r="AJ449" i="1"/>
  <c r="AJ880" i="1"/>
  <c r="AJ450" i="1"/>
  <c r="AJ451" i="1"/>
  <c r="AJ452" i="1"/>
  <c r="AJ881" i="1"/>
  <c r="AJ453" i="1"/>
  <c r="AJ454" i="1"/>
  <c r="AJ882" i="1"/>
  <c r="AJ883" i="1"/>
  <c r="AJ455" i="1"/>
  <c r="AJ884" i="1"/>
  <c r="AJ885" i="1"/>
  <c r="AJ456" i="1"/>
  <c r="AJ886" i="1"/>
  <c r="AJ887" i="1"/>
  <c r="AJ888" i="1"/>
  <c r="AJ457" i="1"/>
  <c r="AJ458" i="1"/>
  <c r="AJ459" i="1"/>
  <c r="AJ889" i="1"/>
  <c r="AJ890" i="1"/>
  <c r="AJ460" i="1"/>
  <c r="AJ461" i="1"/>
  <c r="AJ891" i="1"/>
  <c r="AJ462" i="1"/>
  <c r="AJ463" i="1"/>
  <c r="AJ892" i="1"/>
  <c r="AJ464" i="1"/>
  <c r="AJ465" i="1"/>
  <c r="AJ893" i="1"/>
  <c r="AJ894" i="1"/>
  <c r="AJ895" i="1"/>
  <c r="AJ896" i="1"/>
  <c r="AJ466" i="1"/>
  <c r="AJ897" i="1"/>
  <c r="AJ467" i="1"/>
  <c r="AJ898" i="1"/>
  <c r="AJ899" i="1"/>
  <c r="AJ900" i="1"/>
  <c r="AJ468" i="1"/>
  <c r="AJ469" i="1"/>
  <c r="AJ901" i="1"/>
  <c r="AJ470" i="1"/>
  <c r="AJ902" i="1"/>
  <c r="AJ903" i="1"/>
  <c r="AJ471" i="1"/>
  <c r="AJ904" i="1"/>
  <c r="AJ905" i="1"/>
  <c r="AJ472" i="1"/>
  <c r="AJ906" i="1"/>
  <c r="AJ907" i="1"/>
  <c r="AJ473" i="1"/>
  <c r="AJ474" i="1"/>
  <c r="AJ908" i="1"/>
  <c r="AJ909" i="1"/>
  <c r="AJ475" i="1"/>
  <c r="AJ477" i="1"/>
  <c r="AJ478" i="1"/>
  <c r="AJ479" i="1"/>
  <c r="AJ910" i="1"/>
  <c r="AJ911" i="1"/>
  <c r="AJ480" i="1"/>
  <c r="AJ481" i="1"/>
  <c r="AJ482" i="1"/>
  <c r="AJ483" i="1"/>
  <c r="AJ484" i="1"/>
  <c r="AJ485" i="1"/>
  <c r="AJ912" i="1"/>
  <c r="AJ913" i="1"/>
  <c r="AJ914" i="1"/>
  <c r="AJ915" i="1"/>
  <c r="AJ916" i="1"/>
  <c r="AJ917" i="1"/>
  <c r="AJ486" i="1"/>
  <c r="AJ918" i="1"/>
  <c r="AJ919" i="1"/>
  <c r="AJ920" i="1"/>
  <c r="AJ487" i="1"/>
  <c r="AJ488" i="1"/>
  <c r="AJ921" i="1"/>
  <c r="AJ922" i="1"/>
  <c r="AJ489" i="1"/>
  <c r="AJ490" i="1"/>
  <c r="AJ923" i="1"/>
  <c r="AJ491" i="1"/>
  <c r="AJ924" i="1"/>
  <c r="AJ492" i="1"/>
  <c r="AJ493" i="1"/>
  <c r="AJ925" i="1"/>
  <c r="AJ926" i="1"/>
  <c r="AJ927" i="1"/>
  <c r="AJ494" i="1"/>
  <c r="AJ928" i="1"/>
  <c r="AJ495" i="1"/>
  <c r="AJ929" i="1"/>
  <c r="AJ930" i="1"/>
  <c r="AJ496" i="1"/>
  <c r="AJ497" i="1"/>
  <c r="AJ931" i="1"/>
  <c r="AJ498" i="1"/>
  <c r="AJ499" i="1"/>
  <c r="AJ500" i="1"/>
  <c r="AJ501" i="1"/>
  <c r="AJ932" i="1"/>
  <c r="AJ502" i="1"/>
  <c r="AJ933" i="1"/>
  <c r="AJ288" i="1"/>
  <c r="AJ341" i="1"/>
  <c r="AJ835" i="1"/>
  <c r="AJ398" i="1"/>
  <c r="AJ163" i="1"/>
  <c r="AJ801" i="1"/>
  <c r="AJ854" i="1"/>
  <c r="AJ86" i="1"/>
  <c r="AJ849" i="1"/>
  <c r="AJ695" i="1"/>
  <c r="AJ78" i="1"/>
  <c r="AJ149" i="1"/>
  <c r="AJ683" i="1"/>
  <c r="AJ166" i="1"/>
  <c r="AJ403" i="1"/>
  <c r="AJ762" i="1"/>
  <c r="AJ476" i="1"/>
  <c r="AJ556" i="1"/>
  <c r="AJ824" i="1"/>
  <c r="AJ505" i="1"/>
  <c r="AJ195" i="1"/>
  <c r="AJ539" i="1"/>
  <c r="AJ680" i="1"/>
  <c r="AJ608" i="1"/>
  <c r="AJ649" i="1"/>
  <c r="AJ579" i="1"/>
  <c r="AJ239" i="1"/>
  <c r="AJ773" i="1"/>
  <c r="AJ91" i="1"/>
  <c r="AJ159" i="1"/>
  <c r="AJ79" i="1"/>
  <c r="AJ659" i="1"/>
  <c r="AJ2" i="1"/>
  <c r="AI659" i="1"/>
  <c r="AI79" i="1"/>
  <c r="AI159" i="1"/>
  <c r="AI91" i="1"/>
  <c r="AI773" i="1"/>
  <c r="AI239" i="1"/>
  <c r="AI579" i="1"/>
  <c r="AI649" i="1"/>
  <c r="AI608" i="1"/>
  <c r="AI680" i="1"/>
  <c r="AI539" i="1"/>
  <c r="AI195" i="1"/>
  <c r="AI505" i="1"/>
  <c r="AI824" i="1"/>
  <c r="AI556" i="1"/>
  <c r="AI476" i="1"/>
  <c r="AI762" i="1"/>
  <c r="AI403" i="1"/>
  <c r="AI166" i="1"/>
  <c r="AI683" i="1"/>
  <c r="AI149" i="1"/>
  <c r="AI78" i="1"/>
  <c r="AI695" i="1"/>
  <c r="AI849" i="1"/>
  <c r="AI86" i="1"/>
  <c r="AI854" i="1"/>
  <c r="AI801" i="1"/>
  <c r="AI163" i="1"/>
  <c r="AI398" i="1"/>
  <c r="AI835" i="1"/>
  <c r="AI341" i="1"/>
  <c r="AI288" i="1"/>
  <c r="AI933" i="1"/>
  <c r="AI502" i="1"/>
  <c r="AI932" i="1"/>
  <c r="AI501" i="1"/>
  <c r="AI500" i="1"/>
  <c r="AI499" i="1"/>
  <c r="AI498" i="1"/>
  <c r="AI931" i="1"/>
  <c r="AI497" i="1"/>
  <c r="AI496" i="1"/>
  <c r="AI930" i="1"/>
  <c r="AI929" i="1"/>
  <c r="AI495" i="1"/>
  <c r="AI928" i="1"/>
  <c r="AI494" i="1"/>
  <c r="AI927" i="1"/>
  <c r="AI926" i="1"/>
  <c r="AI925" i="1"/>
  <c r="AI493" i="1"/>
  <c r="AI492" i="1"/>
  <c r="AI924" i="1"/>
  <c r="AI491" i="1"/>
  <c r="AI923" i="1"/>
  <c r="AI490" i="1"/>
  <c r="AI489" i="1"/>
  <c r="AI922" i="1"/>
  <c r="AI921" i="1"/>
  <c r="AI488" i="1"/>
  <c r="AI487" i="1"/>
  <c r="AI920" i="1"/>
  <c r="AI919" i="1"/>
  <c r="AI918" i="1"/>
  <c r="AI486" i="1"/>
  <c r="AI917" i="1"/>
  <c r="AI916" i="1"/>
  <c r="AI915" i="1"/>
  <c r="AI914" i="1"/>
  <c r="AI913" i="1"/>
  <c r="AI912" i="1"/>
  <c r="AI485" i="1"/>
  <c r="AI484" i="1"/>
  <c r="AI483" i="1"/>
  <c r="AI482" i="1"/>
  <c r="AI481" i="1"/>
  <c r="AI480" i="1"/>
  <c r="AI911" i="1"/>
  <c r="AI910" i="1"/>
  <c r="AI479" i="1"/>
  <c r="AI478" i="1"/>
  <c r="AI477" i="1"/>
  <c r="AI475" i="1"/>
  <c r="AI909" i="1"/>
  <c r="AI908" i="1"/>
  <c r="AI474" i="1"/>
  <c r="AI473" i="1"/>
  <c r="AI907" i="1"/>
  <c r="AI906" i="1"/>
  <c r="AI472" i="1"/>
  <c r="AI905" i="1"/>
  <c r="AI904" i="1"/>
  <c r="AI471" i="1"/>
  <c r="AI903" i="1"/>
  <c r="AI902" i="1"/>
  <c r="AI470" i="1"/>
  <c r="AI901" i="1"/>
  <c r="AI469" i="1"/>
  <c r="AI468" i="1"/>
  <c r="AI900" i="1"/>
  <c r="AI899" i="1"/>
  <c r="AI898" i="1"/>
  <c r="AI467" i="1"/>
  <c r="AI897" i="1"/>
  <c r="AI466" i="1"/>
  <c r="AI896" i="1"/>
  <c r="AI895" i="1"/>
  <c r="AI894" i="1"/>
  <c r="AI893" i="1"/>
  <c r="AI465" i="1"/>
  <c r="AI464" i="1"/>
  <c r="AI892" i="1"/>
  <c r="AI463" i="1"/>
  <c r="AI462" i="1"/>
  <c r="AI891" i="1"/>
  <c r="AI461" i="1"/>
  <c r="AI460" i="1"/>
  <c r="AI890" i="1"/>
  <c r="AI889" i="1"/>
  <c r="AI459" i="1"/>
  <c r="AI458" i="1"/>
  <c r="AI457" i="1"/>
  <c r="AI888" i="1"/>
  <c r="AI887" i="1"/>
  <c r="AI886" i="1"/>
  <c r="AI456" i="1"/>
  <c r="AI885" i="1"/>
  <c r="AI884" i="1"/>
  <c r="AI455" i="1"/>
  <c r="AI883" i="1"/>
  <c r="AI882" i="1"/>
  <c r="AI454" i="1"/>
  <c r="AI453" i="1"/>
  <c r="AI881" i="1"/>
  <c r="AI452" i="1"/>
  <c r="AI451" i="1"/>
  <c r="AI450" i="1"/>
  <c r="AI880" i="1"/>
  <c r="AI449" i="1"/>
  <c r="AI879" i="1"/>
  <c r="AI448" i="1"/>
  <c r="AI447" i="1"/>
  <c r="AI878" i="1"/>
  <c r="AI446" i="1"/>
  <c r="AI445" i="1"/>
  <c r="AI877" i="1"/>
  <c r="AI444" i="1"/>
  <c r="AI876" i="1"/>
  <c r="AI443" i="1"/>
  <c r="AI875" i="1"/>
  <c r="AI442" i="1"/>
  <c r="AI441" i="1"/>
  <c r="AI440" i="1"/>
  <c r="AI439" i="1"/>
  <c r="AI438" i="1"/>
  <c r="AI874" i="1"/>
  <c r="AI437" i="1"/>
  <c r="AI873" i="1"/>
  <c r="AI872" i="1"/>
  <c r="AI871" i="1"/>
  <c r="AI436" i="1"/>
  <c r="AI435" i="1"/>
  <c r="AI434" i="1"/>
  <c r="AI870" i="1"/>
  <c r="AI433" i="1"/>
  <c r="AI432" i="1"/>
  <c r="AI869" i="1"/>
  <c r="AI868" i="1"/>
  <c r="AI867" i="1"/>
  <c r="AI431" i="1"/>
  <c r="AI866" i="1"/>
  <c r="AI430" i="1"/>
  <c r="AI429" i="1"/>
  <c r="AI428" i="1"/>
  <c r="AI865" i="1"/>
  <c r="AI427" i="1"/>
  <c r="AI864" i="1"/>
  <c r="AI863" i="1"/>
  <c r="AI426" i="1"/>
  <c r="AI425" i="1"/>
  <c r="AI862" i="1"/>
  <c r="AI861" i="1"/>
  <c r="AI424" i="1"/>
  <c r="AI423" i="1"/>
  <c r="AI422" i="1"/>
  <c r="AI860" i="1"/>
  <c r="AI421" i="1"/>
  <c r="AI859" i="1"/>
  <c r="AI858" i="1"/>
  <c r="AI420" i="1"/>
  <c r="AI857" i="1"/>
  <c r="AI419" i="1"/>
  <c r="AI418" i="1"/>
  <c r="AI856" i="1"/>
  <c r="AI417" i="1"/>
  <c r="AI416" i="1"/>
  <c r="AI415" i="1"/>
  <c r="AI414" i="1"/>
  <c r="AI413" i="1"/>
  <c r="AI412" i="1"/>
  <c r="AI411" i="1"/>
  <c r="AI855" i="1"/>
  <c r="AI853" i="1"/>
  <c r="AI410" i="1"/>
  <c r="AI409" i="1"/>
  <c r="AI408" i="1"/>
  <c r="AI852" i="1"/>
  <c r="AI407" i="1"/>
  <c r="AI851" i="1"/>
  <c r="AI406" i="1"/>
  <c r="AI850" i="1"/>
  <c r="AI405" i="1"/>
  <c r="AI848" i="1"/>
  <c r="AI404" i="1"/>
  <c r="AI847" i="1"/>
  <c r="AI846" i="1"/>
  <c r="AI845" i="1"/>
  <c r="AI844" i="1"/>
  <c r="AI843" i="1"/>
  <c r="AI402" i="1"/>
  <c r="AI842" i="1"/>
  <c r="AI401" i="1"/>
  <c r="AI841" i="1"/>
  <c r="AI840" i="1"/>
  <c r="AI839" i="1"/>
  <c r="AI400" i="1"/>
  <c r="AI399" i="1"/>
  <c r="AI397" i="1"/>
  <c r="AI396" i="1"/>
  <c r="AI838" i="1"/>
  <c r="AI395" i="1"/>
  <c r="AI394" i="1"/>
  <c r="AI393" i="1"/>
  <c r="AI392" i="1"/>
  <c r="AI837" i="1"/>
  <c r="AI836" i="1"/>
  <c r="AI391" i="1"/>
  <c r="AI834" i="1"/>
  <c r="AI833" i="1"/>
  <c r="AI832" i="1"/>
  <c r="AI390" i="1"/>
  <c r="AI389" i="1"/>
  <c r="AI388" i="1"/>
  <c r="AI831" i="1"/>
  <c r="AI830" i="1"/>
  <c r="AI387" i="1"/>
  <c r="AI829" i="1"/>
  <c r="AI828" i="1"/>
  <c r="AI827" i="1"/>
  <c r="AI826" i="1"/>
  <c r="AI386" i="1"/>
  <c r="AI385" i="1"/>
  <c r="AI825" i="1"/>
  <c r="AI384" i="1"/>
  <c r="AI383" i="1"/>
  <c r="AI823" i="1"/>
  <c r="AI822" i="1"/>
  <c r="AI382" i="1"/>
  <c r="AI821" i="1"/>
  <c r="AI381" i="1"/>
  <c r="AI380" i="1"/>
  <c r="AI820" i="1"/>
  <c r="AI379" i="1"/>
  <c r="AI378" i="1"/>
  <c r="AI819" i="1"/>
  <c r="AI377" i="1"/>
  <c r="AI818" i="1"/>
  <c r="AI376" i="1"/>
  <c r="AI375" i="1"/>
  <c r="AI374" i="1"/>
  <c r="AI373" i="1"/>
  <c r="AI817" i="1"/>
  <c r="AI816" i="1"/>
  <c r="AI815" i="1"/>
  <c r="AI814" i="1"/>
  <c r="AI372" i="1"/>
  <c r="AI813" i="1"/>
  <c r="AI812" i="1"/>
  <c r="AI811" i="1"/>
  <c r="AI810" i="1"/>
  <c r="AI809" i="1"/>
  <c r="AI371" i="1"/>
  <c r="AI808" i="1"/>
  <c r="AI370" i="1"/>
  <c r="AI807" i="1"/>
  <c r="AI369" i="1"/>
  <c r="AI368" i="1"/>
  <c r="AI806" i="1"/>
  <c r="AI367" i="1"/>
  <c r="AI366" i="1"/>
  <c r="AI805" i="1"/>
  <c r="AI804" i="1"/>
  <c r="AI365" i="1"/>
  <c r="AI364" i="1"/>
  <c r="AI363" i="1"/>
  <c r="AI362" i="1"/>
  <c r="AI361" i="1"/>
  <c r="AI803" i="1"/>
  <c r="AI802" i="1"/>
  <c r="AI800" i="1"/>
  <c r="AI360" i="1"/>
  <c r="AI359" i="1"/>
  <c r="AI799" i="1"/>
  <c r="AI798" i="1"/>
  <c r="AI797" i="1"/>
  <c r="AI796" i="1"/>
  <c r="AI358" i="1"/>
  <c r="AI357" i="1"/>
  <c r="AI356" i="1"/>
  <c r="AI795" i="1"/>
  <c r="AI355" i="1"/>
  <c r="AI354" i="1"/>
  <c r="AI353" i="1"/>
  <c r="AI352" i="1"/>
  <c r="AI351" i="1"/>
  <c r="AI350" i="1"/>
  <c r="AI349" i="1"/>
  <c r="AI348" i="1"/>
  <c r="AI347" i="1"/>
  <c r="AI794" i="1"/>
  <c r="AI793" i="1"/>
  <c r="AI346" i="1"/>
  <c r="AI792" i="1"/>
  <c r="AI345" i="1"/>
  <c r="AI791" i="1"/>
  <c r="AI790" i="1"/>
  <c r="AI789" i="1"/>
  <c r="AI788" i="1"/>
  <c r="AI787" i="1"/>
  <c r="AI344" i="1"/>
  <c r="AI343" i="1"/>
  <c r="AI786" i="1"/>
  <c r="AI342" i="1"/>
  <c r="AI340" i="1"/>
  <c r="AI785" i="1"/>
  <c r="AI339" i="1"/>
  <c r="AI784" i="1"/>
  <c r="AI338" i="1"/>
  <c r="AI783" i="1"/>
  <c r="AI337" i="1"/>
  <c r="AI336" i="1"/>
  <c r="AI335" i="1"/>
  <c r="AI334" i="1"/>
  <c r="AI782" i="1"/>
  <c r="AI781" i="1"/>
  <c r="AI780" i="1"/>
  <c r="AI779" i="1"/>
  <c r="AI333" i="1"/>
  <c r="AI332" i="1"/>
  <c r="AI331" i="1"/>
  <c r="AI778" i="1"/>
  <c r="AI777" i="1"/>
  <c r="AI330" i="1"/>
  <c r="AI329" i="1"/>
  <c r="AI776" i="1"/>
  <c r="AI328" i="1"/>
  <c r="AI775" i="1"/>
  <c r="AI327" i="1"/>
  <c r="AI774" i="1"/>
  <c r="AI326" i="1"/>
  <c r="AI772" i="1"/>
  <c r="AI771" i="1"/>
  <c r="AI770" i="1"/>
  <c r="AI325" i="1"/>
  <c r="AI324" i="1"/>
  <c r="AI323" i="1"/>
  <c r="AI769" i="1"/>
  <c r="AI322" i="1"/>
  <c r="AI321" i="1"/>
  <c r="AI320" i="1"/>
  <c r="AI768" i="1"/>
  <c r="AI319" i="1"/>
  <c r="AI767" i="1"/>
  <c r="AI766" i="1"/>
  <c r="AI318" i="1"/>
  <c r="AI317" i="1"/>
  <c r="AI765" i="1"/>
  <c r="AI316" i="1"/>
  <c r="AI764" i="1"/>
  <c r="AI763" i="1"/>
  <c r="AI315" i="1"/>
  <c r="AI314" i="1"/>
  <c r="AI761" i="1"/>
  <c r="AI313" i="1"/>
  <c r="AI312" i="1"/>
  <c r="AI760" i="1"/>
  <c r="AI311" i="1"/>
  <c r="AI759" i="1"/>
  <c r="AI310" i="1"/>
  <c r="AI309" i="1"/>
  <c r="AI758" i="1"/>
  <c r="AI308" i="1"/>
  <c r="AI757" i="1"/>
  <c r="AI307" i="1"/>
  <c r="AI306" i="1"/>
  <c r="AI756" i="1"/>
  <c r="AI305" i="1"/>
  <c r="AI755" i="1"/>
  <c r="AI304" i="1"/>
  <c r="AI754" i="1"/>
  <c r="AI303" i="1"/>
  <c r="AI753" i="1"/>
  <c r="AI302" i="1"/>
  <c r="AI301" i="1"/>
  <c r="AI752" i="1"/>
  <c r="AI751" i="1"/>
  <c r="AI300" i="1"/>
  <c r="AI299" i="1"/>
  <c r="AI298" i="1"/>
  <c r="AI750" i="1"/>
  <c r="AI749" i="1"/>
  <c r="AI297" i="1"/>
  <c r="AI748" i="1"/>
  <c r="AI747" i="1"/>
  <c r="AI746" i="1"/>
  <c r="AI296" i="1"/>
  <c r="AI745" i="1"/>
  <c r="AI295" i="1"/>
  <c r="AI744" i="1"/>
  <c r="AI743" i="1"/>
  <c r="AI294" i="1"/>
  <c r="AI293" i="1"/>
  <c r="AI742" i="1"/>
  <c r="AI292" i="1"/>
  <c r="AI741" i="1"/>
  <c r="AI291" i="1"/>
  <c r="AI290" i="1"/>
  <c r="AI740" i="1"/>
  <c r="AI289" i="1"/>
  <c r="AI287" i="1"/>
  <c r="AI286" i="1"/>
  <c r="AI285" i="1"/>
  <c r="AI284" i="1"/>
  <c r="AI739" i="1"/>
  <c r="AI283" i="1"/>
  <c r="AI738" i="1"/>
  <c r="AI282" i="1"/>
  <c r="AI281" i="1"/>
  <c r="AI737" i="1"/>
  <c r="AI736" i="1"/>
  <c r="AI735" i="1"/>
  <c r="AI280" i="1"/>
  <c r="AI279" i="1"/>
  <c r="AI278" i="1"/>
  <c r="AI734" i="1"/>
  <c r="AI733" i="1"/>
  <c r="AI732" i="1"/>
  <c r="AI277" i="1"/>
  <c r="AI276" i="1"/>
  <c r="AI275" i="1"/>
  <c r="AI731" i="1"/>
  <c r="AI730" i="1"/>
  <c r="AI274" i="1"/>
  <c r="AI273" i="1"/>
  <c r="AI729" i="1"/>
  <c r="AI272" i="1"/>
  <c r="AI728" i="1"/>
  <c r="AI271" i="1"/>
  <c r="AI270" i="1"/>
  <c r="AI269" i="1"/>
  <c r="AI268" i="1"/>
  <c r="AI267" i="1"/>
  <c r="AI266" i="1"/>
  <c r="AI727" i="1"/>
  <c r="AI265" i="1"/>
  <c r="AI264" i="1"/>
  <c r="AI263" i="1"/>
  <c r="AI726" i="1"/>
  <c r="AI725" i="1"/>
  <c r="AI262" i="1"/>
  <c r="AI724" i="1"/>
  <c r="AI723" i="1"/>
  <c r="AI261" i="1"/>
  <c r="AI260" i="1"/>
  <c r="AI259" i="1"/>
  <c r="AI258" i="1"/>
  <c r="AI257" i="1"/>
  <c r="AI722" i="1"/>
  <c r="AI721" i="1"/>
  <c r="AI256" i="1"/>
  <c r="AI255" i="1"/>
  <c r="AI720" i="1"/>
  <c r="AI254" i="1"/>
  <c r="AI253" i="1"/>
  <c r="AI719" i="1"/>
  <c r="AI718" i="1"/>
  <c r="AI252" i="1"/>
  <c r="AI717" i="1"/>
  <c r="AI251" i="1"/>
  <c r="AI716" i="1"/>
  <c r="AI250" i="1"/>
  <c r="AI249" i="1"/>
  <c r="AI715" i="1"/>
  <c r="AI714" i="1"/>
  <c r="AI248" i="1"/>
  <c r="AI247" i="1"/>
  <c r="AI713" i="1"/>
  <c r="AI712" i="1"/>
  <c r="AI246" i="1"/>
  <c r="AI245" i="1"/>
  <c r="AI244" i="1"/>
  <c r="AI243" i="1"/>
  <c r="AI711" i="1"/>
  <c r="AI710" i="1"/>
  <c r="AI709" i="1"/>
  <c r="AI242" i="1"/>
  <c r="AI241" i="1"/>
  <c r="AI240" i="1"/>
  <c r="AI238" i="1"/>
  <c r="AI708" i="1"/>
  <c r="AI707" i="1"/>
  <c r="AI706" i="1"/>
  <c r="AI705" i="1"/>
  <c r="AI237" i="1"/>
  <c r="AI704" i="1"/>
  <c r="AI703" i="1"/>
  <c r="AI236" i="1"/>
  <c r="AI235" i="1"/>
  <c r="AI702" i="1"/>
  <c r="AI234" i="1"/>
  <c r="AI701" i="1"/>
  <c r="AI233" i="1"/>
  <c r="AI700" i="1"/>
  <c r="AI699" i="1"/>
  <c r="AI232" i="1"/>
  <c r="AI698" i="1"/>
  <c r="AI231" i="1"/>
  <c r="AI230" i="1"/>
  <c r="AI229" i="1"/>
  <c r="AI228" i="1"/>
  <c r="AI697" i="1"/>
  <c r="AI696" i="1"/>
  <c r="AI694" i="1"/>
  <c r="AI227" i="1"/>
  <c r="AI693" i="1"/>
  <c r="AI692" i="1"/>
  <c r="AI226" i="1"/>
  <c r="AI225" i="1"/>
  <c r="AI224" i="1"/>
  <c r="AI223" i="1"/>
  <c r="AI691" i="1"/>
  <c r="AI222" i="1"/>
  <c r="AI221" i="1"/>
  <c r="AI220" i="1"/>
  <c r="AI690" i="1"/>
  <c r="AI689" i="1"/>
  <c r="AI688" i="1"/>
  <c r="AI219" i="1"/>
  <c r="AI687" i="1"/>
  <c r="AI686" i="1"/>
  <c r="AI685" i="1"/>
  <c r="AI218" i="1"/>
  <c r="AI217" i="1"/>
  <c r="AI684" i="1"/>
  <c r="AI682" i="1"/>
  <c r="AI216" i="1"/>
  <c r="AI215" i="1"/>
  <c r="AI681" i="1"/>
  <c r="AI679" i="1"/>
  <c r="AI678" i="1"/>
  <c r="AI214" i="1"/>
  <c r="AI213" i="1"/>
  <c r="AI677" i="1"/>
  <c r="AI676" i="1"/>
  <c r="AI212" i="1"/>
  <c r="AI675" i="1"/>
  <c r="AI211" i="1"/>
  <c r="AI674" i="1"/>
  <c r="AI673" i="1"/>
  <c r="AI210" i="1"/>
  <c r="AI672" i="1"/>
  <c r="AI209" i="1"/>
  <c r="AI208" i="1"/>
  <c r="AI671" i="1"/>
  <c r="AI670" i="1"/>
  <c r="AI669" i="1"/>
  <c r="AI207" i="1"/>
  <c r="AI206" i="1"/>
  <c r="AI668" i="1"/>
  <c r="AI667" i="1"/>
  <c r="AI666" i="1"/>
  <c r="AI205" i="1"/>
  <c r="AI665" i="1"/>
  <c r="AI204" i="1"/>
  <c r="AI203" i="1"/>
  <c r="AI664" i="1"/>
  <c r="AI202" i="1"/>
  <c r="AI201" i="1"/>
  <c r="AI663" i="1"/>
  <c r="AI662" i="1"/>
  <c r="AI661" i="1"/>
  <c r="AI200" i="1"/>
  <c r="AI660" i="1"/>
  <c r="AI199" i="1"/>
  <c r="AI198" i="1"/>
  <c r="AI197" i="1"/>
  <c r="AI658" i="1"/>
  <c r="AI196" i="1"/>
  <c r="AI657" i="1"/>
  <c r="AI656" i="1"/>
  <c r="AI194" i="1"/>
  <c r="AI193" i="1"/>
  <c r="AI655" i="1"/>
  <c r="AI654" i="1"/>
  <c r="AI192" i="1"/>
  <c r="AI653" i="1"/>
  <c r="AI652" i="1"/>
  <c r="AI651" i="1"/>
  <c r="AI191" i="1"/>
  <c r="AI190" i="1"/>
  <c r="AI189" i="1"/>
  <c r="AI188" i="1"/>
  <c r="AI187" i="1"/>
  <c r="AI186" i="1"/>
  <c r="AI650" i="1"/>
  <c r="AI185" i="1"/>
  <c r="AI184" i="1"/>
  <c r="AI648" i="1"/>
  <c r="AI647" i="1"/>
  <c r="AI183" i="1"/>
  <c r="AI182" i="1"/>
  <c r="AI181" i="1"/>
  <c r="AI180" i="1"/>
  <c r="AI646" i="1"/>
  <c r="AI645" i="1"/>
  <c r="AI644" i="1"/>
  <c r="AI179" i="1"/>
  <c r="AI178" i="1"/>
  <c r="AI177" i="1"/>
  <c r="AI643" i="1"/>
  <c r="AI642" i="1"/>
  <c r="AI176" i="1"/>
  <c r="AI175" i="1"/>
  <c r="AI641" i="1"/>
  <c r="AI174" i="1"/>
  <c r="AI640" i="1"/>
  <c r="AI639" i="1"/>
  <c r="AI638" i="1"/>
  <c r="AI173" i="1"/>
  <c r="AI637" i="1"/>
  <c r="AI172" i="1"/>
  <c r="AI636" i="1"/>
  <c r="AI635" i="1"/>
  <c r="AI171" i="1"/>
  <c r="AI170" i="1"/>
  <c r="AI169" i="1"/>
  <c r="AI634" i="1"/>
  <c r="AI168" i="1"/>
  <c r="AI633" i="1"/>
  <c r="AI167" i="1"/>
  <c r="AI632" i="1"/>
  <c r="AI165" i="1"/>
  <c r="AI164" i="1"/>
  <c r="AI631" i="1"/>
  <c r="AI630" i="1"/>
  <c r="AI162" i="1"/>
  <c r="AI161" i="1"/>
  <c r="AI160" i="1"/>
  <c r="AI629" i="1"/>
  <c r="AI158" i="1"/>
  <c r="AI157" i="1"/>
  <c r="AI156" i="1"/>
  <c r="AI628" i="1"/>
  <c r="AI627" i="1"/>
  <c r="AI626" i="1"/>
  <c r="AI625" i="1"/>
  <c r="AI155" i="1"/>
  <c r="AI154" i="1"/>
  <c r="AI624" i="1"/>
  <c r="AI623" i="1"/>
  <c r="AI622" i="1"/>
  <c r="AI621" i="1"/>
  <c r="AI153" i="1"/>
  <c r="AI152" i="1"/>
  <c r="AI620" i="1"/>
  <c r="AI151" i="1"/>
  <c r="AI619" i="1"/>
  <c r="AI618" i="1"/>
  <c r="AI150" i="1"/>
  <c r="AI617" i="1"/>
  <c r="AI616" i="1"/>
  <c r="AI148" i="1"/>
  <c r="AI615" i="1"/>
  <c r="AI147" i="1"/>
  <c r="AI146" i="1"/>
  <c r="AI145" i="1"/>
  <c r="AI144" i="1"/>
  <c r="AI143" i="1"/>
  <c r="AI614" i="1"/>
  <c r="AI613" i="1"/>
  <c r="AI612" i="1"/>
  <c r="AI142" i="1"/>
  <c r="AI141" i="1"/>
  <c r="AI140" i="1"/>
  <c r="AI139" i="1"/>
  <c r="AI138" i="1"/>
  <c r="AI137" i="1"/>
  <c r="AI136" i="1"/>
  <c r="AI135" i="1"/>
  <c r="AI611" i="1"/>
  <c r="AI134" i="1"/>
  <c r="AI133" i="1"/>
  <c r="AI610" i="1"/>
  <c r="AI132" i="1"/>
  <c r="AI131" i="1"/>
  <c r="AI609" i="1"/>
  <c r="AI130" i="1"/>
  <c r="AI607" i="1"/>
  <c r="AI606" i="1"/>
  <c r="AI605" i="1"/>
  <c r="AI604" i="1"/>
  <c r="AI129" i="1"/>
  <c r="AI128" i="1"/>
  <c r="AI603" i="1"/>
  <c r="AI602" i="1"/>
  <c r="AI601" i="1"/>
  <c r="AI127" i="1"/>
  <c r="AI126" i="1"/>
  <c r="AI125" i="1"/>
  <c r="AI124" i="1"/>
  <c r="AI123" i="1"/>
  <c r="AI122" i="1"/>
  <c r="AI600" i="1"/>
  <c r="AI599" i="1"/>
  <c r="AI121" i="1"/>
  <c r="AI598" i="1"/>
  <c r="AI597" i="1"/>
  <c r="AI596" i="1"/>
  <c r="AI120" i="1"/>
  <c r="AI595" i="1"/>
  <c r="AI594" i="1"/>
  <c r="AI593" i="1"/>
  <c r="AI119" i="1"/>
  <c r="AI118" i="1"/>
  <c r="AI592" i="1"/>
  <c r="AI117" i="1"/>
  <c r="AI591" i="1"/>
  <c r="AI590" i="1"/>
  <c r="AI116" i="1"/>
  <c r="AI115" i="1"/>
  <c r="AI114" i="1"/>
  <c r="AI589" i="1"/>
  <c r="AI588" i="1"/>
  <c r="AI587" i="1"/>
  <c r="AI586" i="1"/>
  <c r="AI113" i="1"/>
  <c r="AI112" i="1"/>
  <c r="AI111" i="1"/>
  <c r="AI585" i="1"/>
  <c r="AI110" i="1"/>
  <c r="AI584" i="1"/>
  <c r="AI109" i="1"/>
  <c r="AI108" i="1"/>
  <c r="AI107" i="1"/>
  <c r="AI106" i="1"/>
  <c r="AI583" i="1"/>
  <c r="AI105" i="1"/>
  <c r="AI582" i="1"/>
  <c r="AI104" i="1"/>
  <c r="AI581" i="1"/>
  <c r="AI580" i="1"/>
  <c r="AI578" i="1"/>
  <c r="AI577" i="1"/>
  <c r="AI576" i="1"/>
  <c r="AI575" i="1"/>
  <c r="AI574" i="1"/>
  <c r="AI103" i="1"/>
  <c r="AI573" i="1"/>
  <c r="AI572" i="1"/>
  <c r="AI102" i="1"/>
  <c r="AI571" i="1"/>
  <c r="AI570" i="1"/>
  <c r="AI569" i="1"/>
  <c r="AI101" i="1"/>
  <c r="AI100" i="1"/>
  <c r="AI568" i="1"/>
  <c r="AI567" i="1"/>
  <c r="AI99" i="1"/>
  <c r="AI566" i="1"/>
  <c r="AI98" i="1"/>
  <c r="AI97" i="1"/>
  <c r="AI96" i="1"/>
  <c r="AI95" i="1"/>
  <c r="AI565" i="1"/>
  <c r="AI94" i="1"/>
  <c r="AI564" i="1"/>
  <c r="AI563" i="1"/>
  <c r="AI93" i="1"/>
  <c r="AI92" i="1"/>
  <c r="AI90" i="1"/>
  <c r="AI89" i="1"/>
  <c r="AI88" i="1"/>
  <c r="AI562" i="1"/>
  <c r="AI87" i="1"/>
  <c r="AI561" i="1"/>
  <c r="AI560" i="1"/>
  <c r="AI559" i="1"/>
  <c r="AI558" i="1"/>
  <c r="AI85" i="1"/>
  <c r="AI84" i="1"/>
  <c r="AI557" i="1"/>
  <c r="AI83" i="1"/>
  <c r="AI82" i="1"/>
  <c r="AI81" i="1"/>
  <c r="AI555" i="1"/>
  <c r="AI554" i="1"/>
  <c r="AI553" i="1"/>
  <c r="AI80" i="1"/>
  <c r="AI77" i="1"/>
  <c r="AI76" i="1"/>
  <c r="AI552" i="1"/>
  <c r="AI75" i="1"/>
  <c r="AI74" i="1"/>
  <c r="AI73" i="1"/>
  <c r="AI72" i="1"/>
  <c r="AI551" i="1"/>
  <c r="AI71" i="1"/>
  <c r="AI70" i="1"/>
  <c r="AI69" i="1"/>
  <c r="AI68" i="1"/>
  <c r="AI550" i="1"/>
  <c r="AI67" i="1"/>
  <c r="AI549" i="1"/>
  <c r="AI66" i="1"/>
  <c r="AI65" i="1"/>
  <c r="AI64" i="1"/>
  <c r="AI63" i="1"/>
  <c r="AI548" i="1"/>
  <c r="AI547" i="1"/>
  <c r="AI546" i="1"/>
  <c r="AI62" i="1"/>
  <c r="AI545" i="1"/>
  <c r="AI544" i="1"/>
  <c r="AI61" i="1"/>
  <c r="AI543" i="1"/>
  <c r="AI60" i="1"/>
  <c r="AI542" i="1"/>
  <c r="AI59" i="1"/>
  <c r="AI58" i="1"/>
  <c r="AI541" i="1"/>
  <c r="AI540" i="1"/>
  <c r="AI538" i="1"/>
  <c r="AI57" i="1"/>
  <c r="AI56" i="1"/>
  <c r="AI55" i="1"/>
  <c r="AI54" i="1"/>
  <c r="AI53" i="1"/>
  <c r="AI52" i="1"/>
  <c r="AI51" i="1"/>
  <c r="AI50" i="1"/>
  <c r="AI537" i="1"/>
  <c r="AI49" i="1"/>
  <c r="AI536" i="1"/>
  <c r="AI535" i="1"/>
  <c r="AI534" i="1"/>
  <c r="AI48" i="1"/>
  <c r="AI533" i="1"/>
  <c r="AI532" i="1"/>
  <c r="AI531" i="1"/>
  <c r="AI47" i="1"/>
  <c r="AI530" i="1"/>
  <c r="AI529" i="1"/>
  <c r="AI46" i="1"/>
  <c r="AI45" i="1"/>
  <c r="AI528" i="1"/>
  <c r="AI527" i="1"/>
  <c r="AI44" i="1"/>
  <c r="AI43" i="1"/>
  <c r="AI42" i="1"/>
  <c r="AI41" i="1"/>
  <c r="AI40" i="1"/>
  <c r="AI39" i="1"/>
  <c r="AI38" i="1"/>
  <c r="AI37" i="1"/>
  <c r="AI36" i="1"/>
  <c r="AI526" i="1"/>
  <c r="AI525" i="1"/>
  <c r="AI524" i="1"/>
  <c r="AI523" i="1"/>
  <c r="AI35" i="1"/>
  <c r="AI34" i="1"/>
  <c r="AI522" i="1"/>
  <c r="AI33" i="1"/>
  <c r="AI521" i="1"/>
  <c r="AI32" i="1"/>
  <c r="AI31" i="1"/>
  <c r="AI30" i="1"/>
  <c r="AI29" i="1"/>
  <c r="AI28" i="1"/>
  <c r="AI520" i="1"/>
  <c r="AI27" i="1"/>
  <c r="AI26" i="1"/>
  <c r="AI25" i="1"/>
  <c r="AI24" i="1"/>
  <c r="AI519" i="1"/>
  <c r="AI23" i="1"/>
  <c r="AI22" i="1"/>
  <c r="AI518" i="1"/>
  <c r="AI21" i="1"/>
  <c r="AI20" i="1"/>
  <c r="AI517" i="1"/>
  <c r="AI19" i="1"/>
  <c r="AI516" i="1"/>
  <c r="AI18" i="1"/>
  <c r="AI515" i="1"/>
  <c r="AI17" i="1"/>
  <c r="AI16" i="1"/>
  <c r="AI15" i="1"/>
  <c r="AI514" i="1"/>
  <c r="AI513" i="1"/>
  <c r="AI512" i="1"/>
  <c r="AI511" i="1"/>
  <c r="AI14" i="1"/>
  <c r="AI510" i="1"/>
  <c r="AI13" i="1"/>
  <c r="AI12" i="1"/>
  <c r="AI11" i="1"/>
  <c r="AI10" i="1"/>
  <c r="AI509" i="1"/>
  <c r="AI9" i="1"/>
  <c r="AI8" i="1"/>
  <c r="AI508" i="1"/>
  <c r="AI507" i="1"/>
  <c r="AI7" i="1"/>
  <c r="AI506" i="1"/>
  <c r="AI504" i="1"/>
  <c r="AI6" i="1"/>
  <c r="AI503" i="1"/>
  <c r="AI5" i="1"/>
  <c r="AI4" i="1"/>
  <c r="AI3" i="1"/>
  <c r="AI2" i="1"/>
  <c r="T3" i="1"/>
  <c r="T4" i="1"/>
  <c r="T5" i="1"/>
  <c r="T503" i="1"/>
  <c r="T6" i="1"/>
  <c r="T504" i="1"/>
  <c r="T506" i="1"/>
  <c r="T7" i="1"/>
  <c r="T507" i="1"/>
  <c r="T508" i="1"/>
  <c r="T8" i="1"/>
  <c r="T9" i="1"/>
  <c r="T509" i="1"/>
  <c r="T10" i="1"/>
  <c r="T11" i="1"/>
  <c r="T12" i="1"/>
  <c r="T13" i="1"/>
  <c r="T510" i="1"/>
  <c r="T14" i="1"/>
  <c r="T511" i="1"/>
  <c r="T512" i="1"/>
  <c r="T513" i="1"/>
  <c r="T514" i="1"/>
  <c r="T15" i="1"/>
  <c r="T16" i="1"/>
  <c r="T17" i="1"/>
  <c r="T515" i="1"/>
  <c r="T18" i="1"/>
  <c r="T516" i="1"/>
  <c r="T19" i="1"/>
  <c r="T517" i="1"/>
  <c r="T20" i="1"/>
  <c r="T21" i="1"/>
  <c r="T518" i="1"/>
  <c r="T22" i="1"/>
  <c r="T23" i="1"/>
  <c r="T519" i="1"/>
  <c r="T24" i="1"/>
  <c r="T25" i="1"/>
  <c r="T26" i="1"/>
  <c r="T27" i="1"/>
  <c r="T520" i="1"/>
  <c r="T28" i="1"/>
  <c r="T29" i="1"/>
  <c r="T30" i="1"/>
  <c r="T31" i="1"/>
  <c r="T32" i="1"/>
  <c r="T521" i="1"/>
  <c r="T33" i="1"/>
  <c r="T522" i="1"/>
  <c r="T34" i="1"/>
  <c r="T35" i="1"/>
  <c r="T523" i="1"/>
  <c r="T524" i="1"/>
  <c r="T525" i="1"/>
  <c r="T526" i="1"/>
  <c r="T36" i="1"/>
  <c r="T37" i="1"/>
  <c r="T38" i="1"/>
  <c r="T39" i="1"/>
  <c r="T40" i="1"/>
  <c r="T41" i="1"/>
  <c r="T42" i="1"/>
  <c r="T43" i="1"/>
  <c r="T44" i="1"/>
  <c r="T527" i="1"/>
  <c r="T528" i="1"/>
  <c r="T45" i="1"/>
  <c r="T46" i="1"/>
  <c r="T529" i="1"/>
  <c r="T530" i="1"/>
  <c r="T47" i="1"/>
  <c r="T531" i="1"/>
  <c r="T532" i="1"/>
  <c r="T533" i="1"/>
  <c r="T48" i="1"/>
  <c r="T534" i="1"/>
  <c r="T535" i="1"/>
  <c r="T536" i="1"/>
  <c r="T49" i="1"/>
  <c r="T537" i="1"/>
  <c r="T50" i="1"/>
  <c r="T51" i="1"/>
  <c r="T52" i="1"/>
  <c r="T53" i="1"/>
  <c r="T54" i="1"/>
  <c r="T55" i="1"/>
  <c r="T56" i="1"/>
  <c r="T57" i="1"/>
  <c r="T538" i="1"/>
  <c r="T540" i="1"/>
  <c r="T541" i="1"/>
  <c r="T58" i="1"/>
  <c r="T59" i="1"/>
  <c r="T542" i="1"/>
  <c r="T60" i="1"/>
  <c r="T543" i="1"/>
  <c r="T61" i="1"/>
  <c r="T544" i="1"/>
  <c r="T545" i="1"/>
  <c r="T62" i="1"/>
  <c r="T546" i="1"/>
  <c r="T547" i="1"/>
  <c r="T548" i="1"/>
  <c r="T63" i="1"/>
  <c r="T64" i="1"/>
  <c r="T65" i="1"/>
  <c r="T66" i="1"/>
  <c r="T549" i="1"/>
  <c r="T67" i="1"/>
  <c r="T550" i="1"/>
  <c r="T68" i="1"/>
  <c r="T69" i="1"/>
  <c r="T70" i="1"/>
  <c r="T71" i="1"/>
  <c r="T551" i="1"/>
  <c r="T72" i="1"/>
  <c r="T73" i="1"/>
  <c r="T74" i="1"/>
  <c r="T75" i="1"/>
  <c r="T552" i="1"/>
  <c r="T76" i="1"/>
  <c r="T77" i="1"/>
  <c r="T80" i="1"/>
  <c r="T553" i="1"/>
  <c r="T554" i="1"/>
  <c r="T555" i="1"/>
  <c r="T81" i="1"/>
  <c r="T82" i="1"/>
  <c r="T83" i="1"/>
  <c r="T557" i="1"/>
  <c r="T84" i="1"/>
  <c r="T85" i="1"/>
  <c r="T558" i="1"/>
  <c r="T559" i="1"/>
  <c r="T560" i="1"/>
  <c r="T561" i="1"/>
  <c r="T87" i="1"/>
  <c r="T562" i="1"/>
  <c r="T88" i="1"/>
  <c r="T89" i="1"/>
  <c r="T90" i="1"/>
  <c r="T92" i="1"/>
  <c r="T93" i="1"/>
  <c r="T563" i="1"/>
  <c r="T564" i="1"/>
  <c r="T94" i="1"/>
  <c r="T565" i="1"/>
  <c r="T95" i="1"/>
  <c r="T96" i="1"/>
  <c r="T97" i="1"/>
  <c r="T98" i="1"/>
  <c r="T566" i="1"/>
  <c r="T99" i="1"/>
  <c r="T567" i="1"/>
  <c r="T568" i="1"/>
  <c r="T100" i="1"/>
  <c r="T101" i="1"/>
  <c r="T569" i="1"/>
  <c r="T570" i="1"/>
  <c r="T571" i="1"/>
  <c r="T102" i="1"/>
  <c r="T572" i="1"/>
  <c r="T573" i="1"/>
  <c r="T103" i="1"/>
  <c r="T574" i="1"/>
  <c r="T575" i="1"/>
  <c r="T576" i="1"/>
  <c r="T577" i="1"/>
  <c r="T578" i="1"/>
  <c r="T580" i="1"/>
  <c r="T581" i="1"/>
  <c r="T104" i="1"/>
  <c r="T582" i="1"/>
  <c r="T105" i="1"/>
  <c r="T583" i="1"/>
  <c r="T106" i="1"/>
  <c r="T107" i="1"/>
  <c r="T108" i="1"/>
  <c r="T109" i="1"/>
  <c r="T584" i="1"/>
  <c r="T110" i="1"/>
  <c r="T585" i="1"/>
  <c r="T111" i="1"/>
  <c r="T112" i="1"/>
  <c r="T113" i="1"/>
  <c r="T586" i="1"/>
  <c r="T587" i="1"/>
  <c r="T588" i="1"/>
  <c r="T589" i="1"/>
  <c r="T114" i="1"/>
  <c r="T115" i="1"/>
  <c r="T116" i="1"/>
  <c r="T590" i="1"/>
  <c r="T591" i="1"/>
  <c r="T117" i="1"/>
  <c r="T592" i="1"/>
  <c r="T118" i="1"/>
  <c r="T119" i="1"/>
  <c r="T593" i="1"/>
  <c r="T594" i="1"/>
  <c r="T595" i="1"/>
  <c r="T120" i="1"/>
  <c r="T596" i="1"/>
  <c r="T597" i="1"/>
  <c r="T598" i="1"/>
  <c r="T121" i="1"/>
  <c r="T599" i="1"/>
  <c r="T600" i="1"/>
  <c r="T122" i="1"/>
  <c r="T123" i="1"/>
  <c r="T124" i="1"/>
  <c r="T125" i="1"/>
  <c r="T126" i="1"/>
  <c r="T127" i="1"/>
  <c r="T601" i="1"/>
  <c r="T602" i="1"/>
  <c r="T603" i="1"/>
  <c r="T128" i="1"/>
  <c r="T129" i="1"/>
  <c r="T604" i="1"/>
  <c r="T605" i="1"/>
  <c r="T606" i="1"/>
  <c r="T607" i="1"/>
  <c r="T130" i="1"/>
  <c r="T609" i="1"/>
  <c r="T131" i="1"/>
  <c r="T132" i="1"/>
  <c r="T610" i="1"/>
  <c r="T133" i="1"/>
  <c r="T134" i="1"/>
  <c r="T611" i="1"/>
  <c r="T135" i="1"/>
  <c r="T136" i="1"/>
  <c r="T137" i="1"/>
  <c r="T138" i="1"/>
  <c r="T139" i="1"/>
  <c r="T140" i="1"/>
  <c r="T141" i="1"/>
  <c r="T142" i="1"/>
  <c r="T612" i="1"/>
  <c r="T613" i="1"/>
  <c r="T614" i="1"/>
  <c r="T143" i="1"/>
  <c r="T144" i="1"/>
  <c r="T145" i="1"/>
  <c r="T146" i="1"/>
  <c r="T147" i="1"/>
  <c r="T615" i="1"/>
  <c r="T148" i="1"/>
  <c r="T616" i="1"/>
  <c r="T617" i="1"/>
  <c r="T150" i="1"/>
  <c r="T618" i="1"/>
  <c r="T619" i="1"/>
  <c r="T151" i="1"/>
  <c r="T620" i="1"/>
  <c r="T152" i="1"/>
  <c r="T153" i="1"/>
  <c r="T621" i="1"/>
  <c r="T622" i="1"/>
  <c r="T623" i="1"/>
  <c r="T624" i="1"/>
  <c r="T154" i="1"/>
  <c r="T155" i="1"/>
  <c r="T625" i="1"/>
  <c r="T626" i="1"/>
  <c r="T627" i="1"/>
  <c r="T628" i="1"/>
  <c r="T156" i="1"/>
  <c r="T157" i="1"/>
  <c r="T158" i="1"/>
  <c r="T629" i="1"/>
  <c r="T160" i="1"/>
  <c r="T161" i="1"/>
  <c r="T162" i="1"/>
  <c r="T630" i="1"/>
  <c r="T631" i="1"/>
  <c r="T164" i="1"/>
  <c r="T165" i="1"/>
  <c r="T632" i="1"/>
  <c r="T167" i="1"/>
  <c r="T633" i="1"/>
  <c r="T168" i="1"/>
  <c r="T634" i="1"/>
  <c r="T169" i="1"/>
  <c r="T170" i="1"/>
  <c r="T171" i="1"/>
  <c r="T635" i="1"/>
  <c r="T636" i="1"/>
  <c r="T172" i="1"/>
  <c r="T637" i="1"/>
  <c r="T173" i="1"/>
  <c r="T638" i="1"/>
  <c r="T639" i="1"/>
  <c r="T640" i="1"/>
  <c r="T174" i="1"/>
  <c r="T641" i="1"/>
  <c r="T175" i="1"/>
  <c r="T176" i="1"/>
  <c r="T642" i="1"/>
  <c r="T643" i="1"/>
  <c r="T177" i="1"/>
  <c r="T178" i="1"/>
  <c r="T179" i="1"/>
  <c r="T644" i="1"/>
  <c r="T645" i="1"/>
  <c r="T646" i="1"/>
  <c r="T180" i="1"/>
  <c r="T181" i="1"/>
  <c r="T182" i="1"/>
  <c r="T183" i="1"/>
  <c r="T647" i="1"/>
  <c r="T648" i="1"/>
  <c r="T184" i="1"/>
  <c r="T185" i="1"/>
  <c r="T650" i="1"/>
  <c r="T186" i="1"/>
  <c r="T187" i="1"/>
  <c r="T188" i="1"/>
  <c r="T189" i="1"/>
  <c r="T190" i="1"/>
  <c r="T191" i="1"/>
  <c r="T651" i="1"/>
  <c r="T652" i="1"/>
  <c r="T653" i="1"/>
  <c r="T192" i="1"/>
  <c r="T654" i="1"/>
  <c r="T655" i="1"/>
  <c r="T193" i="1"/>
  <c r="T194" i="1"/>
  <c r="T656" i="1"/>
  <c r="T657" i="1"/>
  <c r="T196" i="1"/>
  <c r="T658" i="1"/>
  <c r="T197" i="1"/>
  <c r="T198" i="1"/>
  <c r="T199" i="1"/>
  <c r="T660" i="1"/>
  <c r="T200" i="1"/>
  <c r="T661" i="1"/>
  <c r="T662" i="1"/>
  <c r="T663" i="1"/>
  <c r="T201" i="1"/>
  <c r="T202" i="1"/>
  <c r="T664" i="1"/>
  <c r="T203" i="1"/>
  <c r="T204" i="1"/>
  <c r="T665" i="1"/>
  <c r="T205" i="1"/>
  <c r="T666" i="1"/>
  <c r="T667" i="1"/>
  <c r="T668" i="1"/>
  <c r="T206" i="1"/>
  <c r="T207" i="1"/>
  <c r="T669" i="1"/>
  <c r="T670" i="1"/>
  <c r="T671" i="1"/>
  <c r="T208" i="1"/>
  <c r="T209" i="1"/>
  <c r="T672" i="1"/>
  <c r="T210" i="1"/>
  <c r="T673" i="1"/>
  <c r="T674" i="1"/>
  <c r="T211" i="1"/>
  <c r="T675" i="1"/>
  <c r="T212" i="1"/>
  <c r="T676" i="1"/>
  <c r="T677" i="1"/>
  <c r="T213" i="1"/>
  <c r="T214" i="1"/>
  <c r="T678" i="1"/>
  <c r="T679" i="1"/>
  <c r="T681" i="1"/>
  <c r="T215" i="1"/>
  <c r="T216" i="1"/>
  <c r="T682" i="1"/>
  <c r="T684" i="1"/>
  <c r="T217" i="1"/>
  <c r="T218" i="1"/>
  <c r="T685" i="1"/>
  <c r="T686" i="1"/>
  <c r="T687" i="1"/>
  <c r="T219" i="1"/>
  <c r="T688" i="1"/>
  <c r="T689" i="1"/>
  <c r="T690" i="1"/>
  <c r="T220" i="1"/>
  <c r="T221" i="1"/>
  <c r="T222" i="1"/>
  <c r="T691" i="1"/>
  <c r="T223" i="1"/>
  <c r="T224" i="1"/>
  <c r="T225" i="1"/>
  <c r="T226" i="1"/>
  <c r="T692" i="1"/>
  <c r="T693" i="1"/>
  <c r="T227" i="1"/>
  <c r="T694" i="1"/>
  <c r="T696" i="1"/>
  <c r="T697" i="1"/>
  <c r="T228" i="1"/>
  <c r="T229" i="1"/>
  <c r="T230" i="1"/>
  <c r="T231" i="1"/>
  <c r="T698" i="1"/>
  <c r="T232" i="1"/>
  <c r="T699" i="1"/>
  <c r="T700" i="1"/>
  <c r="T233" i="1"/>
  <c r="T701" i="1"/>
  <c r="T234" i="1"/>
  <c r="T702" i="1"/>
  <c r="T235" i="1"/>
  <c r="T236" i="1"/>
  <c r="T703" i="1"/>
  <c r="T704" i="1"/>
  <c r="T237" i="1"/>
  <c r="T705" i="1"/>
  <c r="T706" i="1"/>
  <c r="T707" i="1"/>
  <c r="T708" i="1"/>
  <c r="T238" i="1"/>
  <c r="T240" i="1"/>
  <c r="T241" i="1"/>
  <c r="T242" i="1"/>
  <c r="T709" i="1"/>
  <c r="T710" i="1"/>
  <c r="T711" i="1"/>
  <c r="T243" i="1"/>
  <c r="T244" i="1"/>
  <c r="T245" i="1"/>
  <c r="T246" i="1"/>
  <c r="T712" i="1"/>
  <c r="T713" i="1"/>
  <c r="T247" i="1"/>
  <c r="T248" i="1"/>
  <c r="T714" i="1"/>
  <c r="T715" i="1"/>
  <c r="T249" i="1"/>
  <c r="T250" i="1"/>
  <c r="T716" i="1"/>
  <c r="T251" i="1"/>
  <c r="T717" i="1"/>
  <c r="T252" i="1"/>
  <c r="T718" i="1"/>
  <c r="T719" i="1"/>
  <c r="T253" i="1"/>
  <c r="T254" i="1"/>
  <c r="T720" i="1"/>
  <c r="T255" i="1"/>
  <c r="T256" i="1"/>
  <c r="T721" i="1"/>
  <c r="T722" i="1"/>
  <c r="T257" i="1"/>
  <c r="T258" i="1"/>
  <c r="T259" i="1"/>
  <c r="T260" i="1"/>
  <c r="T261" i="1"/>
  <c r="T723" i="1"/>
  <c r="T724" i="1"/>
  <c r="T262" i="1"/>
  <c r="T725" i="1"/>
  <c r="T726" i="1"/>
  <c r="T263" i="1"/>
  <c r="T264" i="1"/>
  <c r="T265" i="1"/>
  <c r="T727" i="1"/>
  <c r="T266" i="1"/>
  <c r="T267" i="1"/>
  <c r="T268" i="1"/>
  <c r="T269" i="1"/>
  <c r="T270" i="1"/>
  <c r="T271" i="1"/>
  <c r="T728" i="1"/>
  <c r="T272" i="1"/>
  <c r="T729" i="1"/>
  <c r="T273" i="1"/>
  <c r="T274" i="1"/>
  <c r="T730" i="1"/>
  <c r="T731" i="1"/>
  <c r="T275" i="1"/>
  <c r="T276" i="1"/>
  <c r="T277" i="1"/>
  <c r="T732" i="1"/>
  <c r="T733" i="1"/>
  <c r="T734" i="1"/>
  <c r="T278" i="1"/>
  <c r="T279" i="1"/>
  <c r="T280" i="1"/>
  <c r="T735" i="1"/>
  <c r="T736" i="1"/>
  <c r="T737" i="1"/>
  <c r="T281" i="1"/>
  <c r="T282" i="1"/>
  <c r="T738" i="1"/>
  <c r="T283" i="1"/>
  <c r="T739" i="1"/>
  <c r="T284" i="1"/>
  <c r="T285" i="1"/>
  <c r="T286" i="1"/>
  <c r="T287" i="1"/>
  <c r="T289" i="1"/>
  <c r="T740" i="1"/>
  <c r="T290" i="1"/>
  <c r="T291" i="1"/>
  <c r="T741" i="1"/>
  <c r="T292" i="1"/>
  <c r="T742" i="1"/>
  <c r="T293" i="1"/>
  <c r="T294" i="1"/>
  <c r="T743" i="1"/>
  <c r="T744" i="1"/>
  <c r="T295" i="1"/>
  <c r="T745" i="1"/>
  <c r="T296" i="1"/>
  <c r="T746" i="1"/>
  <c r="T747" i="1"/>
  <c r="T748" i="1"/>
  <c r="T297" i="1"/>
  <c r="T749" i="1"/>
  <c r="T750" i="1"/>
  <c r="T298" i="1"/>
  <c r="T299" i="1"/>
  <c r="T300" i="1"/>
  <c r="T751" i="1"/>
  <c r="T752" i="1"/>
  <c r="T301" i="1"/>
  <c r="T302" i="1"/>
  <c r="T753" i="1"/>
  <c r="T303" i="1"/>
  <c r="T754" i="1"/>
  <c r="T304" i="1"/>
  <c r="T755" i="1"/>
  <c r="T305" i="1"/>
  <c r="T756" i="1"/>
  <c r="T306" i="1"/>
  <c r="T307" i="1"/>
  <c r="T757" i="1"/>
  <c r="T308" i="1"/>
  <c r="T758" i="1"/>
  <c r="T309" i="1"/>
  <c r="T310" i="1"/>
  <c r="T759" i="1"/>
  <c r="T311" i="1"/>
  <c r="T760" i="1"/>
  <c r="T312" i="1"/>
  <c r="T313" i="1"/>
  <c r="T761" i="1"/>
  <c r="T314" i="1"/>
  <c r="T315" i="1"/>
  <c r="T763" i="1"/>
  <c r="T764" i="1"/>
  <c r="T316" i="1"/>
  <c r="T765" i="1"/>
  <c r="T317" i="1"/>
  <c r="T318" i="1"/>
  <c r="T766" i="1"/>
  <c r="T767" i="1"/>
  <c r="T319" i="1"/>
  <c r="T768" i="1"/>
  <c r="T320" i="1"/>
  <c r="T321" i="1"/>
  <c r="T322" i="1"/>
  <c r="T769" i="1"/>
  <c r="T323" i="1"/>
  <c r="T324" i="1"/>
  <c r="T325" i="1"/>
  <c r="T770" i="1"/>
  <c r="T771" i="1"/>
  <c r="T772" i="1"/>
  <c r="T326" i="1"/>
  <c r="T774" i="1"/>
  <c r="T327" i="1"/>
  <c r="T775" i="1"/>
  <c r="T328" i="1"/>
  <c r="T776" i="1"/>
  <c r="T329" i="1"/>
  <c r="T330" i="1"/>
  <c r="T777" i="1"/>
  <c r="T778" i="1"/>
  <c r="T331" i="1"/>
  <c r="T332" i="1"/>
  <c r="T333" i="1"/>
  <c r="T779" i="1"/>
  <c r="T780" i="1"/>
  <c r="T781" i="1"/>
  <c r="T782" i="1"/>
  <c r="T334" i="1"/>
  <c r="T335" i="1"/>
  <c r="T336" i="1"/>
  <c r="T337" i="1"/>
  <c r="T783" i="1"/>
  <c r="T338" i="1"/>
  <c r="T784" i="1"/>
  <c r="T339" i="1"/>
  <c r="T785" i="1"/>
  <c r="T340" i="1"/>
  <c r="T342" i="1"/>
  <c r="T786" i="1"/>
  <c r="T343" i="1"/>
  <c r="T344" i="1"/>
  <c r="T787" i="1"/>
  <c r="T788" i="1"/>
  <c r="T789" i="1"/>
  <c r="T790" i="1"/>
  <c r="T791" i="1"/>
  <c r="T345" i="1"/>
  <c r="T792" i="1"/>
  <c r="T346" i="1"/>
  <c r="T793" i="1"/>
  <c r="T794" i="1"/>
  <c r="T347" i="1"/>
  <c r="T348" i="1"/>
  <c r="T349" i="1"/>
  <c r="T350" i="1"/>
  <c r="T351" i="1"/>
  <c r="T352" i="1"/>
  <c r="T353" i="1"/>
  <c r="T354" i="1"/>
  <c r="T355" i="1"/>
  <c r="T795" i="1"/>
  <c r="T356" i="1"/>
  <c r="T357" i="1"/>
  <c r="T358" i="1"/>
  <c r="T796" i="1"/>
  <c r="T797" i="1"/>
  <c r="T798" i="1"/>
  <c r="T799" i="1"/>
  <c r="T359" i="1"/>
  <c r="T360" i="1"/>
  <c r="T800" i="1"/>
  <c r="T802" i="1"/>
  <c r="T803" i="1"/>
  <c r="T361" i="1"/>
  <c r="T362" i="1"/>
  <c r="T363" i="1"/>
  <c r="T364" i="1"/>
  <c r="T365" i="1"/>
  <c r="T804" i="1"/>
  <c r="T805" i="1"/>
  <c r="T366" i="1"/>
  <c r="T367" i="1"/>
  <c r="T806" i="1"/>
  <c r="T368" i="1"/>
  <c r="T369" i="1"/>
  <c r="T807" i="1"/>
  <c r="T370" i="1"/>
  <c r="T808" i="1"/>
  <c r="T371" i="1"/>
  <c r="T809" i="1"/>
  <c r="T810" i="1"/>
  <c r="T811" i="1"/>
  <c r="T812" i="1"/>
  <c r="T813" i="1"/>
  <c r="T372" i="1"/>
  <c r="T814" i="1"/>
  <c r="T815" i="1"/>
  <c r="T816" i="1"/>
  <c r="T817" i="1"/>
  <c r="T373" i="1"/>
  <c r="T374" i="1"/>
  <c r="T375" i="1"/>
  <c r="T376" i="1"/>
  <c r="T818" i="1"/>
  <c r="T377" i="1"/>
  <c r="T819" i="1"/>
  <c r="T378" i="1"/>
  <c r="T379" i="1"/>
  <c r="T820" i="1"/>
  <c r="T380" i="1"/>
  <c r="T381" i="1"/>
  <c r="T821" i="1"/>
  <c r="T382" i="1"/>
  <c r="T822" i="1"/>
  <c r="T823" i="1"/>
  <c r="T383" i="1"/>
  <c r="T384" i="1"/>
  <c r="T825" i="1"/>
  <c r="T385" i="1"/>
  <c r="T386" i="1"/>
  <c r="T826" i="1"/>
  <c r="T827" i="1"/>
  <c r="T828" i="1"/>
  <c r="T829" i="1"/>
  <c r="T387" i="1"/>
  <c r="T830" i="1"/>
  <c r="T831" i="1"/>
  <c r="T388" i="1"/>
  <c r="T389" i="1"/>
  <c r="T390" i="1"/>
  <c r="T832" i="1"/>
  <c r="T833" i="1"/>
  <c r="T834" i="1"/>
  <c r="T391" i="1"/>
  <c r="T836" i="1"/>
  <c r="T837" i="1"/>
  <c r="T392" i="1"/>
  <c r="T393" i="1"/>
  <c r="T394" i="1"/>
  <c r="T395" i="1"/>
  <c r="T838" i="1"/>
  <c r="T396" i="1"/>
  <c r="T397" i="1"/>
  <c r="T399" i="1"/>
  <c r="T400" i="1"/>
  <c r="T839" i="1"/>
  <c r="T840" i="1"/>
  <c r="T841" i="1"/>
  <c r="T401" i="1"/>
  <c r="T842" i="1"/>
  <c r="T402" i="1"/>
  <c r="T843" i="1"/>
  <c r="T844" i="1"/>
  <c r="T845" i="1"/>
  <c r="T846" i="1"/>
  <c r="T847" i="1"/>
  <c r="T404" i="1"/>
  <c r="T848" i="1"/>
  <c r="T405" i="1"/>
  <c r="T850" i="1"/>
  <c r="T406" i="1"/>
  <c r="T851" i="1"/>
  <c r="T407" i="1"/>
  <c r="T852" i="1"/>
  <c r="T408" i="1"/>
  <c r="T409" i="1"/>
  <c r="T410" i="1"/>
  <c r="T853" i="1"/>
  <c r="T855" i="1"/>
  <c r="T411" i="1"/>
  <c r="T412" i="1"/>
  <c r="T413" i="1"/>
  <c r="T414" i="1"/>
  <c r="T415" i="1"/>
  <c r="T416" i="1"/>
  <c r="T417" i="1"/>
  <c r="T856" i="1"/>
  <c r="T418" i="1"/>
  <c r="T419" i="1"/>
  <c r="T857" i="1"/>
  <c r="T420" i="1"/>
  <c r="T858" i="1"/>
  <c r="T859" i="1"/>
  <c r="T421" i="1"/>
  <c r="T860" i="1"/>
  <c r="T422" i="1"/>
  <c r="T423" i="1"/>
  <c r="T424" i="1"/>
  <c r="T861" i="1"/>
  <c r="T862" i="1"/>
  <c r="T425" i="1"/>
  <c r="T426" i="1"/>
  <c r="T863" i="1"/>
  <c r="T864" i="1"/>
  <c r="T427" i="1"/>
  <c r="T865" i="1"/>
  <c r="T428" i="1"/>
  <c r="T429" i="1"/>
  <c r="T430" i="1"/>
  <c r="T866" i="1"/>
  <c r="T431" i="1"/>
  <c r="T867" i="1"/>
  <c r="T868" i="1"/>
  <c r="T869" i="1"/>
  <c r="T432" i="1"/>
  <c r="T433" i="1"/>
  <c r="T870" i="1"/>
  <c r="T434" i="1"/>
  <c r="T435" i="1"/>
  <c r="T436" i="1"/>
  <c r="T871" i="1"/>
  <c r="T872" i="1"/>
  <c r="T873" i="1"/>
  <c r="T437" i="1"/>
  <c r="T874" i="1"/>
  <c r="T438" i="1"/>
  <c r="T439" i="1"/>
  <c r="T440" i="1"/>
  <c r="T441" i="1"/>
  <c r="T442" i="1"/>
  <c r="T875" i="1"/>
  <c r="T443" i="1"/>
  <c r="T876" i="1"/>
  <c r="T444" i="1"/>
  <c r="T877" i="1"/>
  <c r="T445" i="1"/>
  <c r="T446" i="1"/>
  <c r="T878" i="1"/>
  <c r="T447" i="1"/>
  <c r="T448" i="1"/>
  <c r="T879" i="1"/>
  <c r="T449" i="1"/>
  <c r="T880" i="1"/>
  <c r="T450" i="1"/>
  <c r="T451" i="1"/>
  <c r="T452" i="1"/>
  <c r="T881" i="1"/>
  <c r="T453" i="1"/>
  <c r="T454" i="1"/>
  <c r="T882" i="1"/>
  <c r="T883" i="1"/>
  <c r="T455" i="1"/>
  <c r="T884" i="1"/>
  <c r="T885" i="1"/>
  <c r="T456" i="1"/>
  <c r="T886" i="1"/>
  <c r="T887" i="1"/>
  <c r="T888" i="1"/>
  <c r="T457" i="1"/>
  <c r="T458" i="1"/>
  <c r="T459" i="1"/>
  <c r="T889" i="1"/>
  <c r="T890" i="1"/>
  <c r="T460" i="1"/>
  <c r="T461" i="1"/>
  <c r="T891" i="1"/>
  <c r="T462" i="1"/>
  <c r="T463" i="1"/>
  <c r="T892" i="1"/>
  <c r="T464" i="1"/>
  <c r="T465" i="1"/>
  <c r="T893" i="1"/>
  <c r="T894" i="1"/>
  <c r="T895" i="1"/>
  <c r="T896" i="1"/>
  <c r="T466" i="1"/>
  <c r="T897" i="1"/>
  <c r="T467" i="1"/>
  <c r="T898" i="1"/>
  <c r="T899" i="1"/>
  <c r="T900" i="1"/>
  <c r="T468" i="1"/>
  <c r="T469" i="1"/>
  <c r="T901" i="1"/>
  <c r="T470" i="1"/>
  <c r="T902" i="1"/>
  <c r="T903" i="1"/>
  <c r="T471" i="1"/>
  <c r="T904" i="1"/>
  <c r="T905" i="1"/>
  <c r="T472" i="1"/>
  <c r="T906" i="1"/>
  <c r="T907" i="1"/>
  <c r="T473" i="1"/>
  <c r="T474" i="1"/>
  <c r="T908" i="1"/>
  <c r="T909" i="1"/>
  <c r="T475" i="1"/>
  <c r="T477" i="1"/>
  <c r="T478" i="1"/>
  <c r="T479" i="1"/>
  <c r="T910" i="1"/>
  <c r="T911" i="1"/>
  <c r="T480" i="1"/>
  <c r="T481" i="1"/>
  <c r="T482" i="1"/>
  <c r="T483" i="1"/>
  <c r="T484" i="1"/>
  <c r="T485" i="1"/>
  <c r="T912" i="1"/>
  <c r="T913" i="1"/>
  <c r="T914" i="1"/>
  <c r="T915" i="1"/>
  <c r="T916" i="1"/>
  <c r="T917" i="1"/>
  <c r="T486" i="1"/>
  <c r="T918" i="1"/>
  <c r="T919" i="1"/>
  <c r="T920" i="1"/>
  <c r="T487" i="1"/>
  <c r="T488" i="1"/>
  <c r="T921" i="1"/>
  <c r="T922" i="1"/>
  <c r="T489" i="1"/>
  <c r="T490" i="1"/>
  <c r="T923" i="1"/>
  <c r="T491" i="1"/>
  <c r="T924" i="1"/>
  <c r="T492" i="1"/>
  <c r="T493" i="1"/>
  <c r="T925" i="1"/>
  <c r="T926" i="1"/>
  <c r="T927" i="1"/>
  <c r="T494" i="1"/>
  <c r="T928" i="1"/>
  <c r="T495" i="1"/>
  <c r="T929" i="1"/>
  <c r="T930" i="1"/>
  <c r="T496" i="1"/>
  <c r="T497" i="1"/>
  <c r="T931" i="1"/>
  <c r="T498" i="1"/>
  <c r="T499" i="1"/>
  <c r="T500" i="1"/>
  <c r="T501" i="1"/>
  <c r="T932" i="1"/>
  <c r="T502" i="1"/>
  <c r="T933" i="1"/>
  <c r="T288" i="1"/>
  <c r="T341" i="1"/>
  <c r="T835" i="1"/>
  <c r="T398" i="1"/>
  <c r="T163" i="1"/>
  <c r="T801" i="1"/>
  <c r="T854" i="1"/>
  <c r="T86" i="1"/>
  <c r="T849" i="1"/>
  <c r="T695" i="1"/>
  <c r="T78" i="1"/>
  <c r="T149" i="1"/>
  <c r="T683" i="1"/>
  <c r="T166" i="1"/>
  <c r="T403" i="1"/>
  <c r="T762" i="1"/>
  <c r="T476" i="1"/>
  <c r="T556" i="1"/>
  <c r="T824" i="1"/>
  <c r="T505" i="1"/>
  <c r="T195" i="1"/>
  <c r="T539" i="1"/>
  <c r="T680" i="1"/>
  <c r="T608" i="1"/>
  <c r="T649" i="1"/>
  <c r="T579" i="1"/>
  <c r="T239" i="1"/>
  <c r="T773" i="1"/>
  <c r="T91" i="1"/>
  <c r="T159" i="1"/>
  <c r="T79" i="1"/>
  <c r="T659" i="1"/>
  <c r="T2" i="1"/>
  <c r="P3" i="1"/>
  <c r="P4" i="1"/>
  <c r="P5" i="1"/>
  <c r="P503" i="1"/>
  <c r="P6" i="1"/>
  <c r="P504" i="1"/>
  <c r="P506" i="1"/>
  <c r="P7" i="1"/>
  <c r="P507" i="1"/>
  <c r="P508" i="1"/>
  <c r="P8" i="1"/>
  <c r="P9" i="1"/>
  <c r="P509" i="1"/>
  <c r="P10" i="1"/>
  <c r="P11" i="1"/>
  <c r="P12" i="1"/>
  <c r="P13" i="1"/>
  <c r="P510" i="1"/>
  <c r="P14" i="1"/>
  <c r="P511" i="1"/>
  <c r="P512" i="1"/>
  <c r="P513" i="1"/>
  <c r="P514" i="1"/>
  <c r="P15" i="1"/>
  <c r="P16" i="1"/>
  <c r="P17" i="1"/>
  <c r="P515" i="1"/>
  <c r="P18" i="1"/>
  <c r="P516" i="1"/>
  <c r="P19" i="1"/>
  <c r="P517" i="1"/>
  <c r="P20" i="1"/>
  <c r="P21" i="1"/>
  <c r="P518" i="1"/>
  <c r="P22" i="1"/>
  <c r="P23" i="1"/>
  <c r="P519" i="1"/>
  <c r="P24" i="1"/>
  <c r="P25" i="1"/>
  <c r="P26" i="1"/>
  <c r="P27" i="1"/>
  <c r="P520" i="1"/>
  <c r="P28" i="1"/>
  <c r="P29" i="1"/>
  <c r="P30" i="1"/>
  <c r="P31" i="1"/>
  <c r="P32" i="1"/>
  <c r="P521" i="1"/>
  <c r="P33" i="1"/>
  <c r="P522" i="1"/>
  <c r="P34" i="1"/>
  <c r="P35" i="1"/>
  <c r="P523" i="1"/>
  <c r="P524" i="1"/>
  <c r="P525" i="1"/>
  <c r="P526" i="1"/>
  <c r="P36" i="1"/>
  <c r="P37" i="1"/>
  <c r="P38" i="1"/>
  <c r="P39" i="1"/>
  <c r="P40" i="1"/>
  <c r="P41" i="1"/>
  <c r="P42" i="1"/>
  <c r="P43" i="1"/>
  <c r="P44" i="1"/>
  <c r="P527" i="1"/>
  <c r="P528" i="1"/>
  <c r="P45" i="1"/>
  <c r="P46" i="1"/>
  <c r="P529" i="1"/>
  <c r="P530" i="1"/>
  <c r="P47" i="1"/>
  <c r="P531" i="1"/>
  <c r="P532" i="1"/>
  <c r="P533" i="1"/>
  <c r="P48" i="1"/>
  <c r="P534" i="1"/>
  <c r="P535" i="1"/>
  <c r="P536" i="1"/>
  <c r="P49" i="1"/>
  <c r="P537" i="1"/>
  <c r="P50" i="1"/>
  <c r="P51" i="1"/>
  <c r="P52" i="1"/>
  <c r="P53" i="1"/>
  <c r="P54" i="1"/>
  <c r="P55" i="1"/>
  <c r="P56" i="1"/>
  <c r="P57" i="1"/>
  <c r="P538" i="1"/>
  <c r="P540" i="1"/>
  <c r="P541" i="1"/>
  <c r="P58" i="1"/>
  <c r="P59" i="1"/>
  <c r="P542" i="1"/>
  <c r="P60" i="1"/>
  <c r="P543" i="1"/>
  <c r="P61" i="1"/>
  <c r="P544" i="1"/>
  <c r="P545" i="1"/>
  <c r="P62" i="1"/>
  <c r="P546" i="1"/>
  <c r="P547" i="1"/>
  <c r="P548" i="1"/>
  <c r="P63" i="1"/>
  <c r="P64" i="1"/>
  <c r="P65" i="1"/>
  <c r="P66" i="1"/>
  <c r="P549" i="1"/>
  <c r="P67" i="1"/>
  <c r="P550" i="1"/>
  <c r="P68" i="1"/>
  <c r="P69" i="1"/>
  <c r="P70" i="1"/>
  <c r="P71" i="1"/>
  <c r="P551" i="1"/>
  <c r="P72" i="1"/>
  <c r="P73" i="1"/>
  <c r="P74" i="1"/>
  <c r="P75" i="1"/>
  <c r="P552" i="1"/>
  <c r="P76" i="1"/>
  <c r="P77" i="1"/>
  <c r="P80" i="1"/>
  <c r="P553" i="1"/>
  <c r="P554" i="1"/>
  <c r="P555" i="1"/>
  <c r="P81" i="1"/>
  <c r="P82" i="1"/>
  <c r="P83" i="1"/>
  <c r="P557" i="1"/>
  <c r="P84" i="1"/>
  <c r="P85" i="1"/>
  <c r="P558" i="1"/>
  <c r="P559" i="1"/>
  <c r="P560" i="1"/>
  <c r="P561" i="1"/>
  <c r="P87" i="1"/>
  <c r="P562" i="1"/>
  <c r="P88" i="1"/>
  <c r="P89" i="1"/>
  <c r="P90" i="1"/>
  <c r="P92" i="1"/>
  <c r="P93" i="1"/>
  <c r="P563" i="1"/>
  <c r="P564" i="1"/>
  <c r="P94" i="1"/>
  <c r="P565" i="1"/>
  <c r="P95" i="1"/>
  <c r="P96" i="1"/>
  <c r="P97" i="1"/>
  <c r="P98" i="1"/>
  <c r="P566" i="1"/>
  <c r="P99" i="1"/>
  <c r="P567" i="1"/>
  <c r="P568" i="1"/>
  <c r="P100" i="1"/>
  <c r="P101" i="1"/>
  <c r="P569" i="1"/>
  <c r="P570" i="1"/>
  <c r="P571" i="1"/>
  <c r="P102" i="1"/>
  <c r="P572" i="1"/>
  <c r="P573" i="1"/>
  <c r="P103" i="1"/>
  <c r="P574" i="1"/>
  <c r="P575" i="1"/>
  <c r="P576" i="1"/>
  <c r="P577" i="1"/>
  <c r="P578" i="1"/>
  <c r="P580" i="1"/>
  <c r="P581" i="1"/>
  <c r="P104" i="1"/>
  <c r="P582" i="1"/>
  <c r="P105" i="1"/>
  <c r="P583" i="1"/>
  <c r="P106" i="1"/>
  <c r="P107" i="1"/>
  <c r="P108" i="1"/>
  <c r="P109" i="1"/>
  <c r="P584" i="1"/>
  <c r="P110" i="1"/>
  <c r="P585" i="1"/>
  <c r="P111" i="1"/>
  <c r="P112" i="1"/>
  <c r="P113" i="1"/>
  <c r="P586" i="1"/>
  <c r="P587" i="1"/>
  <c r="P588" i="1"/>
  <c r="P589" i="1"/>
  <c r="P114" i="1"/>
  <c r="P115" i="1"/>
  <c r="P116" i="1"/>
  <c r="P590" i="1"/>
  <c r="P591" i="1"/>
  <c r="P117" i="1"/>
  <c r="P592" i="1"/>
  <c r="P118" i="1"/>
  <c r="P119" i="1"/>
  <c r="P593" i="1"/>
  <c r="P594" i="1"/>
  <c r="P595" i="1"/>
  <c r="P120" i="1"/>
  <c r="P596" i="1"/>
  <c r="P597" i="1"/>
  <c r="P598" i="1"/>
  <c r="P121" i="1"/>
  <c r="P599" i="1"/>
  <c r="P600" i="1"/>
  <c r="P122" i="1"/>
  <c r="P123" i="1"/>
  <c r="P124" i="1"/>
  <c r="P125" i="1"/>
  <c r="P126" i="1"/>
  <c r="P127" i="1"/>
  <c r="P601" i="1"/>
  <c r="P602" i="1"/>
  <c r="P603" i="1"/>
  <c r="P128" i="1"/>
  <c r="P129" i="1"/>
  <c r="P604" i="1"/>
  <c r="P605" i="1"/>
  <c r="P606" i="1"/>
  <c r="P607" i="1"/>
  <c r="P130" i="1"/>
  <c r="P609" i="1"/>
  <c r="P131" i="1"/>
  <c r="P132" i="1"/>
  <c r="P610" i="1"/>
  <c r="P133" i="1"/>
  <c r="P134" i="1"/>
  <c r="P611" i="1"/>
  <c r="P135" i="1"/>
  <c r="P136" i="1"/>
  <c r="P137" i="1"/>
  <c r="P138" i="1"/>
  <c r="P139" i="1"/>
  <c r="P140" i="1"/>
  <c r="P141" i="1"/>
  <c r="P142" i="1"/>
  <c r="P612" i="1"/>
  <c r="P613" i="1"/>
  <c r="P614" i="1"/>
  <c r="P143" i="1"/>
  <c r="P144" i="1"/>
  <c r="P145" i="1"/>
  <c r="P146" i="1"/>
  <c r="P147" i="1"/>
  <c r="P615" i="1"/>
  <c r="P148" i="1"/>
  <c r="P616" i="1"/>
  <c r="P617" i="1"/>
  <c r="P150" i="1"/>
  <c r="P618" i="1"/>
  <c r="P619" i="1"/>
  <c r="P151" i="1"/>
  <c r="P620" i="1"/>
  <c r="P152" i="1"/>
  <c r="P153" i="1"/>
  <c r="P621" i="1"/>
  <c r="P622" i="1"/>
  <c r="P623" i="1"/>
  <c r="P624" i="1"/>
  <c r="P154" i="1"/>
  <c r="P155" i="1"/>
  <c r="P625" i="1"/>
  <c r="P626" i="1"/>
  <c r="P627" i="1"/>
  <c r="P628" i="1"/>
  <c r="P156" i="1"/>
  <c r="P157" i="1"/>
  <c r="P158" i="1"/>
  <c r="P629" i="1"/>
  <c r="P160" i="1"/>
  <c r="P161" i="1"/>
  <c r="P162" i="1"/>
  <c r="P630" i="1"/>
  <c r="P631" i="1"/>
  <c r="P164" i="1"/>
  <c r="P165" i="1"/>
  <c r="P632" i="1"/>
  <c r="P167" i="1"/>
  <c r="P633" i="1"/>
  <c r="P168" i="1"/>
  <c r="P634" i="1"/>
  <c r="P169" i="1"/>
  <c r="P170" i="1"/>
  <c r="P171" i="1"/>
  <c r="P635" i="1"/>
  <c r="P636" i="1"/>
  <c r="P172" i="1"/>
  <c r="P637" i="1"/>
  <c r="P173" i="1"/>
  <c r="P638" i="1"/>
  <c r="P639" i="1"/>
  <c r="P640" i="1"/>
  <c r="P174" i="1"/>
  <c r="P641" i="1"/>
  <c r="P175" i="1"/>
  <c r="P176" i="1"/>
  <c r="P642" i="1"/>
  <c r="P643" i="1"/>
  <c r="P177" i="1"/>
  <c r="P178" i="1"/>
  <c r="P179" i="1"/>
  <c r="P644" i="1"/>
  <c r="P645" i="1"/>
  <c r="P646" i="1"/>
  <c r="P180" i="1"/>
  <c r="P181" i="1"/>
  <c r="P182" i="1"/>
  <c r="P183" i="1"/>
  <c r="P647" i="1"/>
  <c r="P648" i="1"/>
  <c r="P184" i="1"/>
  <c r="P185" i="1"/>
  <c r="P650" i="1"/>
  <c r="P186" i="1"/>
  <c r="P187" i="1"/>
  <c r="P188" i="1"/>
  <c r="P189" i="1"/>
  <c r="P190" i="1"/>
  <c r="P191" i="1"/>
  <c r="P651" i="1"/>
  <c r="P652" i="1"/>
  <c r="P653" i="1"/>
  <c r="P192" i="1"/>
  <c r="P654" i="1"/>
  <c r="P655" i="1"/>
  <c r="P193" i="1"/>
  <c r="P194" i="1"/>
  <c r="P656" i="1"/>
  <c r="P657" i="1"/>
  <c r="P196" i="1"/>
  <c r="P658" i="1"/>
  <c r="P197" i="1"/>
  <c r="P198" i="1"/>
  <c r="P199" i="1"/>
  <c r="P660" i="1"/>
  <c r="P200" i="1"/>
  <c r="P661" i="1"/>
  <c r="P662" i="1"/>
  <c r="P663" i="1"/>
  <c r="P201" i="1"/>
  <c r="P202" i="1"/>
  <c r="P664" i="1"/>
  <c r="P203" i="1"/>
  <c r="P204" i="1"/>
  <c r="P665" i="1"/>
  <c r="P205" i="1"/>
  <c r="P666" i="1"/>
  <c r="P667" i="1"/>
  <c r="P668" i="1"/>
  <c r="P206" i="1"/>
  <c r="P207" i="1"/>
  <c r="P669" i="1"/>
  <c r="P670" i="1"/>
  <c r="P671" i="1"/>
  <c r="P208" i="1"/>
  <c r="P209" i="1"/>
  <c r="P672" i="1"/>
  <c r="P210" i="1"/>
  <c r="P673" i="1"/>
  <c r="P674" i="1"/>
  <c r="P211" i="1"/>
  <c r="P675" i="1"/>
  <c r="P212" i="1"/>
  <c r="P676" i="1"/>
  <c r="P677" i="1"/>
  <c r="P213" i="1"/>
  <c r="P214" i="1"/>
  <c r="P678" i="1"/>
  <c r="P679" i="1"/>
  <c r="P681" i="1"/>
  <c r="P215" i="1"/>
  <c r="P216" i="1"/>
  <c r="P682" i="1"/>
  <c r="P684" i="1"/>
  <c r="P217" i="1"/>
  <c r="P218" i="1"/>
  <c r="P685" i="1"/>
  <c r="P686" i="1"/>
  <c r="P687" i="1"/>
  <c r="P219" i="1"/>
  <c r="P688" i="1"/>
  <c r="P689" i="1"/>
  <c r="P690" i="1"/>
  <c r="P220" i="1"/>
  <c r="P221" i="1"/>
  <c r="P222" i="1"/>
  <c r="P691" i="1"/>
  <c r="P223" i="1"/>
  <c r="P224" i="1"/>
  <c r="P225" i="1"/>
  <c r="P226" i="1"/>
  <c r="P692" i="1"/>
  <c r="P693" i="1"/>
  <c r="P227" i="1"/>
  <c r="P694" i="1"/>
  <c r="P696" i="1"/>
  <c r="P697" i="1"/>
  <c r="P228" i="1"/>
  <c r="P229" i="1"/>
  <c r="P230" i="1"/>
  <c r="P231" i="1"/>
  <c r="P698" i="1"/>
  <c r="P232" i="1"/>
  <c r="P699" i="1"/>
  <c r="P700" i="1"/>
  <c r="P233" i="1"/>
  <c r="P701" i="1"/>
  <c r="P234" i="1"/>
  <c r="P702" i="1"/>
  <c r="P235" i="1"/>
  <c r="P236" i="1"/>
  <c r="P703" i="1"/>
  <c r="P704" i="1"/>
  <c r="P237" i="1"/>
  <c r="P705" i="1"/>
  <c r="P706" i="1"/>
  <c r="P707" i="1"/>
  <c r="P708" i="1"/>
  <c r="P238" i="1"/>
  <c r="P240" i="1"/>
  <c r="P241" i="1"/>
  <c r="P242" i="1"/>
  <c r="P709" i="1"/>
  <c r="P710" i="1"/>
  <c r="P711" i="1"/>
  <c r="P243" i="1"/>
  <c r="P244" i="1"/>
  <c r="P245" i="1"/>
  <c r="P246" i="1"/>
  <c r="P712" i="1"/>
  <c r="P713" i="1"/>
  <c r="P247" i="1"/>
  <c r="P248" i="1"/>
  <c r="P714" i="1"/>
  <c r="P715" i="1"/>
  <c r="P249" i="1"/>
  <c r="P250" i="1"/>
  <c r="P716" i="1"/>
  <c r="P251" i="1"/>
  <c r="P717" i="1"/>
  <c r="P252" i="1"/>
  <c r="P718" i="1"/>
  <c r="P719" i="1"/>
  <c r="P253" i="1"/>
  <c r="P254" i="1"/>
  <c r="P720" i="1"/>
  <c r="P255" i="1"/>
  <c r="P256" i="1"/>
  <c r="P721" i="1"/>
  <c r="P722" i="1"/>
  <c r="P257" i="1"/>
  <c r="P258" i="1"/>
  <c r="P259" i="1"/>
  <c r="P260" i="1"/>
  <c r="P261" i="1"/>
  <c r="P723" i="1"/>
  <c r="P724" i="1"/>
  <c r="P262" i="1"/>
  <c r="P725" i="1"/>
  <c r="P726" i="1"/>
  <c r="P263" i="1"/>
  <c r="P264" i="1"/>
  <c r="P265" i="1"/>
  <c r="P727" i="1"/>
  <c r="P266" i="1"/>
  <c r="P267" i="1"/>
  <c r="P268" i="1"/>
  <c r="P269" i="1"/>
  <c r="P270" i="1"/>
  <c r="P271" i="1"/>
  <c r="P728" i="1"/>
  <c r="P272" i="1"/>
  <c r="P729" i="1"/>
  <c r="P273" i="1"/>
  <c r="P274" i="1"/>
  <c r="P730" i="1"/>
  <c r="P731" i="1"/>
  <c r="P275" i="1"/>
  <c r="P276" i="1"/>
  <c r="P277" i="1"/>
  <c r="P732" i="1"/>
  <c r="P733" i="1"/>
  <c r="P734" i="1"/>
  <c r="P278" i="1"/>
  <c r="P279" i="1"/>
  <c r="P280" i="1"/>
  <c r="P735" i="1"/>
  <c r="P736" i="1"/>
  <c r="P737" i="1"/>
  <c r="P281" i="1"/>
  <c r="P282" i="1"/>
  <c r="P738" i="1"/>
  <c r="P283" i="1"/>
  <c r="P739" i="1"/>
  <c r="P284" i="1"/>
  <c r="P285" i="1"/>
  <c r="P286" i="1"/>
  <c r="P287" i="1"/>
  <c r="P289" i="1"/>
  <c r="P740" i="1"/>
  <c r="P290" i="1"/>
  <c r="P291" i="1"/>
  <c r="P741" i="1"/>
  <c r="P292" i="1"/>
  <c r="P742" i="1"/>
  <c r="P293" i="1"/>
  <c r="P294" i="1"/>
  <c r="P743" i="1"/>
  <c r="P744" i="1"/>
  <c r="P295" i="1"/>
  <c r="P745" i="1"/>
  <c r="P296" i="1"/>
  <c r="P746" i="1"/>
  <c r="P747" i="1"/>
  <c r="P748" i="1"/>
  <c r="P297" i="1"/>
  <c r="P749" i="1"/>
  <c r="P750" i="1"/>
  <c r="P298" i="1"/>
  <c r="P299" i="1"/>
  <c r="P300" i="1"/>
  <c r="P751" i="1"/>
  <c r="P752" i="1"/>
  <c r="P301" i="1"/>
  <c r="P302" i="1"/>
  <c r="P753" i="1"/>
  <c r="P303" i="1"/>
  <c r="P754" i="1"/>
  <c r="P304" i="1"/>
  <c r="P755" i="1"/>
  <c r="P305" i="1"/>
  <c r="P756" i="1"/>
  <c r="P306" i="1"/>
  <c r="P307" i="1"/>
  <c r="P757" i="1"/>
  <c r="P308" i="1"/>
  <c r="P758" i="1"/>
  <c r="P309" i="1"/>
  <c r="P310" i="1"/>
  <c r="P759" i="1"/>
  <c r="P311" i="1"/>
  <c r="P760" i="1"/>
  <c r="P312" i="1"/>
  <c r="P313" i="1"/>
  <c r="P761" i="1"/>
  <c r="P314" i="1"/>
  <c r="P315" i="1"/>
  <c r="P763" i="1"/>
  <c r="P764" i="1"/>
  <c r="P316" i="1"/>
  <c r="P765" i="1"/>
  <c r="P317" i="1"/>
  <c r="P318" i="1"/>
  <c r="P766" i="1"/>
  <c r="P767" i="1"/>
  <c r="P319" i="1"/>
  <c r="P768" i="1"/>
  <c r="P320" i="1"/>
  <c r="P321" i="1"/>
  <c r="P322" i="1"/>
  <c r="P769" i="1"/>
  <c r="P323" i="1"/>
  <c r="P324" i="1"/>
  <c r="P325" i="1"/>
  <c r="P770" i="1"/>
  <c r="P771" i="1"/>
  <c r="P772" i="1"/>
  <c r="P326" i="1"/>
  <c r="P774" i="1"/>
  <c r="P327" i="1"/>
  <c r="P775" i="1"/>
  <c r="P328" i="1"/>
  <c r="P776" i="1"/>
  <c r="P329" i="1"/>
  <c r="P330" i="1"/>
  <c r="P777" i="1"/>
  <c r="P778" i="1"/>
  <c r="P331" i="1"/>
  <c r="P332" i="1"/>
  <c r="P333" i="1"/>
  <c r="P779" i="1"/>
  <c r="P780" i="1"/>
  <c r="P781" i="1"/>
  <c r="P782" i="1"/>
  <c r="P334" i="1"/>
  <c r="P335" i="1"/>
  <c r="P336" i="1"/>
  <c r="P337" i="1"/>
  <c r="P783" i="1"/>
  <c r="P338" i="1"/>
  <c r="P784" i="1"/>
  <c r="P339" i="1"/>
  <c r="P785" i="1"/>
  <c r="P340" i="1"/>
  <c r="P342" i="1"/>
  <c r="P786" i="1"/>
  <c r="P343" i="1"/>
  <c r="P344" i="1"/>
  <c r="P787" i="1"/>
  <c r="P788" i="1"/>
  <c r="P789" i="1"/>
  <c r="P790" i="1"/>
  <c r="P791" i="1"/>
  <c r="P345" i="1"/>
  <c r="P792" i="1"/>
  <c r="P346" i="1"/>
  <c r="P793" i="1"/>
  <c r="P794" i="1"/>
  <c r="P347" i="1"/>
  <c r="P348" i="1"/>
  <c r="P349" i="1"/>
  <c r="P350" i="1"/>
  <c r="P351" i="1"/>
  <c r="P352" i="1"/>
  <c r="P353" i="1"/>
  <c r="P354" i="1"/>
  <c r="P355" i="1"/>
  <c r="P795" i="1"/>
  <c r="P356" i="1"/>
  <c r="P357" i="1"/>
  <c r="P358" i="1"/>
  <c r="P796" i="1"/>
  <c r="P797" i="1"/>
  <c r="P798" i="1"/>
  <c r="P799" i="1"/>
  <c r="P359" i="1"/>
  <c r="P360" i="1"/>
  <c r="P800" i="1"/>
  <c r="P802" i="1"/>
  <c r="P803" i="1"/>
  <c r="P361" i="1"/>
  <c r="P362" i="1"/>
  <c r="P363" i="1"/>
  <c r="P364" i="1"/>
  <c r="P365" i="1"/>
  <c r="P804" i="1"/>
  <c r="P805" i="1"/>
  <c r="P366" i="1"/>
  <c r="P367" i="1"/>
  <c r="P806" i="1"/>
  <c r="P368" i="1"/>
  <c r="P369" i="1"/>
  <c r="P807" i="1"/>
  <c r="P370" i="1"/>
  <c r="P808" i="1"/>
  <c r="P371" i="1"/>
  <c r="P809" i="1"/>
  <c r="P810" i="1"/>
  <c r="P811" i="1"/>
  <c r="P812" i="1"/>
  <c r="P813" i="1"/>
  <c r="P372" i="1"/>
  <c r="P814" i="1"/>
  <c r="P815" i="1"/>
  <c r="P816" i="1"/>
  <c r="P817" i="1"/>
  <c r="P373" i="1"/>
  <c r="P374" i="1"/>
  <c r="P375" i="1"/>
  <c r="P376" i="1"/>
  <c r="P818" i="1"/>
  <c r="P377" i="1"/>
  <c r="P819" i="1"/>
  <c r="P378" i="1"/>
  <c r="P379" i="1"/>
  <c r="P820" i="1"/>
  <c r="P380" i="1"/>
  <c r="P381" i="1"/>
  <c r="P821" i="1"/>
  <c r="P382" i="1"/>
  <c r="P822" i="1"/>
  <c r="P823" i="1"/>
  <c r="P383" i="1"/>
  <c r="P384" i="1"/>
  <c r="P825" i="1"/>
  <c r="P385" i="1"/>
  <c r="P386" i="1"/>
  <c r="P826" i="1"/>
  <c r="P827" i="1"/>
  <c r="P828" i="1"/>
  <c r="P829" i="1"/>
  <c r="P387" i="1"/>
  <c r="P830" i="1"/>
  <c r="P831" i="1"/>
  <c r="P388" i="1"/>
  <c r="P389" i="1"/>
  <c r="P390" i="1"/>
  <c r="P832" i="1"/>
  <c r="P833" i="1"/>
  <c r="P834" i="1"/>
  <c r="P391" i="1"/>
  <c r="P836" i="1"/>
  <c r="P837" i="1"/>
  <c r="P392" i="1"/>
  <c r="P393" i="1"/>
  <c r="P394" i="1"/>
  <c r="P395" i="1"/>
  <c r="P838" i="1"/>
  <c r="P396" i="1"/>
  <c r="P397" i="1"/>
  <c r="P399" i="1"/>
  <c r="P400" i="1"/>
  <c r="P839" i="1"/>
  <c r="P840" i="1"/>
  <c r="P841" i="1"/>
  <c r="P401" i="1"/>
  <c r="P842" i="1"/>
  <c r="P402" i="1"/>
  <c r="P843" i="1"/>
  <c r="P844" i="1"/>
  <c r="P845" i="1"/>
  <c r="P846" i="1"/>
  <c r="P847" i="1"/>
  <c r="P404" i="1"/>
  <c r="P848" i="1"/>
  <c r="P405" i="1"/>
  <c r="P850" i="1"/>
  <c r="P406" i="1"/>
  <c r="P851" i="1"/>
  <c r="P407" i="1"/>
  <c r="P852" i="1"/>
  <c r="P408" i="1"/>
  <c r="P409" i="1"/>
  <c r="P410" i="1"/>
  <c r="P853" i="1"/>
  <c r="P855" i="1"/>
  <c r="P411" i="1"/>
  <c r="P412" i="1"/>
  <c r="P413" i="1"/>
  <c r="P414" i="1"/>
  <c r="P415" i="1"/>
  <c r="P416" i="1"/>
  <c r="P417" i="1"/>
  <c r="P856" i="1"/>
  <c r="P418" i="1"/>
  <c r="P419" i="1"/>
  <c r="P857" i="1"/>
  <c r="P420" i="1"/>
  <c r="P858" i="1"/>
  <c r="P859" i="1"/>
  <c r="P421" i="1"/>
  <c r="P860" i="1"/>
  <c r="P422" i="1"/>
  <c r="P423" i="1"/>
  <c r="P424" i="1"/>
  <c r="P861" i="1"/>
  <c r="P862" i="1"/>
  <c r="P425" i="1"/>
  <c r="P426" i="1"/>
  <c r="P863" i="1"/>
  <c r="P864" i="1"/>
  <c r="P427" i="1"/>
  <c r="P865" i="1"/>
  <c r="P428" i="1"/>
  <c r="P429" i="1"/>
  <c r="P430" i="1"/>
  <c r="P866" i="1"/>
  <c r="P431" i="1"/>
  <c r="P867" i="1"/>
  <c r="P868" i="1"/>
  <c r="P869" i="1"/>
  <c r="P432" i="1"/>
  <c r="P433" i="1"/>
  <c r="P870" i="1"/>
  <c r="P434" i="1"/>
  <c r="P435" i="1"/>
  <c r="P436" i="1"/>
  <c r="P871" i="1"/>
  <c r="P872" i="1"/>
  <c r="P873" i="1"/>
  <c r="P437" i="1"/>
  <c r="P874" i="1"/>
  <c r="P438" i="1"/>
  <c r="P439" i="1"/>
  <c r="P440" i="1"/>
  <c r="P441" i="1"/>
  <c r="P442" i="1"/>
  <c r="P875" i="1"/>
  <c r="P443" i="1"/>
  <c r="P876" i="1"/>
  <c r="P444" i="1"/>
  <c r="P877" i="1"/>
  <c r="P445" i="1"/>
  <c r="P446" i="1"/>
  <c r="P878" i="1"/>
  <c r="P447" i="1"/>
  <c r="P448" i="1"/>
  <c r="P879" i="1"/>
  <c r="P449" i="1"/>
  <c r="P880" i="1"/>
  <c r="P450" i="1"/>
  <c r="P451" i="1"/>
  <c r="P452" i="1"/>
  <c r="P881" i="1"/>
  <c r="P453" i="1"/>
  <c r="P454" i="1"/>
  <c r="P882" i="1"/>
  <c r="P883" i="1"/>
  <c r="P455" i="1"/>
  <c r="P884" i="1"/>
  <c r="P885" i="1"/>
  <c r="P456" i="1"/>
  <c r="P886" i="1"/>
  <c r="P887" i="1"/>
  <c r="P888" i="1"/>
  <c r="P457" i="1"/>
  <c r="P458" i="1"/>
  <c r="P459" i="1"/>
  <c r="P889" i="1"/>
  <c r="P890" i="1"/>
  <c r="P460" i="1"/>
  <c r="P461" i="1"/>
  <c r="P891" i="1"/>
  <c r="P462" i="1"/>
  <c r="P463" i="1"/>
  <c r="P892" i="1"/>
  <c r="P464" i="1"/>
  <c r="P465" i="1"/>
  <c r="P893" i="1"/>
  <c r="P894" i="1"/>
  <c r="P895" i="1"/>
  <c r="P896" i="1"/>
  <c r="P466" i="1"/>
  <c r="P897" i="1"/>
  <c r="P467" i="1"/>
  <c r="P898" i="1"/>
  <c r="P899" i="1"/>
  <c r="P900" i="1"/>
  <c r="P468" i="1"/>
  <c r="P469" i="1"/>
  <c r="P901" i="1"/>
  <c r="P470" i="1"/>
  <c r="P902" i="1"/>
  <c r="P903" i="1"/>
  <c r="P471" i="1"/>
  <c r="P904" i="1"/>
  <c r="P905" i="1"/>
  <c r="P472" i="1"/>
  <c r="P906" i="1"/>
  <c r="P907" i="1"/>
  <c r="P473" i="1"/>
  <c r="P474" i="1"/>
  <c r="P908" i="1"/>
  <c r="P909" i="1"/>
  <c r="P475" i="1"/>
  <c r="P477" i="1"/>
  <c r="P478" i="1"/>
  <c r="P479" i="1"/>
  <c r="P910" i="1"/>
  <c r="P911" i="1"/>
  <c r="P480" i="1"/>
  <c r="P481" i="1"/>
  <c r="P482" i="1"/>
  <c r="P483" i="1"/>
  <c r="P484" i="1"/>
  <c r="P485" i="1"/>
  <c r="P912" i="1"/>
  <c r="P913" i="1"/>
  <c r="P914" i="1"/>
  <c r="P915" i="1"/>
  <c r="P916" i="1"/>
  <c r="P917" i="1"/>
  <c r="P486" i="1"/>
  <c r="P918" i="1"/>
  <c r="P919" i="1"/>
  <c r="P920" i="1"/>
  <c r="P487" i="1"/>
  <c r="P488" i="1"/>
  <c r="P921" i="1"/>
  <c r="P922" i="1"/>
  <c r="P489" i="1"/>
  <c r="P490" i="1"/>
  <c r="P923" i="1"/>
  <c r="P491" i="1"/>
  <c r="P924" i="1"/>
  <c r="P492" i="1"/>
  <c r="P493" i="1"/>
  <c r="P925" i="1"/>
  <c r="P926" i="1"/>
  <c r="P927" i="1"/>
  <c r="P494" i="1"/>
  <c r="P928" i="1"/>
  <c r="P495" i="1"/>
  <c r="P929" i="1"/>
  <c r="P930" i="1"/>
  <c r="P496" i="1"/>
  <c r="P497" i="1"/>
  <c r="P931" i="1"/>
  <c r="P498" i="1"/>
  <c r="P499" i="1"/>
  <c r="P500" i="1"/>
  <c r="P501" i="1"/>
  <c r="P932" i="1"/>
  <c r="P502" i="1"/>
  <c r="P933" i="1"/>
  <c r="P288" i="1"/>
  <c r="P341" i="1"/>
  <c r="P835" i="1"/>
  <c r="P398" i="1"/>
  <c r="P163" i="1"/>
  <c r="P801" i="1"/>
  <c r="P854" i="1"/>
  <c r="P86" i="1"/>
  <c r="P849" i="1"/>
  <c r="P695" i="1"/>
  <c r="P78" i="1"/>
  <c r="P149" i="1"/>
  <c r="P683" i="1"/>
  <c r="P166" i="1"/>
  <c r="P403" i="1"/>
  <c r="P762" i="1"/>
  <c r="P476" i="1"/>
  <c r="P556" i="1"/>
  <c r="P824" i="1"/>
  <c r="P505" i="1"/>
  <c r="P195" i="1"/>
  <c r="P539" i="1"/>
  <c r="P680" i="1"/>
  <c r="P608" i="1"/>
  <c r="P649" i="1"/>
  <c r="P579" i="1"/>
  <c r="P239" i="1"/>
  <c r="P773" i="1"/>
  <c r="P91" i="1"/>
  <c r="P159" i="1"/>
  <c r="P79" i="1"/>
  <c r="P659" i="1"/>
  <c r="P2" i="1"/>
  <c r="L3" i="1"/>
  <c r="L4" i="1"/>
  <c r="L5" i="1"/>
  <c r="L503" i="1"/>
  <c r="L6" i="1"/>
  <c r="L504" i="1"/>
  <c r="L506" i="1"/>
  <c r="L7" i="1"/>
  <c r="L507" i="1"/>
  <c r="L508" i="1"/>
  <c r="L8" i="1"/>
  <c r="L9" i="1"/>
  <c r="L509" i="1"/>
  <c r="L10" i="1"/>
  <c r="L11" i="1"/>
  <c r="L12" i="1"/>
  <c r="L13" i="1"/>
  <c r="L510" i="1"/>
  <c r="L14" i="1"/>
  <c r="L511" i="1"/>
  <c r="L512" i="1"/>
  <c r="L513" i="1"/>
  <c r="L514" i="1"/>
  <c r="L15" i="1"/>
  <c r="L16" i="1"/>
  <c r="L17" i="1"/>
  <c r="L515" i="1"/>
  <c r="L18" i="1"/>
  <c r="L516" i="1"/>
  <c r="L19" i="1"/>
  <c r="L517" i="1"/>
  <c r="L20" i="1"/>
  <c r="L21" i="1"/>
  <c r="L518" i="1"/>
  <c r="L22" i="1"/>
  <c r="L23" i="1"/>
  <c r="L519" i="1"/>
  <c r="L24" i="1"/>
  <c r="L25" i="1"/>
  <c r="L26" i="1"/>
  <c r="L27" i="1"/>
  <c r="L520" i="1"/>
  <c r="L28" i="1"/>
  <c r="L29" i="1"/>
  <c r="L30" i="1"/>
  <c r="L31" i="1"/>
  <c r="L32" i="1"/>
  <c r="L521" i="1"/>
  <c r="L33" i="1"/>
  <c r="L522" i="1"/>
  <c r="L34" i="1"/>
  <c r="L35" i="1"/>
  <c r="L523" i="1"/>
  <c r="L524" i="1"/>
  <c r="L525" i="1"/>
  <c r="L526" i="1"/>
  <c r="L36" i="1"/>
  <c r="L37" i="1"/>
  <c r="L38" i="1"/>
  <c r="L39" i="1"/>
  <c r="L40" i="1"/>
  <c r="L41" i="1"/>
  <c r="L42" i="1"/>
  <c r="L43" i="1"/>
  <c r="L44" i="1"/>
  <c r="L527" i="1"/>
  <c r="L528" i="1"/>
  <c r="L45" i="1"/>
  <c r="L46" i="1"/>
  <c r="L529" i="1"/>
  <c r="L530" i="1"/>
  <c r="L47" i="1"/>
  <c r="L531" i="1"/>
  <c r="L532" i="1"/>
  <c r="L533" i="1"/>
  <c r="L48" i="1"/>
  <c r="L534" i="1"/>
  <c r="L535" i="1"/>
  <c r="L536" i="1"/>
  <c r="L49" i="1"/>
  <c r="L537" i="1"/>
  <c r="L50" i="1"/>
  <c r="L51" i="1"/>
  <c r="L52" i="1"/>
  <c r="L53" i="1"/>
  <c r="L54" i="1"/>
  <c r="L55" i="1"/>
  <c r="L56" i="1"/>
  <c r="L57" i="1"/>
  <c r="L538" i="1"/>
  <c r="L540" i="1"/>
  <c r="L541" i="1"/>
  <c r="L58" i="1"/>
  <c r="L59" i="1"/>
  <c r="L542" i="1"/>
  <c r="L60" i="1"/>
  <c r="L543" i="1"/>
  <c r="L61" i="1"/>
  <c r="L544" i="1"/>
  <c r="L545" i="1"/>
  <c r="L62" i="1"/>
  <c r="L546" i="1"/>
  <c r="L547" i="1"/>
  <c r="L548" i="1"/>
  <c r="L63" i="1"/>
  <c r="L64" i="1"/>
  <c r="L65" i="1"/>
  <c r="L66" i="1"/>
  <c r="L549" i="1"/>
  <c r="L67" i="1"/>
  <c r="L550" i="1"/>
  <c r="L68" i="1"/>
  <c r="L69" i="1"/>
  <c r="L70" i="1"/>
  <c r="L71" i="1"/>
  <c r="L551" i="1"/>
  <c r="L72" i="1"/>
  <c r="L73" i="1"/>
  <c r="L74" i="1"/>
  <c r="L75" i="1"/>
  <c r="L552" i="1"/>
  <c r="L76" i="1"/>
  <c r="L77" i="1"/>
  <c r="L80" i="1"/>
  <c r="L553" i="1"/>
  <c r="L554" i="1"/>
  <c r="L555" i="1"/>
  <c r="L81" i="1"/>
  <c r="L82" i="1"/>
  <c r="L83" i="1"/>
  <c r="L557" i="1"/>
  <c r="L84" i="1"/>
  <c r="L85" i="1"/>
  <c r="L558" i="1"/>
  <c r="L559" i="1"/>
  <c r="L560" i="1"/>
  <c r="L561" i="1"/>
  <c r="L87" i="1"/>
  <c r="L562" i="1"/>
  <c r="L88" i="1"/>
  <c r="L89" i="1"/>
  <c r="L90" i="1"/>
  <c r="L92" i="1"/>
  <c r="L93" i="1"/>
  <c r="L563" i="1"/>
  <c r="L564" i="1"/>
  <c r="L94" i="1"/>
  <c r="L565" i="1"/>
  <c r="L95" i="1"/>
  <c r="L96" i="1"/>
  <c r="L97" i="1"/>
  <c r="L98" i="1"/>
  <c r="L566" i="1"/>
  <c r="L99" i="1"/>
  <c r="L567" i="1"/>
  <c r="L568" i="1"/>
  <c r="L100" i="1"/>
  <c r="L101" i="1"/>
  <c r="L569" i="1"/>
  <c r="L570" i="1"/>
  <c r="L571" i="1"/>
  <c r="L102" i="1"/>
  <c r="L572" i="1"/>
  <c r="L573" i="1"/>
  <c r="L103" i="1"/>
  <c r="L574" i="1"/>
  <c r="L575" i="1"/>
  <c r="L576" i="1"/>
  <c r="L577" i="1"/>
  <c r="L578" i="1"/>
  <c r="L580" i="1"/>
  <c r="L581" i="1"/>
  <c r="L104" i="1"/>
  <c r="L582" i="1"/>
  <c r="L105" i="1"/>
  <c r="L583" i="1"/>
  <c r="L106" i="1"/>
  <c r="L107" i="1"/>
  <c r="L108" i="1"/>
  <c r="L109" i="1"/>
  <c r="L584" i="1"/>
  <c r="L110" i="1"/>
  <c r="L585" i="1"/>
  <c r="L111" i="1"/>
  <c r="L112" i="1"/>
  <c r="L113" i="1"/>
  <c r="L586" i="1"/>
  <c r="L587" i="1"/>
  <c r="L588" i="1"/>
  <c r="L589" i="1"/>
  <c r="L114" i="1"/>
  <c r="L115" i="1"/>
  <c r="L116" i="1"/>
  <c r="L590" i="1"/>
  <c r="L591" i="1"/>
  <c r="L117" i="1"/>
  <c r="L592" i="1"/>
  <c r="L118" i="1"/>
  <c r="L119" i="1"/>
  <c r="L593" i="1"/>
  <c r="L594" i="1"/>
  <c r="L595" i="1"/>
  <c r="L120" i="1"/>
  <c r="L596" i="1"/>
  <c r="L597" i="1"/>
  <c r="L598" i="1"/>
  <c r="L121" i="1"/>
  <c r="L599" i="1"/>
  <c r="L600" i="1"/>
  <c r="L122" i="1"/>
  <c r="L123" i="1"/>
  <c r="L124" i="1"/>
  <c r="L125" i="1"/>
  <c r="L126" i="1"/>
  <c r="L127" i="1"/>
  <c r="L601" i="1"/>
  <c r="L602" i="1"/>
  <c r="L603" i="1"/>
  <c r="L128" i="1"/>
  <c r="L129" i="1"/>
  <c r="L604" i="1"/>
  <c r="L605" i="1"/>
  <c r="L606" i="1"/>
  <c r="L607" i="1"/>
  <c r="L130" i="1"/>
  <c r="L609" i="1"/>
  <c r="L131" i="1"/>
  <c r="L132" i="1"/>
  <c r="L610" i="1"/>
  <c r="L133" i="1"/>
  <c r="L134" i="1"/>
  <c r="L611" i="1"/>
  <c r="L135" i="1"/>
  <c r="L136" i="1"/>
  <c r="L137" i="1"/>
  <c r="L138" i="1"/>
  <c r="L139" i="1"/>
  <c r="L140" i="1"/>
  <c r="L141" i="1"/>
  <c r="L142" i="1"/>
  <c r="L612" i="1"/>
  <c r="L613" i="1"/>
  <c r="L614" i="1"/>
  <c r="L143" i="1"/>
  <c r="L144" i="1"/>
  <c r="L145" i="1"/>
  <c r="L146" i="1"/>
  <c r="L147" i="1"/>
  <c r="L615" i="1"/>
  <c r="L148" i="1"/>
  <c r="L616" i="1"/>
  <c r="L617" i="1"/>
  <c r="L150" i="1"/>
  <c r="L618" i="1"/>
  <c r="L619" i="1"/>
  <c r="L151" i="1"/>
  <c r="L620" i="1"/>
  <c r="L152" i="1"/>
  <c r="L153" i="1"/>
  <c r="L621" i="1"/>
  <c r="L622" i="1"/>
  <c r="L623" i="1"/>
  <c r="L624" i="1"/>
  <c r="L154" i="1"/>
  <c r="L155" i="1"/>
  <c r="L625" i="1"/>
  <c r="L626" i="1"/>
  <c r="L627" i="1"/>
  <c r="L628" i="1"/>
  <c r="L156" i="1"/>
  <c r="L157" i="1"/>
  <c r="L158" i="1"/>
  <c r="L629" i="1"/>
  <c r="L160" i="1"/>
  <c r="L161" i="1"/>
  <c r="L162" i="1"/>
  <c r="L630" i="1"/>
  <c r="L631" i="1"/>
  <c r="L164" i="1"/>
  <c r="L165" i="1"/>
  <c r="L632" i="1"/>
  <c r="L167" i="1"/>
  <c r="L633" i="1"/>
  <c r="L168" i="1"/>
  <c r="L634" i="1"/>
  <c r="L169" i="1"/>
  <c r="L170" i="1"/>
  <c r="L171" i="1"/>
  <c r="L635" i="1"/>
  <c r="L636" i="1"/>
  <c r="L172" i="1"/>
  <c r="L637" i="1"/>
  <c r="L173" i="1"/>
  <c r="L638" i="1"/>
  <c r="L639" i="1"/>
  <c r="L640" i="1"/>
  <c r="L174" i="1"/>
  <c r="L641" i="1"/>
  <c r="L175" i="1"/>
  <c r="L176" i="1"/>
  <c r="L642" i="1"/>
  <c r="L643" i="1"/>
  <c r="L177" i="1"/>
  <c r="L178" i="1"/>
  <c r="L179" i="1"/>
  <c r="L644" i="1"/>
  <c r="L645" i="1"/>
  <c r="L646" i="1"/>
  <c r="L180" i="1"/>
  <c r="L181" i="1"/>
  <c r="L182" i="1"/>
  <c r="L183" i="1"/>
  <c r="L647" i="1"/>
  <c r="L648" i="1"/>
  <c r="L184" i="1"/>
  <c r="L185" i="1"/>
  <c r="L650" i="1"/>
  <c r="L186" i="1"/>
  <c r="L187" i="1"/>
  <c r="L188" i="1"/>
  <c r="L189" i="1"/>
  <c r="L190" i="1"/>
  <c r="L191" i="1"/>
  <c r="L651" i="1"/>
  <c r="L652" i="1"/>
  <c r="L653" i="1"/>
  <c r="L192" i="1"/>
  <c r="L654" i="1"/>
  <c r="L655" i="1"/>
  <c r="L193" i="1"/>
  <c r="L194" i="1"/>
  <c r="L656" i="1"/>
  <c r="L657" i="1"/>
  <c r="L196" i="1"/>
  <c r="L658" i="1"/>
  <c r="L197" i="1"/>
  <c r="L198" i="1"/>
  <c r="L199" i="1"/>
  <c r="L660" i="1"/>
  <c r="L200" i="1"/>
  <c r="L661" i="1"/>
  <c r="L662" i="1"/>
  <c r="L663" i="1"/>
  <c r="L201" i="1"/>
  <c r="L202" i="1"/>
  <c r="L664" i="1"/>
  <c r="L203" i="1"/>
  <c r="L204" i="1"/>
  <c r="L665" i="1"/>
  <c r="L205" i="1"/>
  <c r="L666" i="1"/>
  <c r="L667" i="1"/>
  <c r="L668" i="1"/>
  <c r="L206" i="1"/>
  <c r="L207" i="1"/>
  <c r="L669" i="1"/>
  <c r="L670" i="1"/>
  <c r="L671" i="1"/>
  <c r="L208" i="1"/>
  <c r="L209" i="1"/>
  <c r="L672" i="1"/>
  <c r="L210" i="1"/>
  <c r="L673" i="1"/>
  <c r="L674" i="1"/>
  <c r="L211" i="1"/>
  <c r="L675" i="1"/>
  <c r="L212" i="1"/>
  <c r="L676" i="1"/>
  <c r="L677" i="1"/>
  <c r="L213" i="1"/>
  <c r="L214" i="1"/>
  <c r="L678" i="1"/>
  <c r="L679" i="1"/>
  <c r="L681" i="1"/>
  <c r="L215" i="1"/>
  <c r="L216" i="1"/>
  <c r="L682" i="1"/>
  <c r="L684" i="1"/>
  <c r="L217" i="1"/>
  <c r="L218" i="1"/>
  <c r="L685" i="1"/>
  <c r="L686" i="1"/>
  <c r="L687" i="1"/>
  <c r="L219" i="1"/>
  <c r="L688" i="1"/>
  <c r="L689" i="1"/>
  <c r="L690" i="1"/>
  <c r="L220" i="1"/>
  <c r="L221" i="1"/>
  <c r="L222" i="1"/>
  <c r="L691" i="1"/>
  <c r="L223" i="1"/>
  <c r="L224" i="1"/>
  <c r="L225" i="1"/>
  <c r="L226" i="1"/>
  <c r="L692" i="1"/>
  <c r="L693" i="1"/>
  <c r="L227" i="1"/>
  <c r="L694" i="1"/>
  <c r="L696" i="1"/>
  <c r="L697" i="1"/>
  <c r="L228" i="1"/>
  <c r="L229" i="1"/>
  <c r="L230" i="1"/>
  <c r="L231" i="1"/>
  <c r="L698" i="1"/>
  <c r="L232" i="1"/>
  <c r="L699" i="1"/>
  <c r="L700" i="1"/>
  <c r="L233" i="1"/>
  <c r="L701" i="1"/>
  <c r="L234" i="1"/>
  <c r="L702" i="1"/>
  <c r="L235" i="1"/>
  <c r="L236" i="1"/>
  <c r="L703" i="1"/>
  <c r="L704" i="1"/>
  <c r="L237" i="1"/>
  <c r="L705" i="1"/>
  <c r="L706" i="1"/>
  <c r="L707" i="1"/>
  <c r="L708" i="1"/>
  <c r="L238" i="1"/>
  <c r="L240" i="1"/>
  <c r="L241" i="1"/>
  <c r="L242" i="1"/>
  <c r="L709" i="1"/>
  <c r="L710" i="1"/>
  <c r="L711" i="1"/>
  <c r="L243" i="1"/>
  <c r="L244" i="1"/>
  <c r="L245" i="1"/>
  <c r="L246" i="1"/>
  <c r="L712" i="1"/>
  <c r="L713" i="1"/>
  <c r="L247" i="1"/>
  <c r="L248" i="1"/>
  <c r="L714" i="1"/>
  <c r="L715" i="1"/>
  <c r="L249" i="1"/>
  <c r="L250" i="1"/>
  <c r="L716" i="1"/>
  <c r="L251" i="1"/>
  <c r="L717" i="1"/>
  <c r="L252" i="1"/>
  <c r="L718" i="1"/>
  <c r="L719" i="1"/>
  <c r="L253" i="1"/>
  <c r="L254" i="1"/>
  <c r="L720" i="1"/>
  <c r="L255" i="1"/>
  <c r="L256" i="1"/>
  <c r="L721" i="1"/>
  <c r="L722" i="1"/>
  <c r="L257" i="1"/>
  <c r="L258" i="1"/>
  <c r="L259" i="1"/>
  <c r="L260" i="1"/>
  <c r="L261" i="1"/>
  <c r="L723" i="1"/>
  <c r="L724" i="1"/>
  <c r="L262" i="1"/>
  <c r="L725" i="1"/>
  <c r="L726" i="1"/>
  <c r="L263" i="1"/>
  <c r="L264" i="1"/>
  <c r="L265" i="1"/>
  <c r="L727" i="1"/>
  <c r="L266" i="1"/>
  <c r="L267" i="1"/>
  <c r="L268" i="1"/>
  <c r="L269" i="1"/>
  <c r="L270" i="1"/>
  <c r="L271" i="1"/>
  <c r="L728" i="1"/>
  <c r="L272" i="1"/>
  <c r="L729" i="1"/>
  <c r="L273" i="1"/>
  <c r="L274" i="1"/>
  <c r="L730" i="1"/>
  <c r="L731" i="1"/>
  <c r="L275" i="1"/>
  <c r="L276" i="1"/>
  <c r="L277" i="1"/>
  <c r="L732" i="1"/>
  <c r="L733" i="1"/>
  <c r="L734" i="1"/>
  <c r="L278" i="1"/>
  <c r="L279" i="1"/>
  <c r="L280" i="1"/>
  <c r="L735" i="1"/>
  <c r="L736" i="1"/>
  <c r="L737" i="1"/>
  <c r="L281" i="1"/>
  <c r="L282" i="1"/>
  <c r="L738" i="1"/>
  <c r="L283" i="1"/>
  <c r="L739" i="1"/>
  <c r="L284" i="1"/>
  <c r="L285" i="1"/>
  <c r="L286" i="1"/>
  <c r="L287" i="1"/>
  <c r="L289" i="1"/>
  <c r="L740" i="1"/>
  <c r="L290" i="1"/>
  <c r="L291" i="1"/>
  <c r="L741" i="1"/>
  <c r="L292" i="1"/>
  <c r="L742" i="1"/>
  <c r="L293" i="1"/>
  <c r="L294" i="1"/>
  <c r="L743" i="1"/>
  <c r="L744" i="1"/>
  <c r="L295" i="1"/>
  <c r="L745" i="1"/>
  <c r="L296" i="1"/>
  <c r="L746" i="1"/>
  <c r="L747" i="1"/>
  <c r="L748" i="1"/>
  <c r="L297" i="1"/>
  <c r="L749" i="1"/>
  <c r="L750" i="1"/>
  <c r="L298" i="1"/>
  <c r="L299" i="1"/>
  <c r="L300" i="1"/>
  <c r="L751" i="1"/>
  <c r="L752" i="1"/>
  <c r="L301" i="1"/>
  <c r="L302" i="1"/>
  <c r="L753" i="1"/>
  <c r="L303" i="1"/>
  <c r="L754" i="1"/>
  <c r="L304" i="1"/>
  <c r="L755" i="1"/>
  <c r="L305" i="1"/>
  <c r="L756" i="1"/>
  <c r="L306" i="1"/>
  <c r="L307" i="1"/>
  <c r="L757" i="1"/>
  <c r="L308" i="1"/>
  <c r="L758" i="1"/>
  <c r="L309" i="1"/>
  <c r="L310" i="1"/>
  <c r="L759" i="1"/>
  <c r="L311" i="1"/>
  <c r="L760" i="1"/>
  <c r="L312" i="1"/>
  <c r="L313" i="1"/>
  <c r="L761" i="1"/>
  <c r="L314" i="1"/>
  <c r="L315" i="1"/>
  <c r="L763" i="1"/>
  <c r="L764" i="1"/>
  <c r="L316" i="1"/>
  <c r="L765" i="1"/>
  <c r="L317" i="1"/>
  <c r="L318" i="1"/>
  <c r="L766" i="1"/>
  <c r="L767" i="1"/>
  <c r="L319" i="1"/>
  <c r="L768" i="1"/>
  <c r="L320" i="1"/>
  <c r="L321" i="1"/>
  <c r="L322" i="1"/>
  <c r="L769" i="1"/>
  <c r="L323" i="1"/>
  <c r="L324" i="1"/>
  <c r="L325" i="1"/>
  <c r="L770" i="1"/>
  <c r="L771" i="1"/>
  <c r="L772" i="1"/>
  <c r="L326" i="1"/>
  <c r="L774" i="1"/>
  <c r="L327" i="1"/>
  <c r="L775" i="1"/>
  <c r="L328" i="1"/>
  <c r="L776" i="1"/>
  <c r="L329" i="1"/>
  <c r="L330" i="1"/>
  <c r="L777" i="1"/>
  <c r="L778" i="1"/>
  <c r="L331" i="1"/>
  <c r="L332" i="1"/>
  <c r="L333" i="1"/>
  <c r="L779" i="1"/>
  <c r="L780" i="1"/>
  <c r="L781" i="1"/>
  <c r="L782" i="1"/>
  <c r="L334" i="1"/>
  <c r="L335" i="1"/>
  <c r="L336" i="1"/>
  <c r="L337" i="1"/>
  <c r="L783" i="1"/>
  <c r="L338" i="1"/>
  <c r="L784" i="1"/>
  <c r="L339" i="1"/>
  <c r="L785" i="1"/>
  <c r="L340" i="1"/>
  <c r="L342" i="1"/>
  <c r="L786" i="1"/>
  <c r="L343" i="1"/>
  <c r="L344" i="1"/>
  <c r="L787" i="1"/>
  <c r="L788" i="1"/>
  <c r="L789" i="1"/>
  <c r="L790" i="1"/>
  <c r="L791" i="1"/>
  <c r="L345" i="1"/>
  <c r="L792" i="1"/>
  <c r="L346" i="1"/>
  <c r="L793" i="1"/>
  <c r="L794" i="1"/>
  <c r="L347" i="1"/>
  <c r="L348" i="1"/>
  <c r="L349" i="1"/>
  <c r="L350" i="1"/>
  <c r="L351" i="1"/>
  <c r="L352" i="1"/>
  <c r="L353" i="1"/>
  <c r="L354" i="1"/>
  <c r="L355" i="1"/>
  <c r="L795" i="1"/>
  <c r="L356" i="1"/>
  <c r="L357" i="1"/>
  <c r="L358" i="1"/>
  <c r="L796" i="1"/>
  <c r="L797" i="1"/>
  <c r="L798" i="1"/>
  <c r="L799" i="1"/>
  <c r="L359" i="1"/>
  <c r="L360" i="1"/>
  <c r="L800" i="1"/>
  <c r="L802" i="1"/>
  <c r="L803" i="1"/>
  <c r="L361" i="1"/>
  <c r="L362" i="1"/>
  <c r="L363" i="1"/>
  <c r="L364" i="1"/>
  <c r="L365" i="1"/>
  <c r="L804" i="1"/>
  <c r="L805" i="1"/>
  <c r="L366" i="1"/>
  <c r="L367" i="1"/>
  <c r="L806" i="1"/>
  <c r="L368" i="1"/>
  <c r="L369" i="1"/>
  <c r="L807" i="1"/>
  <c r="L370" i="1"/>
  <c r="L808" i="1"/>
  <c r="L371" i="1"/>
  <c r="L809" i="1"/>
  <c r="L810" i="1"/>
  <c r="L811" i="1"/>
  <c r="L812" i="1"/>
  <c r="L813" i="1"/>
  <c r="L372" i="1"/>
  <c r="L814" i="1"/>
  <c r="L815" i="1"/>
  <c r="L816" i="1"/>
  <c r="L817" i="1"/>
  <c r="L373" i="1"/>
  <c r="L374" i="1"/>
  <c r="L375" i="1"/>
  <c r="L376" i="1"/>
  <c r="L818" i="1"/>
  <c r="L377" i="1"/>
  <c r="L819" i="1"/>
  <c r="L378" i="1"/>
  <c r="L379" i="1"/>
  <c r="L820" i="1"/>
  <c r="L380" i="1"/>
  <c r="L381" i="1"/>
  <c r="L821" i="1"/>
  <c r="L382" i="1"/>
  <c r="L822" i="1"/>
  <c r="L823" i="1"/>
  <c r="L383" i="1"/>
  <c r="L384" i="1"/>
  <c r="L825" i="1"/>
  <c r="L385" i="1"/>
  <c r="L386" i="1"/>
  <c r="L826" i="1"/>
  <c r="L827" i="1"/>
  <c r="L828" i="1"/>
  <c r="L829" i="1"/>
  <c r="L387" i="1"/>
  <c r="L830" i="1"/>
  <c r="L831" i="1"/>
  <c r="L388" i="1"/>
  <c r="L389" i="1"/>
  <c r="L390" i="1"/>
  <c r="L832" i="1"/>
  <c r="L833" i="1"/>
  <c r="L834" i="1"/>
  <c r="L391" i="1"/>
  <c r="L836" i="1"/>
  <c r="L837" i="1"/>
  <c r="L392" i="1"/>
  <c r="L393" i="1"/>
  <c r="L394" i="1"/>
  <c r="L395" i="1"/>
  <c r="L838" i="1"/>
  <c r="L396" i="1"/>
  <c r="L397" i="1"/>
  <c r="L399" i="1"/>
  <c r="L400" i="1"/>
  <c r="L839" i="1"/>
  <c r="L840" i="1"/>
  <c r="L841" i="1"/>
  <c r="L401" i="1"/>
  <c r="L842" i="1"/>
  <c r="L402" i="1"/>
  <c r="L843" i="1"/>
  <c r="L844" i="1"/>
  <c r="L845" i="1"/>
  <c r="L846" i="1"/>
  <c r="L847" i="1"/>
  <c r="L404" i="1"/>
  <c r="L848" i="1"/>
  <c r="L405" i="1"/>
  <c r="L850" i="1"/>
  <c r="L406" i="1"/>
  <c r="L851" i="1"/>
  <c r="L407" i="1"/>
  <c r="L852" i="1"/>
  <c r="L408" i="1"/>
  <c r="L409" i="1"/>
  <c r="L410" i="1"/>
  <c r="L853" i="1"/>
  <c r="L855" i="1"/>
  <c r="L411" i="1"/>
  <c r="L412" i="1"/>
  <c r="L413" i="1"/>
  <c r="L414" i="1"/>
  <c r="L415" i="1"/>
  <c r="L416" i="1"/>
  <c r="L417" i="1"/>
  <c r="L856" i="1"/>
  <c r="L418" i="1"/>
  <c r="L419" i="1"/>
  <c r="L857" i="1"/>
  <c r="L420" i="1"/>
  <c r="L858" i="1"/>
  <c r="L859" i="1"/>
  <c r="L421" i="1"/>
  <c r="L860" i="1"/>
  <c r="L422" i="1"/>
  <c r="L423" i="1"/>
  <c r="L424" i="1"/>
  <c r="L861" i="1"/>
  <c r="L862" i="1"/>
  <c r="L425" i="1"/>
  <c r="L426" i="1"/>
  <c r="L863" i="1"/>
  <c r="L864" i="1"/>
  <c r="L427" i="1"/>
  <c r="L865" i="1"/>
  <c r="L428" i="1"/>
  <c r="L429" i="1"/>
  <c r="L430" i="1"/>
  <c r="L866" i="1"/>
  <c r="L431" i="1"/>
  <c r="L867" i="1"/>
  <c r="L868" i="1"/>
  <c r="L869" i="1"/>
  <c r="L432" i="1"/>
  <c r="L433" i="1"/>
  <c r="L870" i="1"/>
  <c r="L434" i="1"/>
  <c r="L435" i="1"/>
  <c r="L436" i="1"/>
  <c r="L871" i="1"/>
  <c r="L872" i="1"/>
  <c r="L873" i="1"/>
  <c r="L437" i="1"/>
  <c r="L874" i="1"/>
  <c r="L438" i="1"/>
  <c r="L439" i="1"/>
  <c r="L440" i="1"/>
  <c r="L441" i="1"/>
  <c r="L442" i="1"/>
  <c r="L875" i="1"/>
  <c r="L443" i="1"/>
  <c r="L876" i="1"/>
  <c r="L444" i="1"/>
  <c r="L877" i="1"/>
  <c r="L445" i="1"/>
  <c r="L446" i="1"/>
  <c r="L878" i="1"/>
  <c r="L447" i="1"/>
  <c r="L448" i="1"/>
  <c r="L879" i="1"/>
  <c r="L449" i="1"/>
  <c r="L880" i="1"/>
  <c r="L450" i="1"/>
  <c r="L451" i="1"/>
  <c r="L452" i="1"/>
  <c r="L881" i="1"/>
  <c r="L453" i="1"/>
  <c r="L454" i="1"/>
  <c r="L882" i="1"/>
  <c r="L883" i="1"/>
  <c r="L455" i="1"/>
  <c r="L884" i="1"/>
  <c r="L885" i="1"/>
  <c r="L456" i="1"/>
  <c r="L886" i="1"/>
  <c r="L887" i="1"/>
  <c r="L888" i="1"/>
  <c r="L457" i="1"/>
  <c r="L458" i="1"/>
  <c r="L459" i="1"/>
  <c r="L889" i="1"/>
  <c r="L890" i="1"/>
  <c r="L460" i="1"/>
  <c r="L461" i="1"/>
  <c r="L891" i="1"/>
  <c r="L462" i="1"/>
  <c r="L463" i="1"/>
  <c r="L892" i="1"/>
  <c r="L464" i="1"/>
  <c r="L465" i="1"/>
  <c r="L893" i="1"/>
  <c r="L894" i="1"/>
  <c r="L895" i="1"/>
  <c r="L896" i="1"/>
  <c r="L466" i="1"/>
  <c r="L897" i="1"/>
  <c r="L467" i="1"/>
  <c r="L898" i="1"/>
  <c r="L899" i="1"/>
  <c r="L900" i="1"/>
  <c r="L468" i="1"/>
  <c r="L469" i="1"/>
  <c r="L901" i="1"/>
  <c r="L470" i="1"/>
  <c r="L902" i="1"/>
  <c r="L903" i="1"/>
  <c r="L471" i="1"/>
  <c r="L904" i="1"/>
  <c r="L905" i="1"/>
  <c r="L472" i="1"/>
  <c r="L906" i="1"/>
  <c r="L907" i="1"/>
  <c r="L473" i="1"/>
  <c r="L474" i="1"/>
  <c r="L908" i="1"/>
  <c r="L909" i="1"/>
  <c r="L475" i="1"/>
  <c r="L477" i="1"/>
  <c r="L478" i="1"/>
  <c r="L479" i="1"/>
  <c r="L910" i="1"/>
  <c r="L911" i="1"/>
  <c r="L480" i="1"/>
  <c r="L481" i="1"/>
  <c r="L482" i="1"/>
  <c r="L483" i="1"/>
  <c r="L484" i="1"/>
  <c r="L485" i="1"/>
  <c r="L912" i="1"/>
  <c r="L913" i="1"/>
  <c r="L914" i="1"/>
  <c r="L915" i="1"/>
  <c r="L916" i="1"/>
  <c r="L917" i="1"/>
  <c r="L486" i="1"/>
  <c r="L918" i="1"/>
  <c r="L919" i="1"/>
  <c r="L920" i="1"/>
  <c r="L487" i="1"/>
  <c r="L488" i="1"/>
  <c r="L921" i="1"/>
  <c r="L922" i="1"/>
  <c r="L489" i="1"/>
  <c r="L490" i="1"/>
  <c r="L923" i="1"/>
  <c r="L491" i="1"/>
  <c r="L924" i="1"/>
  <c r="L492" i="1"/>
  <c r="L493" i="1"/>
  <c r="L925" i="1"/>
  <c r="L926" i="1"/>
  <c r="L927" i="1"/>
  <c r="L494" i="1"/>
  <c r="L928" i="1"/>
  <c r="L495" i="1"/>
  <c r="L929" i="1"/>
  <c r="L930" i="1"/>
  <c r="L496" i="1"/>
  <c r="L497" i="1"/>
  <c r="L931" i="1"/>
  <c r="L498" i="1"/>
  <c r="L499" i="1"/>
  <c r="L500" i="1"/>
  <c r="L501" i="1"/>
  <c r="L932" i="1"/>
  <c r="L502" i="1"/>
  <c r="L933" i="1"/>
  <c r="L288" i="1"/>
  <c r="L341" i="1"/>
  <c r="L835" i="1"/>
  <c r="L398" i="1"/>
  <c r="L163" i="1"/>
  <c r="L801" i="1"/>
  <c r="L854" i="1"/>
  <c r="L86" i="1"/>
  <c r="L849" i="1"/>
  <c r="L695" i="1"/>
  <c r="L78" i="1"/>
  <c r="L149" i="1"/>
  <c r="L683" i="1"/>
  <c r="L166" i="1"/>
  <c r="L403" i="1"/>
  <c r="L762" i="1"/>
  <c r="L476" i="1"/>
  <c r="L556" i="1"/>
  <c r="L824" i="1"/>
  <c r="L505" i="1"/>
  <c r="L195" i="1"/>
  <c r="L539" i="1"/>
  <c r="L680" i="1"/>
  <c r="L608" i="1"/>
  <c r="L649" i="1"/>
  <c r="L579" i="1"/>
  <c r="L239" i="1"/>
  <c r="L773" i="1"/>
  <c r="L91" i="1"/>
  <c r="L159" i="1"/>
  <c r="L79" i="1"/>
  <c r="L659" i="1"/>
  <c r="L2" i="1"/>
  <c r="AF817" i="1" l="1"/>
  <c r="AG817" i="1" s="1"/>
  <c r="AF798" i="1"/>
  <c r="AG798" i="1" s="1"/>
  <c r="AF788" i="1"/>
  <c r="AG788" i="1" s="1"/>
  <c r="AF326" i="1"/>
  <c r="AG326" i="1" s="1"/>
  <c r="AF308" i="1"/>
  <c r="AG308" i="1" s="1"/>
  <c r="AF296" i="1"/>
  <c r="AG296" i="1" s="1"/>
  <c r="AF277" i="1"/>
  <c r="AG277" i="1" s="1"/>
  <c r="AF256" i="1"/>
  <c r="AG256" i="1" s="1"/>
  <c r="AF234" i="1"/>
  <c r="AG234" i="1" s="1"/>
  <c r="AF692" i="1"/>
  <c r="AG692" i="1" s="1"/>
  <c r="AF669" i="1"/>
  <c r="AG669" i="1" s="1"/>
  <c r="AF656" i="1"/>
  <c r="AG656" i="1" s="1"/>
  <c r="AF168" i="1"/>
  <c r="AG168" i="1" s="1"/>
  <c r="AF511" i="1"/>
  <c r="AG511" i="1" s="1"/>
  <c r="AF816" i="1"/>
  <c r="AG816" i="1" s="1"/>
  <c r="AF361" i="1"/>
  <c r="AG361" i="1" s="1"/>
  <c r="AF781" i="1"/>
  <c r="AG781" i="1" s="1"/>
  <c r="AF765" i="1"/>
  <c r="AG765" i="1" s="1"/>
  <c r="AF741" i="1"/>
  <c r="AG741" i="1" s="1"/>
  <c r="AF265" i="1"/>
  <c r="AG265" i="1" s="1"/>
  <c r="AF713" i="1"/>
  <c r="AG713" i="1" s="1"/>
  <c r="AF690" i="1"/>
  <c r="AG690" i="1" s="1"/>
  <c r="AF203" i="1"/>
  <c r="AG203" i="1" s="1"/>
  <c r="AF184" i="1"/>
  <c r="AG184" i="1" s="1"/>
  <c r="AF175" i="1"/>
  <c r="AG175" i="1" s="1"/>
  <c r="AF626" i="1"/>
  <c r="AG626" i="1" s="1"/>
  <c r="AF614" i="1"/>
  <c r="AG614" i="1" s="1"/>
  <c r="AF123" i="1"/>
  <c r="AG123" i="1" s="1"/>
  <c r="AF108" i="1"/>
  <c r="AG108" i="1" s="1"/>
  <c r="AF567" i="1"/>
  <c r="AG567" i="1" s="1"/>
  <c r="AF557" i="1"/>
  <c r="AG557" i="1" s="1"/>
  <c r="AF71" i="1"/>
  <c r="AG71" i="1" s="1"/>
  <c r="AF544" i="1"/>
  <c r="AG544" i="1" s="1"/>
  <c r="AF533" i="1"/>
  <c r="AG533" i="1" s="1"/>
  <c r="AF34" i="1"/>
  <c r="AG34" i="1" s="1"/>
  <c r="AF922" i="1"/>
  <c r="AG922" i="1" s="1"/>
  <c r="AF917" i="1"/>
  <c r="AG917" i="1" s="1"/>
  <c r="AF483" i="1"/>
  <c r="AG483" i="1" s="1"/>
  <c r="AF477" i="1"/>
  <c r="AG477" i="1" s="1"/>
  <c r="AF472" i="1"/>
  <c r="AG472" i="1" s="1"/>
  <c r="AF469" i="1"/>
  <c r="AG469" i="1" s="1"/>
  <c r="AF896" i="1"/>
  <c r="AG896" i="1" s="1"/>
  <c r="AF462" i="1"/>
  <c r="AG462" i="1" s="1"/>
  <c r="AF457" i="1"/>
  <c r="AG457" i="1" s="1"/>
  <c r="AF883" i="1"/>
  <c r="AG883" i="1" s="1"/>
  <c r="AF880" i="1"/>
  <c r="AG880" i="1" s="1"/>
  <c r="AF877" i="1"/>
  <c r="AG877" i="1" s="1"/>
  <c r="AF439" i="1"/>
  <c r="AG439" i="1" s="1"/>
  <c r="AF435" i="1"/>
  <c r="AG435" i="1" s="1"/>
  <c r="AF431" i="1"/>
  <c r="AG431" i="1" s="1"/>
  <c r="AF863" i="1"/>
  <c r="AG863" i="1" s="1"/>
  <c r="AF860" i="1"/>
  <c r="AG860" i="1" s="1"/>
  <c r="AF856" i="1"/>
  <c r="AG856" i="1" s="1"/>
  <c r="AF855" i="1"/>
  <c r="AG855" i="1" s="1"/>
  <c r="AF406" i="1"/>
  <c r="AG406" i="1" s="1"/>
  <c r="AF844" i="1"/>
  <c r="AG844" i="1" s="1"/>
  <c r="AF400" i="1"/>
  <c r="AG400" i="1" s="1"/>
  <c r="AF392" i="1"/>
  <c r="AG392" i="1" s="1"/>
  <c r="AF389" i="1"/>
  <c r="AG389" i="1" s="1"/>
  <c r="AF826" i="1"/>
  <c r="AG826" i="1" s="1"/>
  <c r="AF371" i="1"/>
  <c r="AG371" i="1" s="1"/>
  <c r="AF366" i="1"/>
  <c r="AG366" i="1" s="1"/>
  <c r="AF803" i="1"/>
  <c r="AG803" i="1" s="1"/>
  <c r="AF796" i="1"/>
  <c r="AG796" i="1" s="1"/>
  <c r="AF352" i="1"/>
  <c r="AG352" i="1" s="1"/>
  <c r="AF338" i="1"/>
  <c r="AG338" i="1" s="1"/>
  <c r="AF780" i="1"/>
  <c r="AG780" i="1" s="1"/>
  <c r="AF329" i="1"/>
  <c r="AG329" i="1" s="1"/>
  <c r="AF320" i="1"/>
  <c r="AG320" i="1" s="1"/>
  <c r="AF316" i="1"/>
  <c r="AG316" i="1" s="1"/>
  <c r="AF760" i="1"/>
  <c r="AG760" i="1" s="1"/>
  <c r="AF753" i="1"/>
  <c r="AG753" i="1" s="1"/>
  <c r="AF295" i="1"/>
  <c r="AG295" i="1" s="1"/>
  <c r="AF291" i="1"/>
  <c r="AG291" i="1" s="1"/>
  <c r="AF280" i="1"/>
  <c r="AG280" i="1" s="1"/>
  <c r="AF275" i="1"/>
  <c r="AG275" i="1" s="1"/>
  <c r="AF271" i="1"/>
  <c r="AG271" i="1" s="1"/>
  <c r="AF264" i="1"/>
  <c r="AG264" i="1" s="1"/>
  <c r="AF260" i="1"/>
  <c r="AG260" i="1" s="1"/>
  <c r="AF720" i="1"/>
  <c r="AG720" i="1" s="1"/>
  <c r="AF716" i="1"/>
  <c r="AG716" i="1" s="1"/>
  <c r="AF712" i="1"/>
  <c r="AG712" i="1" s="1"/>
  <c r="AF242" i="1"/>
  <c r="AG242" i="1" s="1"/>
  <c r="AF237" i="1"/>
  <c r="AG237" i="1" s="1"/>
  <c r="AF233" i="1"/>
  <c r="AG233" i="1" s="1"/>
  <c r="AF228" i="1"/>
  <c r="AG228" i="1" s="1"/>
  <c r="AF225" i="1"/>
  <c r="AG225" i="1" s="1"/>
  <c r="AF689" i="1"/>
  <c r="AG689" i="1" s="1"/>
  <c r="AF684" i="1"/>
  <c r="AG684" i="1" s="1"/>
  <c r="AF213" i="1"/>
  <c r="AG213" i="1" s="1"/>
  <c r="AF210" i="1"/>
  <c r="AG210" i="1" s="1"/>
  <c r="AF206" i="1"/>
  <c r="AG206" i="1" s="1"/>
  <c r="AF664" i="1"/>
  <c r="AG664" i="1" s="1"/>
  <c r="AF199" i="1"/>
  <c r="AG199" i="1" s="1"/>
  <c r="AF193" i="1"/>
  <c r="AG193" i="1" s="1"/>
  <c r="AF190" i="1"/>
  <c r="AG190" i="1" s="1"/>
  <c r="AF648" i="1"/>
  <c r="AG648" i="1" s="1"/>
  <c r="AF644" i="1"/>
  <c r="AG644" i="1" s="1"/>
  <c r="AF641" i="1"/>
  <c r="AG641" i="1" s="1"/>
  <c r="AF636" i="1"/>
  <c r="AG636" i="1" s="1"/>
  <c r="AF167" i="1"/>
  <c r="AG167" i="1" s="1"/>
  <c r="AF160" i="1"/>
  <c r="AG160" i="1" s="1"/>
  <c r="AF625" i="1"/>
  <c r="AG625" i="1" s="1"/>
  <c r="AF152" i="1"/>
  <c r="AG152" i="1" s="1"/>
  <c r="AF148" i="1"/>
  <c r="AG148" i="1" s="1"/>
  <c r="AF613" i="1"/>
  <c r="AG613" i="1" s="1"/>
  <c r="AF136" i="1"/>
  <c r="AG136" i="1" s="1"/>
  <c r="AF609" i="1"/>
  <c r="AG609" i="1" s="1"/>
  <c r="AF603" i="1"/>
  <c r="AG603" i="1" s="1"/>
  <c r="AF122" i="1"/>
  <c r="AG122" i="1" s="1"/>
  <c r="AF595" i="1"/>
  <c r="AG595" i="1" s="1"/>
  <c r="AF590" i="1"/>
  <c r="AG590" i="1" s="1"/>
  <c r="AF113" i="1"/>
  <c r="AG113" i="1" s="1"/>
  <c r="AF107" i="1"/>
  <c r="AG107" i="1" s="1"/>
  <c r="AF578" i="1"/>
  <c r="AG578" i="1" s="1"/>
  <c r="AF102" i="1"/>
  <c r="AG102" i="1" s="1"/>
  <c r="AF99" i="1"/>
  <c r="AG99" i="1" s="1"/>
  <c r="AF564" i="1"/>
  <c r="AG564" i="1" s="1"/>
  <c r="AF87" i="1"/>
  <c r="AG87" i="1" s="1"/>
  <c r="AF83" i="1"/>
  <c r="AG83" i="1" s="1"/>
  <c r="AF76" i="1"/>
  <c r="AG76" i="1" s="1"/>
  <c r="AF70" i="1"/>
  <c r="AG70" i="1" s="1"/>
  <c r="AF64" i="1"/>
  <c r="AG64" i="1" s="1"/>
  <c r="AF61" i="1"/>
  <c r="AG61" i="1" s="1"/>
  <c r="AF538" i="1"/>
  <c r="AG538" i="1" s="1"/>
  <c r="AF50" i="1"/>
  <c r="AG50" i="1" s="1"/>
  <c r="AF532" i="1"/>
  <c r="AG532" i="1" s="1"/>
  <c r="AF527" i="1"/>
  <c r="AG527" i="1" s="1"/>
  <c r="AF37" i="1"/>
  <c r="AG37" i="1" s="1"/>
  <c r="AF522" i="1"/>
  <c r="AG522" i="1" s="1"/>
  <c r="AF520" i="1"/>
  <c r="AG520" i="1" s="1"/>
  <c r="AF518" i="1"/>
  <c r="AG518" i="1" s="1"/>
  <c r="AF17" i="1"/>
  <c r="AG17" i="1" s="1"/>
  <c r="AF510" i="1"/>
  <c r="AG510" i="1" s="1"/>
  <c r="AF508" i="1"/>
  <c r="AG508" i="1" s="1"/>
  <c r="AF4" i="1"/>
  <c r="AG4" i="1" s="1"/>
  <c r="AF810" i="1"/>
  <c r="AG810" i="1" s="1"/>
  <c r="AF354" i="1"/>
  <c r="AG354" i="1" s="1"/>
  <c r="AF782" i="1"/>
  <c r="AG782" i="1" s="1"/>
  <c r="AF317" i="1"/>
  <c r="AG317" i="1" s="1"/>
  <c r="AF299" i="1"/>
  <c r="AG299" i="1" s="1"/>
  <c r="AF736" i="1"/>
  <c r="AG736" i="1" s="1"/>
  <c r="AF723" i="1"/>
  <c r="AG723" i="1" s="1"/>
  <c r="AF710" i="1"/>
  <c r="AG710" i="1" s="1"/>
  <c r="AF218" i="1"/>
  <c r="AG218" i="1" s="1"/>
  <c r="AF204" i="1"/>
  <c r="AG204" i="1" s="1"/>
  <c r="AF185" i="1"/>
  <c r="AG185" i="1" s="1"/>
  <c r="AF162" i="1"/>
  <c r="AG162" i="1" s="1"/>
  <c r="AF88" i="1"/>
  <c r="AG88" i="1" s="1"/>
  <c r="AF367" i="1"/>
  <c r="AG367" i="1" s="1"/>
  <c r="AF797" i="1"/>
  <c r="AG797" i="1" s="1"/>
  <c r="AF784" i="1"/>
  <c r="AG784" i="1" s="1"/>
  <c r="AF312" i="1"/>
  <c r="AG312" i="1" s="1"/>
  <c r="AF745" i="1"/>
  <c r="AG745" i="1" s="1"/>
  <c r="AF728" i="1"/>
  <c r="AG728" i="1" s="1"/>
  <c r="AF709" i="1"/>
  <c r="AG709" i="1" s="1"/>
  <c r="AF226" i="1"/>
  <c r="AG226" i="1" s="1"/>
  <c r="AF673" i="1"/>
  <c r="AG673" i="1" s="1"/>
  <c r="AF194" i="1"/>
  <c r="AG194" i="1" s="1"/>
  <c r="AF172" i="1"/>
  <c r="AG172" i="1" s="1"/>
  <c r="AF153" i="1"/>
  <c r="AG153" i="1" s="1"/>
  <c r="AF131" i="1"/>
  <c r="AG131" i="1" s="1"/>
  <c r="AF120" i="1"/>
  <c r="AG120" i="1" s="1"/>
  <c r="AF572" i="1"/>
  <c r="AG572" i="1" s="1"/>
  <c r="AF562" i="1"/>
  <c r="AG562" i="1" s="1"/>
  <c r="AF77" i="1"/>
  <c r="AG77" i="1" s="1"/>
  <c r="AF65" i="1"/>
  <c r="AG65" i="1" s="1"/>
  <c r="AF540" i="1"/>
  <c r="AG540" i="1" s="1"/>
  <c r="AF528" i="1"/>
  <c r="AG528" i="1" s="1"/>
  <c r="AF38" i="1"/>
  <c r="AG38" i="1" s="1"/>
  <c r="AF28" i="1"/>
  <c r="AG28" i="1" s="1"/>
  <c r="AF515" i="1"/>
  <c r="AG515" i="1" s="1"/>
  <c r="AF14" i="1"/>
  <c r="AG14" i="1" s="1"/>
  <c r="AF8" i="1"/>
  <c r="AG8" i="1" s="1"/>
  <c r="AF5" i="1"/>
  <c r="AG5" i="1" s="1"/>
  <c r="AF159" i="1"/>
  <c r="AG159" i="1" s="1"/>
  <c r="AF539" i="1"/>
  <c r="AG539" i="1" s="1"/>
  <c r="AF166" i="1"/>
  <c r="AG166" i="1" s="1"/>
  <c r="AF801" i="1"/>
  <c r="AG801" i="1" s="1"/>
  <c r="AF932" i="1"/>
  <c r="AG932" i="1" s="1"/>
  <c r="AF930" i="1"/>
  <c r="AG930" i="1" s="1"/>
  <c r="AF493" i="1"/>
  <c r="AG493" i="1" s="1"/>
  <c r="AF921" i="1"/>
  <c r="AG921" i="1" s="1"/>
  <c r="AF916" i="1"/>
  <c r="AG916" i="1" s="1"/>
  <c r="AF482" i="1"/>
  <c r="AG482" i="1" s="1"/>
  <c r="AF475" i="1"/>
  <c r="AG475" i="1" s="1"/>
  <c r="AF905" i="1"/>
  <c r="AG905" i="1" s="1"/>
  <c r="AF468" i="1"/>
  <c r="AG468" i="1" s="1"/>
  <c r="AF895" i="1"/>
  <c r="AG895" i="1" s="1"/>
  <c r="AF891" i="1"/>
  <c r="AG891" i="1" s="1"/>
  <c r="AF888" i="1"/>
  <c r="AG888" i="1" s="1"/>
  <c r="AF882" i="1"/>
  <c r="AG882" i="1" s="1"/>
  <c r="AF449" i="1"/>
  <c r="AG449" i="1" s="1"/>
  <c r="AF444" i="1"/>
  <c r="AG444" i="1" s="1"/>
  <c r="AF438" i="1"/>
  <c r="AG438" i="1" s="1"/>
  <c r="AF434" i="1"/>
  <c r="AG434" i="1" s="1"/>
  <c r="AF866" i="1"/>
  <c r="AG866" i="1" s="1"/>
  <c r="AF426" i="1"/>
  <c r="AG426" i="1" s="1"/>
  <c r="AF421" i="1"/>
  <c r="AG421" i="1" s="1"/>
  <c r="AF417" i="1"/>
  <c r="AG417" i="1" s="1"/>
  <c r="AF853" i="1"/>
  <c r="AG853" i="1" s="1"/>
  <c r="AF850" i="1"/>
  <c r="AG850" i="1" s="1"/>
  <c r="AF843" i="1"/>
  <c r="AG843" i="1" s="1"/>
  <c r="AF399" i="1"/>
  <c r="AG399" i="1" s="1"/>
  <c r="AF837" i="1"/>
  <c r="AG837" i="1" s="1"/>
  <c r="AF388" i="1"/>
  <c r="AG388" i="1" s="1"/>
  <c r="AF386" i="1"/>
  <c r="AG386" i="1" s="1"/>
  <c r="AF821" i="1"/>
  <c r="AG821" i="1" s="1"/>
  <c r="AF805" i="1"/>
  <c r="AG805" i="1" s="1"/>
  <c r="AF802" i="1"/>
  <c r="AG802" i="1" s="1"/>
  <c r="AF358" i="1"/>
  <c r="AG358" i="1" s="1"/>
  <c r="AF351" i="1"/>
  <c r="AG351" i="1" s="1"/>
  <c r="AF792" i="1"/>
  <c r="AG792" i="1" s="1"/>
  <c r="AF779" i="1"/>
  <c r="AG779" i="1" s="1"/>
  <c r="AF776" i="1"/>
  <c r="AG776" i="1" s="1"/>
  <c r="AF764" i="1"/>
  <c r="AG764" i="1" s="1"/>
  <c r="AF311" i="1"/>
  <c r="AG311" i="1" s="1"/>
  <c r="AF302" i="1"/>
  <c r="AG302" i="1" s="1"/>
  <c r="AF749" i="1"/>
  <c r="AG749" i="1" s="1"/>
  <c r="AF290" i="1"/>
  <c r="AG290" i="1" s="1"/>
  <c r="AF279" i="1"/>
  <c r="AG279" i="1" s="1"/>
  <c r="AF731" i="1"/>
  <c r="AG731" i="1" s="1"/>
  <c r="AF270" i="1"/>
  <c r="AG270" i="1" s="1"/>
  <c r="AF263" i="1"/>
  <c r="AG263" i="1" s="1"/>
  <c r="AF259" i="1"/>
  <c r="AG259" i="1" s="1"/>
  <c r="AF254" i="1"/>
  <c r="AG254" i="1" s="1"/>
  <c r="AF250" i="1"/>
  <c r="AG250" i="1" s="1"/>
  <c r="AF246" i="1"/>
  <c r="AG246" i="1" s="1"/>
  <c r="AF241" i="1"/>
  <c r="AG241" i="1" s="1"/>
  <c r="AF704" i="1"/>
  <c r="AG704" i="1" s="1"/>
  <c r="AF700" i="1"/>
  <c r="AG700" i="1" s="1"/>
  <c r="AF697" i="1"/>
  <c r="AG697" i="1" s="1"/>
  <c r="AF224" i="1"/>
  <c r="AG224" i="1" s="1"/>
  <c r="AF688" i="1"/>
  <c r="AG688" i="1" s="1"/>
  <c r="AF682" i="1"/>
  <c r="AG682" i="1" s="1"/>
  <c r="AF677" i="1"/>
  <c r="AG677" i="1" s="1"/>
  <c r="AF672" i="1"/>
  <c r="AG672" i="1" s="1"/>
  <c r="AF668" i="1"/>
  <c r="AG668" i="1" s="1"/>
  <c r="AF202" i="1"/>
  <c r="AG202" i="1" s="1"/>
  <c r="AF198" i="1"/>
  <c r="AG198" i="1" s="1"/>
  <c r="AF655" i="1"/>
  <c r="AG655" i="1" s="1"/>
  <c r="AF189" i="1"/>
  <c r="AG189" i="1" s="1"/>
  <c r="AF647" i="1"/>
  <c r="AG647" i="1" s="1"/>
  <c r="AF179" i="1"/>
  <c r="AG179" i="1" s="1"/>
  <c r="AF174" i="1"/>
  <c r="AG174" i="1" s="1"/>
  <c r="AF635" i="1"/>
  <c r="AG635" i="1" s="1"/>
  <c r="AF632" i="1"/>
  <c r="AG632" i="1" s="1"/>
  <c r="AF629" i="1"/>
  <c r="AG629" i="1" s="1"/>
  <c r="AF155" i="1"/>
  <c r="AG155" i="1" s="1"/>
  <c r="AF620" i="1"/>
  <c r="AG620" i="1" s="1"/>
  <c r="AF615" i="1"/>
  <c r="AG615" i="1" s="1"/>
  <c r="AF612" i="1"/>
  <c r="AG612" i="1" s="1"/>
  <c r="AF135" i="1"/>
  <c r="AG135" i="1" s="1"/>
  <c r="AF130" i="1"/>
  <c r="AG130" i="1" s="1"/>
  <c r="AF602" i="1"/>
  <c r="AG602" i="1" s="1"/>
  <c r="AF600" i="1"/>
  <c r="AG600" i="1" s="1"/>
  <c r="AF594" i="1"/>
  <c r="AG594" i="1" s="1"/>
  <c r="AF116" i="1"/>
  <c r="AG116" i="1" s="1"/>
  <c r="AF112" i="1"/>
  <c r="AG112" i="1" s="1"/>
  <c r="AF106" i="1"/>
  <c r="AG106" i="1" s="1"/>
  <c r="AF577" i="1"/>
  <c r="AG577" i="1" s="1"/>
  <c r="AF571" i="1"/>
  <c r="AG571" i="1" s="1"/>
  <c r="AF566" i="1"/>
  <c r="AG566" i="1" s="1"/>
  <c r="AF563" i="1"/>
  <c r="AG563" i="1" s="1"/>
  <c r="AF561" i="1"/>
  <c r="AG561" i="1" s="1"/>
  <c r="AF82" i="1"/>
  <c r="AG82" i="1" s="1"/>
  <c r="AF552" i="1"/>
  <c r="AG552" i="1" s="1"/>
  <c r="AF69" i="1"/>
  <c r="AG69" i="1" s="1"/>
  <c r="AF63" i="1"/>
  <c r="AG63" i="1" s="1"/>
  <c r="AF543" i="1"/>
  <c r="AG543" i="1" s="1"/>
  <c r="AF57" i="1"/>
  <c r="AG57" i="1" s="1"/>
  <c r="AF537" i="1"/>
  <c r="AG537" i="1" s="1"/>
  <c r="AF531" i="1"/>
  <c r="AG531" i="1" s="1"/>
  <c r="AF44" i="1"/>
  <c r="AG44" i="1" s="1"/>
  <c r="AF36" i="1"/>
  <c r="AG36" i="1" s="1"/>
  <c r="AF33" i="1"/>
  <c r="AG33" i="1" s="1"/>
  <c r="AF27" i="1"/>
  <c r="AG27" i="1" s="1"/>
  <c r="AF21" i="1"/>
  <c r="AG21" i="1" s="1"/>
  <c r="AF16" i="1"/>
  <c r="AG16" i="1" s="1"/>
  <c r="AF13" i="1"/>
  <c r="AG13" i="1" s="1"/>
  <c r="AF507" i="1"/>
  <c r="AG507" i="1" s="1"/>
  <c r="AF3" i="1"/>
  <c r="AG3" i="1" s="1"/>
  <c r="AF823" i="1"/>
  <c r="AG823" i="1" s="1"/>
  <c r="AF362" i="1"/>
  <c r="AG362" i="1" s="1"/>
  <c r="AF339" i="1"/>
  <c r="AG339" i="1" s="1"/>
  <c r="AF322" i="1"/>
  <c r="AG322" i="1" s="1"/>
  <c r="AF754" i="1"/>
  <c r="AG754" i="1" s="1"/>
  <c r="AF292" i="1"/>
  <c r="AG292" i="1" s="1"/>
  <c r="AF272" i="1"/>
  <c r="AG272" i="1" s="1"/>
  <c r="AF717" i="1"/>
  <c r="AG717" i="1" s="1"/>
  <c r="AF706" i="1"/>
  <c r="AG706" i="1" s="1"/>
  <c r="AF220" i="1"/>
  <c r="AG220" i="1" s="1"/>
  <c r="AF674" i="1"/>
  <c r="AG674" i="1" s="1"/>
  <c r="AF200" i="1"/>
  <c r="AG200" i="1" s="1"/>
  <c r="AF646" i="1"/>
  <c r="AG646" i="1" s="1"/>
  <c r="AF637" i="1"/>
  <c r="AG637" i="1" s="1"/>
  <c r="AF627" i="1"/>
  <c r="AG627" i="1" s="1"/>
  <c r="AF617" i="1"/>
  <c r="AG617" i="1" s="1"/>
  <c r="AF138" i="1"/>
  <c r="AG138" i="1" s="1"/>
  <c r="AF129" i="1"/>
  <c r="AG129" i="1" s="1"/>
  <c r="AF596" i="1"/>
  <c r="AG596" i="1" s="1"/>
  <c r="AF587" i="1"/>
  <c r="AG587" i="1" s="1"/>
  <c r="AF581" i="1"/>
  <c r="AG581" i="1" s="1"/>
  <c r="AF565" i="1"/>
  <c r="AG565" i="1" s="1"/>
  <c r="AF551" i="1"/>
  <c r="AG551" i="1" s="1"/>
  <c r="AF545" i="1"/>
  <c r="AG545" i="1" s="1"/>
  <c r="AF52" i="1"/>
  <c r="AG52" i="1" s="1"/>
  <c r="AF45" i="1"/>
  <c r="AG45" i="1" s="1"/>
  <c r="AF35" i="1"/>
  <c r="AG35" i="1" s="1"/>
  <c r="AF23" i="1"/>
  <c r="AG23" i="1" s="1"/>
  <c r="AF9" i="1"/>
  <c r="AG9" i="1" s="1"/>
  <c r="AF809" i="1"/>
  <c r="AG809" i="1" s="1"/>
  <c r="AF321" i="1"/>
  <c r="AG321" i="1" s="1"/>
  <c r="AF298" i="1"/>
  <c r="AG298" i="1" s="1"/>
  <c r="AF276" i="1"/>
  <c r="AG276" i="1" s="1"/>
  <c r="AF251" i="1"/>
  <c r="AG251" i="1" s="1"/>
  <c r="AF229" i="1"/>
  <c r="AG229" i="1" s="1"/>
  <c r="AF207" i="1"/>
  <c r="AG207" i="1" s="1"/>
  <c r="AF191" i="1"/>
  <c r="AG191" i="1" s="1"/>
  <c r="AF633" i="1"/>
  <c r="AG633" i="1" s="1"/>
  <c r="AF616" i="1"/>
  <c r="AG616" i="1" s="1"/>
  <c r="AF128" i="1"/>
  <c r="AG128" i="1" s="1"/>
  <c r="AF580" i="1"/>
  <c r="AG580" i="1" s="1"/>
  <c r="AF51" i="1"/>
  <c r="AG51" i="1" s="1"/>
  <c r="AF91" i="1"/>
  <c r="AG91" i="1" s="1"/>
  <c r="AF195" i="1"/>
  <c r="AG195" i="1" s="1"/>
  <c r="AF683" i="1"/>
  <c r="AG683" i="1" s="1"/>
  <c r="AF163" i="1"/>
  <c r="AG163" i="1" s="1"/>
  <c r="AF501" i="1"/>
  <c r="AG501" i="1" s="1"/>
  <c r="AF929" i="1"/>
  <c r="AG929" i="1" s="1"/>
  <c r="AF492" i="1"/>
  <c r="AG492" i="1" s="1"/>
  <c r="AF488" i="1"/>
  <c r="AG488" i="1" s="1"/>
  <c r="AF915" i="1"/>
  <c r="AG915" i="1" s="1"/>
  <c r="AF481" i="1"/>
  <c r="AG481" i="1" s="1"/>
  <c r="AF909" i="1"/>
  <c r="AG909" i="1" s="1"/>
  <c r="AF904" i="1"/>
  <c r="AG904" i="1" s="1"/>
  <c r="AF900" i="1"/>
  <c r="AG900" i="1" s="1"/>
  <c r="AF894" i="1"/>
  <c r="AG894" i="1" s="1"/>
  <c r="AF461" i="1"/>
  <c r="AG461" i="1" s="1"/>
  <c r="AF887" i="1"/>
  <c r="AG887" i="1" s="1"/>
  <c r="AF454" i="1"/>
  <c r="AG454" i="1" s="1"/>
  <c r="AF879" i="1"/>
  <c r="AG879" i="1" s="1"/>
  <c r="AF876" i="1"/>
  <c r="AG876" i="1" s="1"/>
  <c r="AF874" i="1"/>
  <c r="AG874" i="1" s="1"/>
  <c r="AF870" i="1"/>
  <c r="AG870" i="1" s="1"/>
  <c r="AF430" i="1"/>
  <c r="AG430" i="1" s="1"/>
  <c r="AF425" i="1"/>
  <c r="AG425" i="1" s="1"/>
  <c r="AF859" i="1"/>
  <c r="AG859" i="1" s="1"/>
  <c r="AF416" i="1"/>
  <c r="AG416" i="1" s="1"/>
  <c r="AF410" i="1"/>
  <c r="AG410" i="1" s="1"/>
  <c r="AF405" i="1"/>
  <c r="AG405" i="1" s="1"/>
  <c r="AF402" i="1"/>
  <c r="AG402" i="1" s="1"/>
  <c r="AF397" i="1"/>
  <c r="AG397" i="1" s="1"/>
  <c r="AF836" i="1"/>
  <c r="AG836" i="1" s="1"/>
  <c r="AF831" i="1"/>
  <c r="AG831" i="1" s="1"/>
  <c r="AF385" i="1"/>
  <c r="AG385" i="1" s="1"/>
  <c r="AF381" i="1"/>
  <c r="AG381" i="1" s="1"/>
  <c r="AF376" i="1"/>
  <c r="AG376" i="1" s="1"/>
  <c r="AF800" i="1"/>
  <c r="AG800" i="1" s="1"/>
  <c r="AF357" i="1"/>
  <c r="AG357" i="1" s="1"/>
  <c r="AF350" i="1"/>
  <c r="AG350" i="1" s="1"/>
  <c r="AF345" i="1"/>
  <c r="AG345" i="1" s="1"/>
  <c r="AF786" i="1"/>
  <c r="AG786" i="1" s="1"/>
  <c r="AF333" i="1"/>
  <c r="AG333" i="1" s="1"/>
  <c r="AF328" i="1"/>
  <c r="AG328" i="1" s="1"/>
  <c r="AF325" i="1"/>
  <c r="AG325" i="1" s="1"/>
  <c r="AF763" i="1"/>
  <c r="AG763" i="1" s="1"/>
  <c r="AF759" i="1"/>
  <c r="AG759" i="1" s="1"/>
  <c r="AF301" i="1"/>
  <c r="AG301" i="1" s="1"/>
  <c r="AF297" i="1"/>
  <c r="AG297" i="1" s="1"/>
  <c r="AF740" i="1"/>
  <c r="AG740" i="1" s="1"/>
  <c r="AF738" i="1"/>
  <c r="AG738" i="1" s="1"/>
  <c r="AF278" i="1"/>
  <c r="AG278" i="1" s="1"/>
  <c r="AF269" i="1"/>
  <c r="AG269" i="1" s="1"/>
  <c r="AF258" i="1"/>
  <c r="AG258" i="1" s="1"/>
  <c r="AF253" i="1"/>
  <c r="AG253" i="1" s="1"/>
  <c r="AF245" i="1"/>
  <c r="AG245" i="1" s="1"/>
  <c r="AF240" i="1"/>
  <c r="AG240" i="1" s="1"/>
  <c r="AF699" i="1"/>
  <c r="AG699" i="1" s="1"/>
  <c r="AF223" i="1"/>
  <c r="AG223" i="1" s="1"/>
  <c r="AF219" i="1"/>
  <c r="AG219" i="1" s="1"/>
  <c r="AF676" i="1"/>
  <c r="AG676" i="1" s="1"/>
  <c r="AF209" i="1"/>
  <c r="AG209" i="1" s="1"/>
  <c r="AF201" i="1"/>
  <c r="AG201" i="1" s="1"/>
  <c r="AF654" i="1"/>
  <c r="AG654" i="1" s="1"/>
  <c r="AF188" i="1"/>
  <c r="AG188" i="1" s="1"/>
  <c r="AF178" i="1"/>
  <c r="AG178" i="1" s="1"/>
  <c r="AF640" i="1"/>
  <c r="AG640" i="1" s="1"/>
  <c r="AF165" i="1"/>
  <c r="AG165" i="1" s="1"/>
  <c r="AF154" i="1"/>
  <c r="AG154" i="1" s="1"/>
  <c r="AF151" i="1"/>
  <c r="AG151" i="1" s="1"/>
  <c r="AF142" i="1"/>
  <c r="AG142" i="1" s="1"/>
  <c r="AF611" i="1"/>
  <c r="AG611" i="1" s="1"/>
  <c r="AF599" i="1"/>
  <c r="AG599" i="1" s="1"/>
  <c r="AF593" i="1"/>
  <c r="AG593" i="1" s="1"/>
  <c r="AF583" i="1"/>
  <c r="AG583" i="1" s="1"/>
  <c r="AF576" i="1"/>
  <c r="AG576" i="1" s="1"/>
  <c r="AF93" i="1"/>
  <c r="AG93" i="1" s="1"/>
  <c r="AF560" i="1"/>
  <c r="AG560" i="1" s="1"/>
  <c r="AF68" i="1"/>
  <c r="AG68" i="1" s="1"/>
  <c r="AF548" i="1"/>
  <c r="AG548" i="1" s="1"/>
  <c r="AF49" i="1"/>
  <c r="AG49" i="1" s="1"/>
  <c r="AF47" i="1"/>
  <c r="AG47" i="1" s="1"/>
  <c r="AF521" i="1"/>
  <c r="AG521" i="1" s="1"/>
  <c r="AF26" i="1"/>
  <c r="AG26" i="1" s="1"/>
  <c r="AF12" i="1"/>
  <c r="AG12" i="1" s="1"/>
  <c r="AF7" i="1"/>
  <c r="AG7" i="1" s="1"/>
  <c r="AF378" i="1"/>
  <c r="AG378" i="1" s="1"/>
  <c r="AF806" i="1"/>
  <c r="AG806" i="1" s="1"/>
  <c r="AF794" i="1"/>
  <c r="AG794" i="1" s="1"/>
  <c r="AF777" i="1"/>
  <c r="AG777" i="1" s="1"/>
  <c r="AF313" i="1"/>
  <c r="AG313" i="1" s="1"/>
  <c r="AF285" i="1"/>
  <c r="AG285" i="1" s="1"/>
  <c r="AF727" i="1"/>
  <c r="AG727" i="1" s="1"/>
  <c r="AF247" i="1"/>
  <c r="AG247" i="1" s="1"/>
  <c r="AF230" i="1"/>
  <c r="AG230" i="1" s="1"/>
  <c r="AF678" i="1"/>
  <c r="AG678" i="1" s="1"/>
  <c r="AF651" i="1"/>
  <c r="AG651" i="1" s="1"/>
  <c r="AF176" i="1"/>
  <c r="AG176" i="1" s="1"/>
  <c r="AF621" i="1"/>
  <c r="AG621" i="1" s="1"/>
  <c r="AF143" i="1"/>
  <c r="AG143" i="1" s="1"/>
  <c r="AF132" i="1"/>
  <c r="AG132" i="1" s="1"/>
  <c r="AF124" i="1"/>
  <c r="AG124" i="1" s="1"/>
  <c r="AF117" i="1"/>
  <c r="AG117" i="1" s="1"/>
  <c r="AF109" i="1"/>
  <c r="AG109" i="1" s="1"/>
  <c r="AF573" i="1"/>
  <c r="AG573" i="1" s="1"/>
  <c r="AF568" i="1"/>
  <c r="AG568" i="1" s="1"/>
  <c r="AF80" i="1"/>
  <c r="AG80" i="1" s="1"/>
  <c r="AF66" i="1"/>
  <c r="AG66" i="1" s="1"/>
  <c r="AF541" i="1"/>
  <c r="AG541" i="1" s="1"/>
  <c r="AF48" i="1"/>
  <c r="AG48" i="1" s="1"/>
  <c r="AF39" i="1"/>
  <c r="AG39" i="1" s="1"/>
  <c r="AF29" i="1"/>
  <c r="AG29" i="1" s="1"/>
  <c r="AF18" i="1"/>
  <c r="AG18" i="1" s="1"/>
  <c r="AF503" i="1"/>
  <c r="AG503" i="1" s="1"/>
  <c r="AF772" i="1"/>
  <c r="AG772" i="1" s="1"/>
  <c r="AF303" i="1"/>
  <c r="AG303" i="1" s="1"/>
  <c r="AF284" i="1"/>
  <c r="AG284" i="1" s="1"/>
  <c r="AF261" i="1"/>
  <c r="AG261" i="1" s="1"/>
  <c r="AF705" i="1"/>
  <c r="AG705" i="1" s="1"/>
  <c r="AF217" i="1"/>
  <c r="AG217" i="1" s="1"/>
  <c r="AF660" i="1"/>
  <c r="AG660" i="1" s="1"/>
  <c r="AF161" i="1"/>
  <c r="AG161" i="1" s="1"/>
  <c r="AF137" i="1"/>
  <c r="AG137" i="1" s="1"/>
  <c r="AF586" i="1"/>
  <c r="AG586" i="1" s="1"/>
  <c r="AF94" i="1"/>
  <c r="AG94" i="1" s="1"/>
  <c r="AF22" i="1"/>
  <c r="AG22" i="1" s="1"/>
  <c r="AF773" i="1"/>
  <c r="AG773" i="1" s="1"/>
  <c r="AF505" i="1"/>
  <c r="AG505" i="1" s="1"/>
  <c r="AF149" i="1"/>
  <c r="AG149" i="1" s="1"/>
  <c r="AF398" i="1"/>
  <c r="AG398" i="1" s="1"/>
  <c r="AF500" i="1"/>
  <c r="AG500" i="1" s="1"/>
  <c r="AF495" i="1"/>
  <c r="AG495" i="1" s="1"/>
  <c r="AF924" i="1"/>
  <c r="AG924" i="1" s="1"/>
  <c r="AF487" i="1"/>
  <c r="AG487" i="1" s="1"/>
  <c r="AF914" i="1"/>
  <c r="AG914" i="1" s="1"/>
  <c r="AF480" i="1"/>
  <c r="AG480" i="1" s="1"/>
  <c r="AF908" i="1"/>
  <c r="AG908" i="1" s="1"/>
  <c r="AF471" i="1"/>
  <c r="AG471" i="1" s="1"/>
  <c r="AF899" i="1"/>
  <c r="AG899" i="1" s="1"/>
  <c r="AF893" i="1"/>
  <c r="AG893" i="1" s="1"/>
  <c r="AF460" i="1"/>
  <c r="AG460" i="1" s="1"/>
  <c r="AF886" i="1"/>
  <c r="AG886" i="1" s="1"/>
  <c r="AF453" i="1"/>
  <c r="AG453" i="1" s="1"/>
  <c r="AF448" i="1"/>
  <c r="AG448" i="1" s="1"/>
  <c r="AF443" i="1"/>
  <c r="AG443" i="1" s="1"/>
  <c r="AF437" i="1"/>
  <c r="AG437" i="1" s="1"/>
  <c r="AF433" i="1"/>
  <c r="AG433" i="1" s="1"/>
  <c r="AF429" i="1"/>
  <c r="AG429" i="1" s="1"/>
  <c r="AF862" i="1"/>
  <c r="AG862" i="1" s="1"/>
  <c r="AF858" i="1"/>
  <c r="AG858" i="1" s="1"/>
  <c r="AF415" i="1"/>
  <c r="AG415" i="1" s="1"/>
  <c r="AF409" i="1"/>
  <c r="AG409" i="1" s="1"/>
  <c r="AF848" i="1"/>
  <c r="AG848" i="1" s="1"/>
  <c r="AF842" i="1"/>
  <c r="AG842" i="1" s="1"/>
  <c r="AF396" i="1"/>
  <c r="AG396" i="1" s="1"/>
  <c r="AF391" i="1"/>
  <c r="AG391" i="1" s="1"/>
  <c r="AF830" i="1"/>
  <c r="AG830" i="1" s="1"/>
  <c r="AF825" i="1"/>
  <c r="AG825" i="1" s="1"/>
  <c r="AF380" i="1"/>
  <c r="AG380" i="1" s="1"/>
  <c r="AF375" i="1"/>
  <c r="AG375" i="1" s="1"/>
  <c r="AF813" i="1"/>
  <c r="AG813" i="1" s="1"/>
  <c r="AF356" i="1"/>
  <c r="AG356" i="1" s="1"/>
  <c r="AF349" i="1"/>
  <c r="AG349" i="1" s="1"/>
  <c r="AF791" i="1"/>
  <c r="AG791" i="1" s="1"/>
  <c r="AF342" i="1"/>
  <c r="AG342" i="1" s="1"/>
  <c r="AF775" i="1"/>
  <c r="AG775" i="1" s="1"/>
  <c r="AF324" i="1"/>
  <c r="AG324" i="1" s="1"/>
  <c r="AF310" i="1"/>
  <c r="AG310" i="1" s="1"/>
  <c r="AF305" i="1"/>
  <c r="AG305" i="1" s="1"/>
  <c r="AF748" i="1"/>
  <c r="AG748" i="1" s="1"/>
  <c r="AF289" i="1"/>
  <c r="AG289" i="1" s="1"/>
  <c r="AF282" i="1"/>
  <c r="AG282" i="1" s="1"/>
  <c r="AF274" i="1"/>
  <c r="AG274" i="1" s="1"/>
  <c r="AF268" i="1"/>
  <c r="AG268" i="1" s="1"/>
  <c r="AF257" i="1"/>
  <c r="AG257" i="1" s="1"/>
  <c r="AF719" i="1"/>
  <c r="AG719" i="1" s="1"/>
  <c r="AF244" i="1"/>
  <c r="AG244" i="1" s="1"/>
  <c r="AF236" i="1"/>
  <c r="AG236" i="1" s="1"/>
  <c r="AF232" i="1"/>
  <c r="AG232" i="1" s="1"/>
  <c r="AF691" i="1"/>
  <c r="AG691" i="1" s="1"/>
  <c r="AF687" i="1"/>
  <c r="AG687" i="1" s="1"/>
  <c r="AF212" i="1"/>
  <c r="AG212" i="1" s="1"/>
  <c r="AF666" i="1"/>
  <c r="AG666" i="1" s="1"/>
  <c r="AF663" i="1"/>
  <c r="AG663" i="1" s="1"/>
  <c r="AF192" i="1"/>
  <c r="AG192" i="1" s="1"/>
  <c r="AF187" i="1"/>
  <c r="AG187" i="1" s="1"/>
  <c r="AF177" i="1"/>
  <c r="AG177" i="1" s="1"/>
  <c r="AF170" i="1"/>
  <c r="AG170" i="1" s="1"/>
  <c r="AF164" i="1"/>
  <c r="AG164" i="1" s="1"/>
  <c r="AF624" i="1"/>
  <c r="AG624" i="1" s="1"/>
  <c r="AF619" i="1"/>
  <c r="AG619" i="1" s="1"/>
  <c r="AF141" i="1"/>
  <c r="AG141" i="1" s="1"/>
  <c r="AF134" i="1"/>
  <c r="AG134" i="1" s="1"/>
  <c r="AF127" i="1"/>
  <c r="AG127" i="1" s="1"/>
  <c r="AF121" i="1"/>
  <c r="AG121" i="1" s="1"/>
  <c r="AF119" i="1"/>
  <c r="AG119" i="1" s="1"/>
  <c r="AF585" i="1"/>
  <c r="AG585" i="1" s="1"/>
  <c r="AF105" i="1"/>
  <c r="AG105" i="1" s="1"/>
  <c r="AF575" i="1"/>
  <c r="AG575" i="1" s="1"/>
  <c r="AF97" i="1"/>
  <c r="AG97" i="1" s="1"/>
  <c r="AF92" i="1"/>
  <c r="AG92" i="1" s="1"/>
  <c r="AF559" i="1"/>
  <c r="AG559" i="1" s="1"/>
  <c r="AF74" i="1"/>
  <c r="AG74" i="1" s="1"/>
  <c r="AF550" i="1"/>
  <c r="AG550" i="1" s="1"/>
  <c r="AF547" i="1"/>
  <c r="AG547" i="1" s="1"/>
  <c r="AF55" i="1"/>
  <c r="AG55" i="1" s="1"/>
  <c r="AF536" i="1"/>
  <c r="AG536" i="1" s="1"/>
  <c r="AF530" i="1"/>
  <c r="AG530" i="1" s="1"/>
  <c r="AF525" i="1"/>
  <c r="AG525" i="1" s="1"/>
  <c r="AF32" i="1"/>
  <c r="AG32" i="1" s="1"/>
  <c r="AF25" i="1"/>
  <c r="AG25" i="1" s="1"/>
  <c r="AF514" i="1"/>
  <c r="AG514" i="1" s="1"/>
  <c r="AF11" i="1"/>
  <c r="AG11" i="1" s="1"/>
  <c r="AF506" i="1"/>
  <c r="AG506" i="1" s="1"/>
  <c r="AF84" i="1"/>
  <c r="AG84" i="1" s="1"/>
  <c r="AF239" i="1"/>
  <c r="AG239" i="1" s="1"/>
  <c r="AF824" i="1"/>
  <c r="AG824" i="1" s="1"/>
  <c r="AF78" i="1"/>
  <c r="AG78" i="1" s="1"/>
  <c r="AF835" i="1"/>
  <c r="AG835" i="1" s="1"/>
  <c r="AF499" i="1"/>
  <c r="AG499" i="1" s="1"/>
  <c r="AF928" i="1"/>
  <c r="AG928" i="1" s="1"/>
  <c r="AF491" i="1"/>
  <c r="AG491" i="1" s="1"/>
  <c r="AF920" i="1"/>
  <c r="AG920" i="1" s="1"/>
  <c r="AF913" i="1"/>
  <c r="AG913" i="1" s="1"/>
  <c r="AF911" i="1"/>
  <c r="AG911" i="1" s="1"/>
  <c r="AF474" i="1"/>
  <c r="AG474" i="1" s="1"/>
  <c r="AF903" i="1"/>
  <c r="AG903" i="1" s="1"/>
  <c r="AF898" i="1"/>
  <c r="AG898" i="1" s="1"/>
  <c r="AF465" i="1"/>
  <c r="AG465" i="1" s="1"/>
  <c r="AF890" i="1"/>
  <c r="AG890" i="1" s="1"/>
  <c r="AF456" i="1"/>
  <c r="AG456" i="1" s="1"/>
  <c r="AF881" i="1"/>
  <c r="AG881" i="1" s="1"/>
  <c r="AF447" i="1"/>
  <c r="AG447" i="1" s="1"/>
  <c r="AF875" i="1"/>
  <c r="AG875" i="1" s="1"/>
  <c r="AF873" i="1"/>
  <c r="AG873" i="1" s="1"/>
  <c r="AF432" i="1"/>
  <c r="AG432" i="1" s="1"/>
  <c r="AF428" i="1"/>
  <c r="AG428" i="1" s="1"/>
  <c r="AF861" i="1"/>
  <c r="AG861" i="1" s="1"/>
  <c r="AF420" i="1"/>
  <c r="AG420" i="1" s="1"/>
  <c r="AF414" i="1"/>
  <c r="AG414" i="1" s="1"/>
  <c r="AF408" i="1"/>
  <c r="AG408" i="1" s="1"/>
  <c r="AF404" i="1"/>
  <c r="AG404" i="1" s="1"/>
  <c r="AF401" i="1"/>
  <c r="AG401" i="1" s="1"/>
  <c r="AF838" i="1"/>
  <c r="AG838" i="1" s="1"/>
  <c r="AF834" i="1"/>
  <c r="AG834" i="1" s="1"/>
  <c r="AF387" i="1"/>
  <c r="AG387" i="1" s="1"/>
  <c r="AF384" i="1"/>
  <c r="AG384" i="1" s="1"/>
  <c r="AF820" i="1"/>
  <c r="AG820" i="1" s="1"/>
  <c r="AF374" i="1"/>
  <c r="AG374" i="1" s="1"/>
  <c r="AF812" i="1"/>
  <c r="AG812" i="1" s="1"/>
  <c r="AF369" i="1"/>
  <c r="AG369" i="1" s="1"/>
  <c r="AF348" i="1"/>
  <c r="AG348" i="1" s="1"/>
  <c r="AF790" i="1"/>
  <c r="AG790" i="1" s="1"/>
  <c r="AF340" i="1"/>
  <c r="AG340" i="1" s="1"/>
  <c r="AF335" i="1"/>
  <c r="AG335" i="1" s="1"/>
  <c r="AF327" i="1"/>
  <c r="AG327" i="1" s="1"/>
  <c r="AF323" i="1"/>
  <c r="AG323" i="1" s="1"/>
  <c r="AF766" i="1"/>
  <c r="AG766" i="1" s="1"/>
  <c r="AF309" i="1"/>
  <c r="AG309" i="1" s="1"/>
  <c r="AF755" i="1"/>
  <c r="AG755" i="1" s="1"/>
  <c r="AF747" i="1"/>
  <c r="AG747" i="1" s="1"/>
  <c r="AF293" i="1"/>
  <c r="AG293" i="1" s="1"/>
  <c r="AF281" i="1"/>
  <c r="AG281" i="1" s="1"/>
  <c r="AF273" i="1"/>
  <c r="AG273" i="1" s="1"/>
  <c r="AF267" i="1"/>
  <c r="AG267" i="1" s="1"/>
  <c r="AF722" i="1"/>
  <c r="AG722" i="1" s="1"/>
  <c r="AF714" i="1"/>
  <c r="AG714" i="1" s="1"/>
  <c r="AF243" i="1"/>
  <c r="AG243" i="1" s="1"/>
  <c r="AF235" i="1"/>
  <c r="AG235" i="1" s="1"/>
  <c r="AF698" i="1"/>
  <c r="AG698" i="1" s="1"/>
  <c r="AF222" i="1"/>
  <c r="AG222" i="1" s="1"/>
  <c r="AF681" i="1"/>
  <c r="AG681" i="1" s="1"/>
  <c r="AF675" i="1"/>
  <c r="AG675" i="1" s="1"/>
  <c r="AF205" i="1"/>
  <c r="AG205" i="1" s="1"/>
  <c r="AF662" i="1"/>
  <c r="AG662" i="1" s="1"/>
  <c r="AF653" i="1"/>
  <c r="AG653" i="1" s="1"/>
  <c r="AF181" i="1"/>
  <c r="AG181" i="1" s="1"/>
  <c r="AF643" i="1"/>
  <c r="AG643" i="1" s="1"/>
  <c r="AF169" i="1"/>
  <c r="AG169" i="1" s="1"/>
  <c r="AF631" i="1"/>
  <c r="AG631" i="1" s="1"/>
  <c r="AF623" i="1"/>
  <c r="AG623" i="1" s="1"/>
  <c r="AF145" i="1"/>
  <c r="AG145" i="1" s="1"/>
  <c r="AF140" i="1"/>
  <c r="AG140" i="1" s="1"/>
  <c r="AF133" i="1"/>
  <c r="AG133" i="1" s="1"/>
  <c r="AF605" i="1"/>
  <c r="AG605" i="1" s="1"/>
  <c r="AF126" i="1"/>
  <c r="AG126" i="1" s="1"/>
  <c r="AF598" i="1"/>
  <c r="AG598" i="1" s="1"/>
  <c r="AF118" i="1"/>
  <c r="AG118" i="1" s="1"/>
  <c r="AF330" i="1"/>
  <c r="AG330" i="1" s="1"/>
  <c r="AF757" i="1"/>
  <c r="AG757" i="1" s="1"/>
  <c r="AF735" i="1"/>
  <c r="AG735" i="1" s="1"/>
  <c r="AF255" i="1"/>
  <c r="AG255" i="1" s="1"/>
  <c r="AF701" i="1"/>
  <c r="AG701" i="1" s="1"/>
  <c r="AF214" i="1"/>
  <c r="AG214" i="1" s="1"/>
  <c r="AF645" i="1"/>
  <c r="AG645" i="1" s="1"/>
  <c r="AF591" i="1"/>
  <c r="AG591" i="1" s="1"/>
  <c r="AF379" i="1"/>
  <c r="AG379" i="1" s="1"/>
  <c r="AF373" i="1"/>
  <c r="AG373" i="1" s="1"/>
  <c r="AF811" i="1"/>
  <c r="AG811" i="1" s="1"/>
  <c r="AF368" i="1"/>
  <c r="AG368" i="1" s="1"/>
  <c r="AF363" i="1"/>
  <c r="AG363" i="1" s="1"/>
  <c r="AF789" i="1"/>
  <c r="AG789" i="1" s="1"/>
  <c r="AF785" i="1"/>
  <c r="AG785" i="1" s="1"/>
  <c r="AF334" i="1"/>
  <c r="AG334" i="1" s="1"/>
  <c r="AF769" i="1"/>
  <c r="AG769" i="1" s="1"/>
  <c r="AF318" i="1"/>
  <c r="AG318" i="1" s="1"/>
  <c r="AF758" i="1"/>
  <c r="AG758" i="1" s="1"/>
  <c r="AF304" i="1"/>
  <c r="AG304" i="1" s="1"/>
  <c r="AF300" i="1"/>
  <c r="AG300" i="1" s="1"/>
  <c r="AF746" i="1"/>
  <c r="AG746" i="1" s="1"/>
  <c r="AF742" i="1"/>
  <c r="AG742" i="1" s="1"/>
  <c r="AF286" i="1"/>
  <c r="AG286" i="1" s="1"/>
  <c r="AF737" i="1"/>
  <c r="AG737" i="1" s="1"/>
  <c r="AF732" i="1"/>
  <c r="AG732" i="1" s="1"/>
  <c r="AF729" i="1"/>
  <c r="AG729" i="1" s="1"/>
  <c r="AF266" i="1"/>
  <c r="AG266" i="1" s="1"/>
  <c r="AF724" i="1"/>
  <c r="AG724" i="1" s="1"/>
  <c r="AF721" i="1"/>
  <c r="AG721" i="1" s="1"/>
  <c r="AF252" i="1"/>
  <c r="AG252" i="1" s="1"/>
  <c r="AF248" i="1"/>
  <c r="AG248" i="1" s="1"/>
  <c r="AF711" i="1"/>
  <c r="AG711" i="1" s="1"/>
  <c r="AF707" i="1"/>
  <c r="AG707" i="1" s="1"/>
  <c r="AF702" i="1"/>
  <c r="AG702" i="1" s="1"/>
  <c r="AF231" i="1"/>
  <c r="AG231" i="1" s="1"/>
  <c r="AF693" i="1"/>
  <c r="AG693" i="1" s="1"/>
  <c r="AF221" i="1"/>
  <c r="AG221" i="1" s="1"/>
  <c r="AF685" i="1"/>
  <c r="AG685" i="1" s="1"/>
  <c r="AF589" i="1"/>
  <c r="AG589" i="1" s="1"/>
  <c r="AF110" i="1"/>
  <c r="AG110" i="1" s="1"/>
  <c r="AF582" i="1"/>
  <c r="AG582" i="1" s="1"/>
  <c r="AF574" i="1"/>
  <c r="AG574" i="1" s="1"/>
  <c r="AF101" i="1"/>
  <c r="AG101" i="1" s="1"/>
  <c r="AF96" i="1"/>
  <c r="AG96" i="1" s="1"/>
  <c r="AF90" i="1"/>
  <c r="AG90" i="1" s="1"/>
  <c r="AF558" i="1"/>
  <c r="AG558" i="1" s="1"/>
  <c r="AF554" i="1"/>
  <c r="AG554" i="1" s="1"/>
  <c r="AF73" i="1"/>
  <c r="AG73" i="1" s="1"/>
  <c r="AF67" i="1"/>
  <c r="AG67" i="1" s="1"/>
  <c r="AF546" i="1"/>
  <c r="AG546" i="1" s="1"/>
  <c r="AF59" i="1"/>
  <c r="AG59" i="1" s="1"/>
  <c r="AF54" i="1"/>
  <c r="AG54" i="1" s="1"/>
  <c r="AF535" i="1"/>
  <c r="AG535" i="1" s="1"/>
  <c r="AF529" i="1"/>
  <c r="AG529" i="1" s="1"/>
  <c r="AF41" i="1"/>
  <c r="AG41" i="1" s="1"/>
  <c r="AF524" i="1"/>
  <c r="AG524" i="1" s="1"/>
  <c r="AF31" i="1"/>
  <c r="AG31" i="1" s="1"/>
  <c r="AF24" i="1"/>
  <c r="AG24" i="1" s="1"/>
  <c r="AF19" i="1"/>
  <c r="AG19" i="1" s="1"/>
  <c r="AF513" i="1"/>
  <c r="AG513" i="1" s="1"/>
  <c r="AF10" i="1"/>
  <c r="AG10" i="1" s="1"/>
  <c r="AF504" i="1"/>
  <c r="AG504" i="1" s="1"/>
  <c r="AF679" i="1"/>
  <c r="AG679" i="1" s="1"/>
  <c r="AF211" i="1"/>
  <c r="AG211" i="1" s="1"/>
  <c r="AF670" i="1"/>
  <c r="AG670" i="1" s="1"/>
  <c r="AF665" i="1"/>
  <c r="AG665" i="1" s="1"/>
  <c r="AF661" i="1"/>
  <c r="AG661" i="1" s="1"/>
  <c r="AF657" i="1"/>
  <c r="AG657" i="1" s="1"/>
  <c r="AF652" i="1"/>
  <c r="AG652" i="1" s="1"/>
  <c r="AF650" i="1"/>
  <c r="AG650" i="1" s="1"/>
  <c r="AF180" i="1"/>
  <c r="AG180" i="1" s="1"/>
  <c r="AF642" i="1"/>
  <c r="AG642" i="1" s="1"/>
  <c r="AF173" i="1"/>
  <c r="AG173" i="1" s="1"/>
  <c r="AF634" i="1"/>
  <c r="AG634" i="1" s="1"/>
  <c r="AF630" i="1"/>
  <c r="AG630" i="1" s="1"/>
  <c r="AF628" i="1"/>
  <c r="AG628" i="1" s="1"/>
  <c r="AF622" i="1"/>
  <c r="AG622" i="1" s="1"/>
  <c r="AF150" i="1"/>
  <c r="AG150" i="1" s="1"/>
  <c r="AF144" i="1"/>
  <c r="AG144" i="1" s="1"/>
  <c r="AF139" i="1"/>
  <c r="AG139" i="1" s="1"/>
  <c r="AF610" i="1"/>
  <c r="AG610" i="1" s="1"/>
  <c r="AF604" i="1"/>
  <c r="AG604" i="1" s="1"/>
  <c r="AF125" i="1"/>
  <c r="AG125" i="1" s="1"/>
  <c r="AF597" i="1"/>
  <c r="AG597" i="1" s="1"/>
  <c r="AF592" i="1"/>
  <c r="AG592" i="1" s="1"/>
  <c r="AF588" i="1"/>
  <c r="AG588" i="1" s="1"/>
  <c r="AF584" i="1"/>
  <c r="AG584" i="1" s="1"/>
  <c r="AF104" i="1"/>
  <c r="AG104" i="1" s="1"/>
  <c r="AF103" i="1"/>
  <c r="AG103" i="1" s="1"/>
  <c r="AF100" i="1"/>
  <c r="AG100" i="1" s="1"/>
  <c r="AF95" i="1"/>
  <c r="AG95" i="1" s="1"/>
  <c r="AF89" i="1"/>
  <c r="AG89" i="1" s="1"/>
  <c r="AF85" i="1"/>
  <c r="AG85" i="1" s="1"/>
  <c r="AF553" i="1"/>
  <c r="AG553" i="1" s="1"/>
  <c r="AF72" i="1"/>
  <c r="AG72" i="1" s="1"/>
  <c r="AF549" i="1"/>
  <c r="AG549" i="1" s="1"/>
  <c r="AF62" i="1"/>
  <c r="AG62" i="1" s="1"/>
  <c r="AF58" i="1"/>
  <c r="AG58" i="1" s="1"/>
  <c r="AF53" i="1"/>
  <c r="AG53" i="1" s="1"/>
  <c r="AF534" i="1"/>
  <c r="AG534" i="1" s="1"/>
  <c r="AF46" i="1"/>
  <c r="AG46" i="1" s="1"/>
  <c r="AF40" i="1"/>
  <c r="AG40" i="1" s="1"/>
  <c r="AF523" i="1"/>
  <c r="AG523" i="1" s="1"/>
  <c r="AF30" i="1"/>
  <c r="AG30" i="1" s="1"/>
  <c r="AF519" i="1"/>
  <c r="AG519" i="1" s="1"/>
  <c r="AF516" i="1"/>
  <c r="AG516" i="1" s="1"/>
  <c r="AF512" i="1"/>
  <c r="AG512" i="1" s="1"/>
  <c r="AF509" i="1"/>
  <c r="AG509" i="1" s="1"/>
  <c r="AF6" i="1"/>
  <c r="AG6" i="1" s="1"/>
</calcChain>
</file>

<file path=xl/sharedStrings.xml><?xml version="1.0" encoding="utf-8"?>
<sst xmlns="http://schemas.openxmlformats.org/spreadsheetml/2006/main" count="17282" uniqueCount="4159">
  <si>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</si>
  <si>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</si>
  <si>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</si>
  <si>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</si>
  <si>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</si>
  <si>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</si>
  <si>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</si>
  <si>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</si>
  <si>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</si>
  <si>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</si>
  <si>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</si>
  <si>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</si>
  <si>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</si>
  <si>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</si>
  <si>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</si>
  <si>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</si>
  <si>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</si>
  <si>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</si>
  <si>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</si>
  <si>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</si>
  <si>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</si>
  <si>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</si>
  <si>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</si>
  <si>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</si>
  <si>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</si>
  <si>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</si>
  <si>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</si>
  <si>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</si>
  <si>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</si>
  <si>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</si>
  <si>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</si>
  <si>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</si>
  <si>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</si>
  <si>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</si>
  <si>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</si>
  <si>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</si>
  <si>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</si>
  <si>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</si>
  <si>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</si>
  <si>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</si>
  <si>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</si>
  <si>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</si>
  <si>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</si>
  <si>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</si>
  <si>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</si>
  <si>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</si>
  <si>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</si>
  <si>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</si>
  <si>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</si>
  <si>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</si>
  <si>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</si>
  <si>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</si>
  <si>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</si>
  <si>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</si>
  <si>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</si>
  <si>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</si>
  <si>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</si>
  <si>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</si>
  <si>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</si>
  <si>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</si>
  <si>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</si>
  <si>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</si>
  <si>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</si>
  <si>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</si>
  <si>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</si>
  <si>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</si>
  <si>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</si>
  <si>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</si>
  <si>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</si>
  <si>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</si>
  <si>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</si>
  <si>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</si>
  <si>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</si>
  <si>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</si>
  <si>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</si>
  <si>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</si>
  <si>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</si>
  <si>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</si>
  <si>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</si>
  <si>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</si>
  <si>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</si>
  <si>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</si>
  <si>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</si>
  <si>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</si>
  <si>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</si>
  <si>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</si>
  <si>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</si>
  <si>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</si>
  <si>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</si>
  <si>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</si>
  <si>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</si>
  <si>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</si>
  <si>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</si>
  <si>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</si>
  <si>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</si>
  <si>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</si>
  <si>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</si>
  <si>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</si>
  <si>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</si>
  <si>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</si>
  <si>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</si>
  <si>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</si>
  <si>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</si>
  <si>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</si>
  <si>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</si>
  <si>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</si>
  <si>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</si>
  <si>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</si>
  <si>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</si>
  <si>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</si>
  <si>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</si>
  <si>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</si>
  <si>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</si>
  <si>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</si>
  <si>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</si>
  <si>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</si>
  <si>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</si>
  <si>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</si>
  <si>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</si>
  <si>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</si>
  <si>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</si>
  <si>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</si>
  <si>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</si>
  <si>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</si>
  <si>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</si>
  <si>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</si>
  <si>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</si>
  <si>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</si>
  <si>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</si>
  <si>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</si>
  <si>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</si>
  <si>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</si>
  <si>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</si>
  <si>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</si>
  <si>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</si>
  <si>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</si>
  <si>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</si>
  <si>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</si>
  <si>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</si>
  <si>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12/28/2024</t>
  </si>
  <si>
    <t>CUST-4912</t>
  </si>
  <si>
    <t>Rahul Verma</t>
  </si>
  <si>
    <t>Max Copiers 983</t>
  </si>
  <si>
    <t>ORD-2024-10016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</si>
  <si>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</si>
  <si>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</si>
  <si>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</si>
  <si>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</si>
  <si>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</si>
  <si>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</si>
  <si>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</si>
  <si>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</si>
  <si>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</si>
  <si>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</si>
  <si>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</si>
  <si>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</si>
  <si>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2024-01-08</t>
  </si>
  <si>
    <t>CUST-1626</t>
  </si>
  <si>
    <t>Sneha Kapoor</t>
  </si>
  <si>
    <t>Basic Furnishings 434</t>
  </si>
  <si>
    <t>ORD-2025-10019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</si>
  <si>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</si>
  <si>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</si>
  <si>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</si>
  <si>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</si>
  <si>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</si>
  <si>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</si>
  <si>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</si>
  <si>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</si>
  <si>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</si>
  <si>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</si>
  <si>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</si>
  <si>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23 Jan 2025</t>
  </si>
  <si>
    <t>CUST-3190</t>
  </si>
  <si>
    <t>Bihar</t>
  </si>
  <si>
    <t>Patna</t>
  </si>
  <si>
    <t>Elite Copiers 233</t>
  </si>
  <si>
    <t>ORD-2025-10022</t>
  </si>
  <si>
    <t>01/30/2025</t>
  </si>
  <si>
    <t>CUST-3036</t>
  </si>
  <si>
    <t>Eco Furnishings 897</t>
  </si>
  <si>
    <t>ORD-2025-10023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</si>
  <si>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</si>
  <si>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</si>
  <si>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</si>
  <si>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</si>
  <si>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</si>
  <si>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</si>
  <si>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</si>
  <si>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</si>
  <si>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</si>
  <si>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</si>
  <si>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</si>
  <si>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</si>
  <si>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</si>
  <si>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</si>
  <si>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</si>
  <si>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</si>
  <si>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</si>
  <si>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2024-10-19</t>
  </si>
  <si>
    <t>CUST-1731</t>
  </si>
  <si>
    <t>Assam</t>
  </si>
  <si>
    <t>Guwahati</t>
  </si>
  <si>
    <t>Classic Accessories 478</t>
  </si>
  <si>
    <t>ORD-2024-10027</t>
  </si>
  <si>
    <t>23 Nov 2024</t>
  </si>
  <si>
    <t>CUST-4401</t>
  </si>
  <si>
    <t>Phones</t>
  </si>
  <si>
    <t>Pro Phones 243</t>
  </si>
  <si>
    <t>ORD-2025-10028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</si>
  <si>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</si>
  <si>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</si>
  <si>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</si>
  <si>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</si>
  <si>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</si>
  <si>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</si>
  <si>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</si>
  <si>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</si>
  <si>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</si>
  <si>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</si>
  <si>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</si>
  <si>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</si>
  <si>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</si>
  <si>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</si>
  <si>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</si>
  <si>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</si>
  <si>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</si>
  <si>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</si>
  <si>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02/12/2024</t>
  </si>
  <si>
    <t>CUST-8759</t>
  </si>
  <si>
    <t>Goa</t>
  </si>
  <si>
    <t>Panaji</t>
  </si>
  <si>
    <t>Pro Labels 355</t>
  </si>
  <si>
    <t>ORD-2025-10032</t>
  </si>
  <si>
    <t>19-06-2025</t>
  </si>
  <si>
    <t>CUST-7867</t>
  </si>
  <si>
    <t>Pro Paper 959</t>
  </si>
  <si>
    <t>ORD-2024-10033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</si>
  <si>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</si>
  <si>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</si>
  <si>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</si>
  <si>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</si>
  <si>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</si>
  <si>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</si>
  <si>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</si>
  <si>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</si>
  <si>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</si>
  <si>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</si>
  <si>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</si>
  <si>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</si>
  <si>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</si>
  <si>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</si>
  <si>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</si>
  <si>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</si>
  <si>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</si>
  <si>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</si>
  <si>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</si>
  <si>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</si>
  <si>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</si>
  <si>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</si>
  <si>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</si>
  <si>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</si>
  <si>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</si>
  <si>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</si>
  <si>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</si>
  <si>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22-06-2024</t>
  </si>
  <si>
    <t>CUST-8235</t>
  </si>
  <si>
    <t>Prime Phones 507</t>
  </si>
  <si>
    <t>ORD-2024-10040</t>
  </si>
  <si>
    <t>2024-12-11</t>
  </si>
  <si>
    <t>CUST-5830</t>
  </si>
  <si>
    <t>Classic Copiers 590</t>
  </si>
  <si>
    <t>ORD-2024-10041</t>
  </si>
  <si>
    <t>16 Oct 2024</t>
  </si>
  <si>
    <t>CUST-7178</t>
  </si>
  <si>
    <t>Eco Copiers 865</t>
  </si>
  <si>
    <t>ORD-2024-10042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</si>
  <si>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</si>
  <si>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</si>
  <si>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</si>
  <si>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</si>
  <si>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</si>
  <si>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</si>
  <si>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</si>
  <si>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</si>
  <si>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</si>
  <si>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</si>
  <si>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</si>
  <si>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07/14/2024</t>
  </si>
  <si>
    <t>CUST-7119</t>
  </si>
  <si>
    <t>Smart Furnishings 956</t>
  </si>
  <si>
    <t>ORD-2024-10045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</si>
  <si>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</si>
  <si>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</si>
  <si>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</si>
  <si>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</si>
  <si>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</si>
  <si>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</si>
  <si>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</si>
  <si>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</si>
  <si>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</si>
  <si>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</si>
  <si>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</si>
  <si>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</si>
  <si>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</si>
  <si>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</si>
  <si>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</si>
  <si>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</si>
  <si>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</si>
  <si>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</si>
  <si>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</si>
  <si>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</si>
  <si>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</si>
  <si>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</si>
  <si>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</si>
  <si>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</si>
  <si>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</si>
  <si>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</si>
  <si>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</si>
  <si>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</si>
  <si>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</si>
  <si>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</si>
  <si>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</si>
  <si>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</si>
  <si>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</si>
  <si>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</si>
  <si>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</si>
  <si>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</si>
  <si>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</si>
  <si>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</si>
  <si>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</si>
  <si>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</si>
  <si>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2024-10-28</t>
  </si>
  <si>
    <t>CUST-2778</t>
  </si>
  <si>
    <t>Kabir Singh</t>
  </si>
  <si>
    <t>Pro Chairs 526</t>
  </si>
  <si>
    <t>ORD-2025-10054</t>
  </si>
  <si>
    <t>2025-03-31</t>
  </si>
  <si>
    <t>CUST-7195</t>
  </si>
  <si>
    <t>Elite Storage 924</t>
  </si>
  <si>
    <t>ORD-2025-10055</t>
  </si>
  <si>
    <t>2025-06-02</t>
  </si>
  <si>
    <t>CUST-9039</t>
  </si>
  <si>
    <t>Pro Labels 957</t>
  </si>
  <si>
    <t>ORD-2025-10056</t>
  </si>
  <si>
    <t>03-07-2025</t>
  </si>
  <si>
    <t>CUST-9821</t>
  </si>
  <si>
    <t>Machines</t>
  </si>
  <si>
    <t>Classic Machines 310</t>
  </si>
  <si>
    <t>ORD-2025-10057</t>
  </si>
  <si>
    <t>06-01-2025</t>
  </si>
  <si>
    <t>CUST-8701</t>
  </si>
  <si>
    <t>Smart Binders 393</t>
  </si>
  <si>
    <t>ORD-2024-10058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</si>
  <si>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</si>
  <si>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</si>
  <si>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</si>
  <si>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</si>
  <si>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</si>
  <si>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</si>
  <si>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</si>
  <si>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</si>
  <si>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</si>
  <si>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</si>
  <si>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</si>
  <si>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</si>
  <si>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</si>
  <si>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</si>
  <si>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2024-07-19</t>
  </si>
  <si>
    <t>CUST-2892</t>
  </si>
  <si>
    <t>Eco Labels 210</t>
  </si>
  <si>
    <t>ORD-2024-10062</t>
  </si>
  <si>
    <t>04/16/2024</t>
  </si>
  <si>
    <t>CUST-7008</t>
  </si>
  <si>
    <t>Classic Bookcases 296</t>
  </si>
  <si>
    <t>ORD-2024-10063</t>
  </si>
  <si>
    <t>02-11-2024</t>
  </si>
  <si>
    <t>CUST-4900</t>
  </si>
  <si>
    <t>Basic Phones 230</t>
  </si>
  <si>
    <t>ORD-2024-10064</t>
  </si>
  <si>
    <t>01-02-2024</t>
  </si>
  <si>
    <t>CUST-5382</t>
  </si>
  <si>
    <t>Pro Binders 690</t>
  </si>
  <si>
    <t>ORD-2024-10065</t>
  </si>
  <si>
    <t>12/29/2024</t>
  </si>
  <si>
    <t>CUST-2749</t>
  </si>
  <si>
    <t>Classic Paper 458</t>
  </si>
  <si>
    <t>ORD-2024-10066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</si>
  <si>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</si>
  <si>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</si>
  <si>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</si>
  <si>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</si>
  <si>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</si>
  <si>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</si>
  <si>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</si>
  <si>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</si>
  <si>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</si>
  <si>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</si>
  <si>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</si>
  <si>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</si>
  <si>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</si>
  <si>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</si>
  <si>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</si>
  <si>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</si>
  <si>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</si>
  <si>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</si>
  <si>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04/14/2024</t>
  </si>
  <si>
    <t>CUST-5979</t>
  </si>
  <si>
    <t>Prime Machines 782</t>
  </si>
  <si>
    <t>ORD-2025-10071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</si>
  <si>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</si>
  <si>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</si>
  <si>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</si>
  <si>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</si>
  <si>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</si>
  <si>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</si>
  <si>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</si>
  <si>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</si>
  <si>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07 Feb 2024</t>
  </si>
  <si>
    <t>CUST-5018</t>
  </si>
  <si>
    <t>Prime Tables 902</t>
  </si>
  <si>
    <t>ORD-2025-10074</t>
  </si>
  <si>
    <t>04/03/2025</t>
  </si>
  <si>
    <t>CUST-2342</t>
  </si>
  <si>
    <t>Smart Bookcases 167</t>
  </si>
  <si>
    <t>ORD-2025-10075</t>
  </si>
  <si>
    <t>2025-03-01</t>
  </si>
  <si>
    <t>CUST-6201</t>
  </si>
  <si>
    <t>Max Chairs 244</t>
  </si>
  <si>
    <t>ORD-2025-10076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</si>
  <si>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</si>
  <si>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</si>
  <si>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</si>
  <si>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</si>
  <si>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</si>
  <si>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</si>
  <si>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</si>
  <si>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</si>
  <si>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</si>
  <si>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</si>
  <si>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</si>
  <si>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</si>
  <si>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</si>
  <si>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</si>
  <si>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21-07-2025</t>
  </si>
  <si>
    <t>CUST-8043</t>
  </si>
  <si>
    <t>Smart Tables 561</t>
  </si>
  <si>
    <t>ORD-2025-10080</t>
  </si>
  <si>
    <t>2025-10-03</t>
  </si>
  <si>
    <t>CUST-9978</t>
  </si>
  <si>
    <t>Prime Chairs 838</t>
  </si>
  <si>
    <t>ORD-2024-10081</t>
  </si>
  <si>
    <t>2024-08-14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</si>
  <si>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</si>
  <si>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</si>
  <si>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</si>
  <si>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</si>
  <si>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</si>
  <si>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</si>
  <si>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</si>
  <si>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</si>
  <si>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</si>
  <si>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</si>
  <si>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</si>
  <si>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</si>
  <si>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</si>
  <si>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</si>
  <si>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</si>
  <si>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</si>
  <si>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</si>
  <si>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</si>
  <si>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</si>
  <si>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</si>
  <si>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</si>
  <si>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</si>
  <si>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</si>
  <si>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</si>
  <si>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</si>
  <si>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</si>
  <si>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</si>
  <si>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</si>
  <si>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</si>
  <si>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</si>
  <si>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</si>
  <si>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</si>
  <si>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</si>
  <si>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</si>
  <si>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</si>
  <si>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</si>
  <si>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</si>
  <si>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</si>
  <si>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</si>
  <si>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</si>
  <si>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</si>
  <si>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</si>
  <si>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</si>
  <si>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</si>
  <si>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</si>
  <si>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</si>
  <si>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</si>
  <si>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</si>
  <si>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</si>
  <si>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</si>
  <si>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</si>
  <si>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</si>
  <si>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</si>
  <si>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</si>
  <si>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</si>
  <si>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</si>
  <si>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</si>
  <si>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</si>
  <si>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</si>
  <si>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</si>
  <si>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</si>
  <si>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</si>
  <si>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</si>
  <si>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</si>
  <si>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</si>
  <si>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</si>
  <si>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</si>
  <si>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</si>
  <si>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</si>
  <si>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</si>
  <si>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</si>
  <si>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2025-08-11</t>
  </si>
  <si>
    <t>CUST-8111</t>
  </si>
  <si>
    <t>Basic Storage 656</t>
  </si>
  <si>
    <t>ORD-2024-10099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</si>
  <si>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</si>
  <si>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</si>
  <si>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</si>
  <si>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</si>
  <si>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</si>
  <si>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</si>
  <si>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</si>
  <si>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</si>
  <si>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</si>
  <si>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</si>
  <si>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</si>
  <si>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</si>
  <si>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</si>
  <si>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</si>
  <si>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</si>
  <si>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</si>
  <si>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2025-07-16</t>
  </si>
  <si>
    <t>CUST-9603</t>
  </si>
  <si>
    <t>Classic Chairs 604</t>
  </si>
  <si>
    <t>ORD-2025-10104</t>
  </si>
  <si>
    <t>05/10/2025</t>
  </si>
  <si>
    <t>CUST-6263</t>
  </si>
  <si>
    <t>Prime Tables 377</t>
  </si>
  <si>
    <t>ORD-2025-10105</t>
  </si>
  <si>
    <t>02/08/2025</t>
  </si>
  <si>
    <t>CUST-1576</t>
  </si>
  <si>
    <t>Prime Labels 807</t>
  </si>
  <si>
    <t>ORD-2024-10106</t>
  </si>
  <si>
    <t>29-06-2024</t>
  </si>
  <si>
    <t>CUST-6540</t>
  </si>
  <si>
    <t>Eco Tables 575</t>
  </si>
  <si>
    <t>ORD-2024-10107</t>
  </si>
  <si>
    <t>28 Feb 2024</t>
  </si>
  <si>
    <t>CUST-4008</t>
  </si>
  <si>
    <t>Eco Paper 918</t>
  </si>
  <si>
    <t>ORD-2024-10108</t>
  </si>
  <si>
    <t>2024-11-04</t>
  </si>
  <si>
    <t>CUST-6604</t>
  </si>
  <si>
    <t>Prime Furnishings 952</t>
  </si>
  <si>
    <t>ORD-2024-10109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</si>
  <si>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</si>
  <si>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</si>
  <si>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</si>
  <si>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</si>
  <si>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</si>
  <si>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</si>
  <si>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</si>
  <si>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</si>
  <si>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</si>
  <si>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</si>
  <si>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</si>
  <si>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</si>
  <si>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</si>
  <si>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</si>
  <si>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</si>
  <si>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</si>
  <si>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</si>
  <si>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</si>
  <si>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</si>
  <si>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</si>
  <si>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</si>
  <si>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</si>
  <si>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</si>
  <si>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</si>
  <si>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30 Sep 2024</t>
  </si>
  <si>
    <t>CUST-2927</t>
  </si>
  <si>
    <t>Eco Accessories 452</t>
  </si>
  <si>
    <t>ORD-2024-10116</t>
  </si>
  <si>
    <t>01-01-2025</t>
  </si>
  <si>
    <t>CUST-7764</t>
  </si>
  <si>
    <t>Classic Binders 203</t>
  </si>
  <si>
    <t>ORD-2025-10117</t>
  </si>
  <si>
    <t>19 Feb 2025</t>
  </si>
  <si>
    <t>CUST-3632</t>
  </si>
  <si>
    <t>Basic Binders 859</t>
  </si>
  <si>
    <t>ORD-2024-10118</t>
  </si>
  <si>
    <t>17 Feb 2024</t>
  </si>
  <si>
    <t>CUST-9608</t>
  </si>
  <si>
    <t>Elite Machines 705</t>
  </si>
  <si>
    <t>70%</t>
  </si>
  <si>
    <t>ORD-2024-10119</t>
  </si>
  <si>
    <t>2024-06-18</t>
  </si>
  <si>
    <t>CUST-9135</t>
  </si>
  <si>
    <t>Vikram  Iyer</t>
  </si>
  <si>
    <t>Pro Copiers 208</t>
  </si>
  <si>
    <t>ORD-2024-10120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</si>
  <si>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</si>
  <si>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</si>
  <si>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</si>
  <si>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</si>
  <si>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</si>
  <si>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</si>
  <si>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</si>
  <si>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</si>
  <si>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</si>
  <si>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</si>
  <si>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</si>
  <si>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</si>
  <si>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</si>
  <si>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</si>
  <si>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</si>
  <si>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</si>
  <si>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</si>
  <si>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</si>
  <si>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</si>
  <si>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</si>
  <si>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</si>
  <si>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</si>
  <si>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</si>
  <si>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</si>
  <si>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</si>
  <si>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</si>
  <si>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</si>
  <si>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</si>
  <si>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18-07-2025</t>
  </si>
  <si>
    <t>CUST-7924</t>
  </si>
  <si>
    <t>Basic Tables 753</t>
  </si>
  <si>
    <t>ORD-2025-10127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</si>
  <si>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</si>
  <si>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</si>
  <si>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</si>
  <si>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</si>
  <si>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</si>
  <si>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</si>
  <si>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</si>
  <si>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</si>
  <si>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</si>
  <si>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</si>
  <si>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</si>
  <si>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</si>
  <si>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</si>
  <si>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</si>
  <si>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</si>
  <si>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</si>
  <si>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</si>
  <si>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</si>
  <si>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</si>
  <si>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</si>
  <si>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</si>
  <si>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</si>
  <si>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</si>
  <si>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</si>
  <si>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</si>
  <si>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</si>
  <si>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</si>
  <si>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</si>
  <si>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</si>
  <si>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</si>
  <si>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12/18/2024</t>
  </si>
  <si>
    <t>CUST-9441</t>
  </si>
  <si>
    <t>Prime Phones 419</t>
  </si>
  <si>
    <t>ORD-2025-10135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</si>
  <si>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</si>
  <si>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</si>
  <si>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</si>
  <si>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</si>
  <si>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</si>
  <si>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</si>
  <si>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</si>
  <si>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</si>
  <si>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15-02-2025</t>
  </si>
  <si>
    <t>CUST-3350</t>
  </si>
  <si>
    <t>Max Binders 362</t>
  </si>
  <si>
    <t>Standard  Class</t>
  </si>
  <si>
    <t>ORD-2025-10138</t>
  </si>
  <si>
    <t>2025-01-09</t>
  </si>
  <si>
    <t>CUST-7932</t>
  </si>
  <si>
    <t>Prime Chairs 261</t>
  </si>
  <si>
    <t>ORD-2024-10139</t>
  </si>
  <si>
    <t>26-01-2024</t>
  </si>
  <si>
    <t>CUST-7173</t>
  </si>
  <si>
    <t>Basic Machines 185</t>
  </si>
  <si>
    <t>ORD-2025-10140</t>
  </si>
  <si>
    <t>07-03-2025</t>
  </si>
  <si>
    <t>CUST-4225</t>
  </si>
  <si>
    <t>Basic Labels 509</t>
  </si>
  <si>
    <t>ORD-2024-10141</t>
  </si>
  <si>
    <t>01 Jun 2024</t>
  </si>
  <si>
    <t>CUST-2149</t>
  </si>
  <si>
    <t>Elite Bookcases 696</t>
  </si>
  <si>
    <t>ORD-2024-10142</t>
  </si>
  <si>
    <t>2024-03-29</t>
  </si>
  <si>
    <t>CUST-3314</t>
  </si>
  <si>
    <t>Elite Bookcases 772</t>
  </si>
  <si>
    <t>ORD-2024-10143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</si>
  <si>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</si>
  <si>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</si>
  <si>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</si>
  <si>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</si>
  <si>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</si>
  <si>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</si>
  <si>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</si>
  <si>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</si>
  <si>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</si>
  <si>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</si>
  <si>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</si>
  <si>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</si>
  <si>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04/13/2025</t>
  </si>
  <si>
    <t>CUST-6161</t>
  </si>
  <si>
    <t>Smart Paper 899</t>
  </si>
  <si>
    <t>ORD-2025-10147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</si>
  <si>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</si>
  <si>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</si>
  <si>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</si>
  <si>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</si>
  <si>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</si>
  <si>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</si>
  <si>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</si>
  <si>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</si>
  <si>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</si>
  <si>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</si>
  <si>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</si>
  <si>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</si>
  <si>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</si>
  <si>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</si>
  <si>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</si>
  <si>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</si>
  <si>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</si>
  <si>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</si>
  <si>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2024-03-12</t>
  </si>
  <si>
    <t>CUST-4661</t>
  </si>
  <si>
    <t>Max Bookcases 595</t>
  </si>
  <si>
    <t>ORD-2024-10152</t>
  </si>
  <si>
    <t>06/27/2024</t>
  </si>
  <si>
    <t>CUST-6011</t>
  </si>
  <si>
    <t>Max Copiers 992</t>
  </si>
  <si>
    <t>ORD-2024-10153</t>
  </si>
  <si>
    <t>06/17/2024</t>
  </si>
  <si>
    <t>CUST-6160</t>
  </si>
  <si>
    <t>Pro Tables 407</t>
  </si>
  <si>
    <t>ORD-2025-10154</t>
  </si>
  <si>
    <t>2025-09-25</t>
  </si>
  <si>
    <t>CUST-6971</t>
  </si>
  <si>
    <t>Prime Labels 559</t>
  </si>
  <si>
    <t>ORD-2024-10155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</si>
  <si>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</si>
  <si>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</si>
  <si>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</si>
  <si>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</si>
  <si>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</si>
  <si>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</si>
  <si>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 Mar 2025</t>
  </si>
  <si>
    <t>CUST-4058</t>
  </si>
  <si>
    <t>Eco Machines 657</t>
  </si>
  <si>
    <t>ORD-2024-10158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</si>
  <si>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</si>
  <si>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</si>
  <si>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</si>
  <si>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</si>
  <si>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</si>
  <si>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</si>
  <si>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</si>
  <si>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</si>
  <si>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</si>
  <si>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04-02-2025</t>
  </si>
  <si>
    <t>CUST-7717</t>
  </si>
  <si>
    <t>Elite Chairs 998</t>
  </si>
  <si>
    <t>ORD-2025-10161</t>
  </si>
  <si>
    <t>10/06/2025</t>
  </si>
  <si>
    <t>CUST-4932</t>
  </si>
  <si>
    <t>Max Paper 113</t>
  </si>
  <si>
    <t>ORD-2025-10162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</si>
  <si>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</si>
  <si>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</si>
  <si>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</si>
  <si>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</si>
  <si>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</si>
  <si>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</si>
  <si>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</si>
  <si>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</si>
  <si>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</si>
  <si>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</si>
  <si>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CUST-2548</t>
  </si>
  <si>
    <t>Elite Tables 389</t>
  </si>
  <si>
    <t>ORD-2025-10165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</si>
  <si>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</si>
  <si>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</si>
  <si>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</si>
  <si>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</si>
  <si>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</si>
  <si>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</si>
  <si>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</si>
  <si>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</si>
  <si>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</si>
  <si>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</si>
  <si>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</si>
  <si>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</si>
  <si>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</si>
  <si>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</si>
  <si>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</si>
  <si>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</si>
  <si>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</si>
  <si>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</si>
  <si>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CUST-9756</t>
  </si>
  <si>
    <t>Eco Accessories 590</t>
  </si>
  <si>
    <t>ORD-2025-10170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</si>
  <si>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</si>
  <si>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</si>
  <si>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</si>
  <si>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</si>
  <si>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</si>
  <si>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</si>
  <si>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</si>
  <si>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</si>
  <si>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</si>
  <si>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</si>
  <si>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</si>
  <si>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</si>
  <si>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</si>
  <si>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</si>
  <si>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</si>
  <si>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</si>
  <si>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</si>
  <si>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</si>
  <si>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</si>
  <si>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</si>
  <si>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</si>
  <si>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</si>
  <si>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</si>
  <si>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</si>
  <si>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</si>
  <si>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</si>
  <si>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</si>
  <si>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</si>
  <si>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</si>
  <si>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</si>
  <si>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</si>
  <si>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03/26/2025</t>
  </si>
  <si>
    <t>CUST-3027</t>
  </si>
  <si>
    <t>Pro Bookcases 612</t>
  </si>
  <si>
    <t>ORD-2024-10178</t>
  </si>
  <si>
    <t>06/03/2024</t>
  </si>
  <si>
    <t>CUST-4399</t>
  </si>
  <si>
    <t>Classic Art 573</t>
  </si>
  <si>
    <t>ORD-2024-10179</t>
  </si>
  <si>
    <t>2024-09-30</t>
  </si>
  <si>
    <t>CUST-3092</t>
  </si>
  <si>
    <t>Eco Art 854</t>
  </si>
  <si>
    <t>ORD-2024-10180</t>
  </si>
  <si>
    <t>03/19/2024</t>
  </si>
  <si>
    <t>CUST-1778</t>
  </si>
  <si>
    <t>Classic Furnishings 996</t>
  </si>
  <si>
    <t>ORD-2024-10181</t>
  </si>
  <si>
    <t>26-08-2024</t>
  </si>
  <si>
    <t>CUST-3787</t>
  </si>
  <si>
    <t>Prime Binders 735</t>
  </si>
  <si>
    <t>ORD-2025-10182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</si>
  <si>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</si>
  <si>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</si>
  <si>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</si>
  <si>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</si>
  <si>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</si>
  <si>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</si>
  <si>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</si>
  <si>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</si>
  <si>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</si>
  <si>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</si>
  <si>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</si>
  <si>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</si>
  <si>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</si>
  <si>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</si>
  <si>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</si>
  <si>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</si>
  <si>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</si>
  <si>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</si>
  <si>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</si>
  <si>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</si>
  <si>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</si>
  <si>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</si>
  <si>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02 May 2025</t>
  </si>
  <si>
    <t>CUST-3109</t>
  </si>
  <si>
    <t>Pro Chairs 844</t>
  </si>
  <si>
    <t>ORD-2025-10189</t>
  </si>
  <si>
    <t>28 May 2025</t>
  </si>
  <si>
    <t>CUST-3422</t>
  </si>
  <si>
    <t>Elite Bookcases 883</t>
  </si>
  <si>
    <t>ORD-2025-10190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</si>
  <si>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</si>
  <si>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</si>
  <si>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</si>
  <si>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</si>
  <si>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</si>
  <si>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</si>
  <si>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</si>
  <si>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</si>
  <si>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</si>
  <si>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</si>
  <si>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CUST-7410</t>
  </si>
  <si>
    <t>Prime Bookcases 602</t>
  </si>
  <si>
    <t>ORD-2024-10193</t>
  </si>
  <si>
    <t>12/16/2024</t>
  </si>
  <si>
    <t>CUST-7115</t>
  </si>
  <si>
    <t>Eco Chairs 438</t>
  </si>
  <si>
    <t>ORD-2024-10194</t>
  </si>
  <si>
    <t>28-06-2024</t>
  </si>
  <si>
    <t>CUST-9853</t>
  </si>
  <si>
    <t>Prime Copiers 142</t>
  </si>
  <si>
    <t>ORD-2025-10195</t>
  </si>
  <si>
    <t>01/31/2025</t>
  </si>
  <si>
    <t>CUST-3637</t>
  </si>
  <si>
    <t>WEST</t>
  </si>
  <si>
    <t>Prime Furnishings 433</t>
  </si>
  <si>
    <t>ORD-2025-10196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</si>
  <si>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</si>
  <si>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</si>
  <si>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</si>
  <si>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</si>
  <si>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</si>
  <si>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</si>
  <si>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</si>
  <si>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</si>
  <si>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</si>
  <si>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</si>
  <si>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</si>
  <si>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</si>
  <si>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</si>
  <si>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</si>
  <si>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</si>
  <si>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</si>
  <si>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</si>
  <si>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</si>
  <si>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</si>
  <si>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</si>
  <si>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</si>
  <si>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</si>
  <si>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</si>
  <si>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</si>
  <si>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08/03/2025</t>
  </si>
  <si>
    <t>CUST-8005</t>
  </si>
  <si>
    <t>Basic Labels 511</t>
  </si>
  <si>
    <t>ORD-2025-10203</t>
  </si>
  <si>
    <t>28 Mar 2025</t>
  </si>
  <si>
    <t>CUST-9378</t>
  </si>
  <si>
    <t>Prime Accessories 733</t>
  </si>
  <si>
    <t>ORD-2024-10204</t>
  </si>
  <si>
    <t>2024-03-30</t>
  </si>
  <si>
    <t>CUST-3384</t>
  </si>
  <si>
    <t>Max Accessories 186</t>
  </si>
  <si>
    <t>ORD-2025-10205</t>
  </si>
  <si>
    <t>2025-07-23</t>
  </si>
  <si>
    <t>CUST-1986</t>
  </si>
  <si>
    <t>Elite Tables 318</t>
  </si>
  <si>
    <t>ORD-2025-10206</t>
  </si>
  <si>
    <t>04/26/2025</t>
  </si>
  <si>
    <t>CUST-3338</t>
  </si>
  <si>
    <t>Smart Labels 354</t>
  </si>
  <si>
    <t>ORD-2025-10207</t>
  </si>
  <si>
    <t>CUST-2343</t>
  </si>
  <si>
    <t>Pro Furnishings 981</t>
  </si>
  <si>
    <t>ORD-2024-10208</t>
  </si>
  <si>
    <t>2024-07-16</t>
  </si>
  <si>
    <t>CUST-3362</t>
  </si>
  <si>
    <t>Eco Bookcases 671</t>
  </si>
  <si>
    <t>ORD-2025-10209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</si>
  <si>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</si>
  <si>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</si>
  <si>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</si>
  <si>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</si>
  <si>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</si>
  <si>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</si>
  <si>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</si>
  <si>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</si>
  <si>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</si>
  <si>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</si>
  <si>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</si>
  <si>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</si>
  <si>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</si>
  <si>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</si>
  <si>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</si>
  <si>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</si>
  <si>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</si>
  <si>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</si>
  <si>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</si>
  <si>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</si>
  <si>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</si>
  <si>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</si>
  <si>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</si>
  <si>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</si>
  <si>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21-05-2024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</si>
  <si>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</si>
  <si>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</si>
  <si>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</si>
  <si>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</si>
  <si>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</si>
  <si>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</si>
  <si>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</si>
  <si>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</si>
  <si>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</si>
  <si>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</si>
  <si>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</si>
  <si>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</si>
  <si>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</si>
  <si>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</si>
  <si>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04/08/2025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</si>
  <si>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</si>
  <si>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</si>
  <si>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</si>
  <si>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</si>
  <si>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</si>
  <si>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</si>
  <si>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</si>
  <si>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</si>
  <si>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</si>
  <si>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</si>
  <si>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</si>
  <si>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</si>
  <si>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</si>
  <si>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</si>
  <si>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</si>
  <si>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</si>
  <si>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</si>
  <si>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</si>
  <si>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</si>
  <si>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</si>
  <si>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</si>
  <si>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CUST-4583</t>
  </si>
  <si>
    <t>Prime Storage 818</t>
  </si>
  <si>
    <t>ORD-2025-10224</t>
  </si>
  <si>
    <t>02/26/2025</t>
  </si>
  <si>
    <t>CUST-5319</t>
  </si>
  <si>
    <t>Elite Furnishings 449</t>
  </si>
  <si>
    <t>ORD-2025-10225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</si>
  <si>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</si>
  <si>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</si>
  <si>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</si>
  <si>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</si>
  <si>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</si>
  <si>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</si>
  <si>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</si>
  <si>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</si>
  <si>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</si>
  <si>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CUST-2545</t>
  </si>
  <si>
    <t>Max Copiers 363</t>
  </si>
  <si>
    <t>ORD-2024-10228</t>
  </si>
  <si>
    <t>12 Jul 2024</t>
  </si>
  <si>
    <t>CUST-2819</t>
  </si>
  <si>
    <t>SMALL BUSINESS</t>
  </si>
  <si>
    <t>Prime Binders 507</t>
  </si>
  <si>
    <t>ORD-2024-10229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</si>
  <si>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</si>
  <si>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</si>
  <si>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</si>
  <si>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</si>
  <si>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</si>
  <si>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</si>
  <si>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</si>
  <si>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</si>
  <si>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</si>
  <si>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</si>
  <si>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</si>
  <si>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</si>
  <si>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</si>
  <si>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05/02/2024</t>
  </si>
  <si>
    <t>CUST-9139</t>
  </si>
  <si>
    <t>Office  Supplies</t>
  </si>
  <si>
    <t>Max Labels 370</t>
  </si>
  <si>
    <t>ORD-2025-10233</t>
  </si>
  <si>
    <t>2025-06-10</t>
  </si>
  <si>
    <t>CUST-5341</t>
  </si>
  <si>
    <t>Classic Phones 530</t>
  </si>
  <si>
    <t>ORD-2024-10234</t>
  </si>
  <si>
    <t>10/14/2024</t>
  </si>
  <si>
    <t>CUST-3710</t>
  </si>
  <si>
    <t>Smart Bookcases 328</t>
  </si>
  <si>
    <t>ORD-2024-10235</t>
  </si>
  <si>
    <t>03 Sep 2024</t>
  </si>
  <si>
    <t>CUST-9754</t>
  </si>
  <si>
    <t>Eco Furnishings 981</t>
  </si>
  <si>
    <t>ORD-2024-10236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</si>
  <si>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</si>
  <si>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</si>
  <si>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</si>
  <si>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</si>
  <si>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</si>
  <si>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</si>
  <si>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</si>
  <si>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</si>
  <si>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</si>
  <si>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</si>
  <si>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</si>
  <si>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</si>
  <si>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01/17/2024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</si>
  <si>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</si>
  <si>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</si>
  <si>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</si>
  <si>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</si>
  <si>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</si>
  <si>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</si>
  <si>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</si>
  <si>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</si>
  <si>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</si>
  <si>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06-07-2025</t>
  </si>
  <si>
    <t>CUST-6949</t>
  </si>
  <si>
    <t>Basic Storage 737</t>
  </si>
  <si>
    <t>ORD-2025-10243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</si>
  <si>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</si>
  <si>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</si>
  <si>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</si>
  <si>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</si>
  <si>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</si>
  <si>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</si>
  <si>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</si>
  <si>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</si>
  <si>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</si>
  <si>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</si>
  <si>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</si>
  <si>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</si>
  <si>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</si>
  <si>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</si>
  <si>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</si>
  <si>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</si>
  <si>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</si>
  <si>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</si>
  <si>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</si>
  <si>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</si>
  <si>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</si>
  <si>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01 Aug 2024</t>
  </si>
  <si>
    <t>CUST-6663</t>
  </si>
  <si>
    <t>Smart Accessories 572</t>
  </si>
  <si>
    <t>ORD-2024-10249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</si>
  <si>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</si>
  <si>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</si>
  <si>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</si>
  <si>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</si>
  <si>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</si>
  <si>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</si>
  <si>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</si>
  <si>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02/27/2024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</si>
  <si>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</si>
  <si>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</si>
  <si>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</si>
  <si>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</si>
  <si>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</si>
  <si>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</si>
  <si>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</si>
  <si>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</si>
  <si>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</si>
  <si>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09/13/2024</t>
  </si>
  <si>
    <t>CUST-5394</t>
  </si>
  <si>
    <t>Classic Phones 442</t>
  </si>
  <si>
    <t>ORD-2025-10255</t>
  </si>
  <si>
    <t>03-01-2025</t>
  </si>
  <si>
    <t>CUST-6853</t>
  </si>
  <si>
    <t>Elite Accessories 978</t>
  </si>
  <si>
    <t>ORD-2025-10256</t>
  </si>
  <si>
    <t>02/10/2025</t>
  </si>
  <si>
    <t>CUST-1549</t>
  </si>
  <si>
    <t>Eco Phones 132</t>
  </si>
  <si>
    <t>ORD-2024-10257</t>
  </si>
  <si>
    <t>CUST-8411</t>
  </si>
  <si>
    <t>Prime Tables 481</t>
  </si>
  <si>
    <t>ORD-2025-10258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</si>
  <si>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</si>
  <si>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</si>
  <si>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</si>
  <si>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</si>
  <si>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</si>
  <si>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</si>
  <si>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</si>
  <si>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</si>
  <si>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29 Jun 2024</t>
  </si>
  <si>
    <t>CUST-5174</t>
  </si>
  <si>
    <t>Prime Machines 793</t>
  </si>
  <si>
    <t>ORD-2025-10261</t>
  </si>
  <si>
    <t>09/27/2025</t>
  </si>
  <si>
    <t>CUST-3543</t>
  </si>
  <si>
    <t>Elite Binders 827</t>
  </si>
  <si>
    <t>ORD-2025-10262</t>
  </si>
  <si>
    <t>06/24/2025</t>
  </si>
  <si>
    <t>CUST-7623</t>
  </si>
  <si>
    <t>Prime Labels 326</t>
  </si>
  <si>
    <t>ORD-2025-10263</t>
  </si>
  <si>
    <t>01 Jun 2025</t>
  </si>
  <si>
    <t>Eco Phones 245</t>
  </si>
  <si>
    <t>ORD-2025-10264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</si>
  <si>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</si>
  <si>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</si>
  <si>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</si>
  <si>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</si>
  <si>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</si>
  <si>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</si>
  <si>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</si>
  <si>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</si>
  <si>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</si>
  <si>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</si>
  <si>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</si>
  <si>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</si>
  <si>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</si>
  <si>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</si>
  <si>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</si>
  <si>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</si>
  <si>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</si>
  <si>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</si>
  <si>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</si>
  <si>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</si>
  <si>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</si>
  <si>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</si>
  <si>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</si>
  <si>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</si>
  <si>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</si>
  <si>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</si>
  <si>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</si>
  <si>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</si>
  <si>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</si>
  <si>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</si>
  <si>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</si>
  <si>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</si>
  <si>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</si>
  <si>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</si>
  <si>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</si>
  <si>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</si>
  <si>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24 Aug 2024</t>
  </si>
  <si>
    <t>CUST-7389</t>
  </si>
  <si>
    <t>Eco Chairs 314</t>
  </si>
  <si>
    <t>ORD-2025-10274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</si>
  <si>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</si>
  <si>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</si>
  <si>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</si>
  <si>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</si>
  <si>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</si>
  <si>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</si>
  <si>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</si>
  <si>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</si>
  <si>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</si>
  <si>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</si>
  <si>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</si>
  <si>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</si>
  <si>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</si>
  <si>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</si>
  <si>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</si>
  <si>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</si>
  <si>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</si>
  <si>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</si>
  <si>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</si>
  <si>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</si>
  <si>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</si>
  <si>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</si>
  <si>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</si>
  <si>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</si>
  <si>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10 Apr 2024</t>
  </si>
  <si>
    <t>CUST-4571</t>
  </si>
  <si>
    <t>Max Storage 564</t>
  </si>
  <si>
    <t>ORD-2024-10281</t>
  </si>
  <si>
    <t>26-12-2024</t>
  </si>
  <si>
    <t>CUST-4098</t>
  </si>
  <si>
    <t>Prime Copiers 961</t>
  </si>
  <si>
    <t>ORD-2025-10282</t>
  </si>
  <si>
    <t>07/27/2025</t>
  </si>
  <si>
    <t>CUST-2052</t>
  </si>
  <si>
    <t>Basic Binders 637</t>
  </si>
  <si>
    <t>ORD-2024-10283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</si>
  <si>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</si>
  <si>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</si>
  <si>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</si>
  <si>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</si>
  <si>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</si>
  <si>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</si>
  <si>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</si>
  <si>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</si>
  <si>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</si>
  <si>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</si>
  <si>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</si>
  <si>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</si>
  <si>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</si>
  <si>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</si>
  <si>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</si>
  <si>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</si>
  <si>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</si>
  <si>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</si>
  <si>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</si>
  <si>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</si>
  <si>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</si>
  <si>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</si>
  <si>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</si>
  <si>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</si>
  <si>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</si>
  <si>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</si>
  <si>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</si>
  <si>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</si>
  <si>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</si>
  <si>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</si>
  <si>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</si>
  <si>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</si>
  <si>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</si>
  <si>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</si>
  <si>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</si>
  <si>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</si>
  <si>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</si>
  <si>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</si>
  <si>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</si>
  <si>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2024-04-10</t>
  </si>
  <si>
    <t>CUST-2860</t>
  </si>
  <si>
    <t>Eco Binders 153</t>
  </si>
  <si>
    <t>ORD-2025-10293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</si>
  <si>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</si>
  <si>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</si>
  <si>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</si>
  <si>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</si>
  <si>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</si>
  <si>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</si>
  <si>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</si>
  <si>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</si>
  <si>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</si>
  <si>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</si>
  <si>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</si>
  <si>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</si>
  <si>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</si>
  <si>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</si>
  <si>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</si>
  <si>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</si>
  <si>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</si>
  <si>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</si>
  <si>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</si>
  <si>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05/26/2025</t>
  </si>
  <si>
    <t>CUST-7629</t>
  </si>
  <si>
    <t>Basic Furnishings 617</t>
  </si>
  <si>
    <t>ORD-2024-10298</t>
  </si>
  <si>
    <t>06-11-2024</t>
  </si>
  <si>
    <t>CUST-6724</t>
  </si>
  <si>
    <t>Prime Copiers 669</t>
  </si>
  <si>
    <t>ORD-2025-10299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</si>
  <si>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</si>
  <si>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</si>
  <si>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</si>
  <si>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</si>
  <si>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</si>
  <si>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</si>
  <si>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</si>
  <si>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</si>
  <si>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</si>
  <si>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</si>
  <si>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</si>
  <si>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</si>
  <si>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</si>
  <si>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</si>
  <si>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</si>
  <si>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</si>
  <si>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</si>
  <si>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</si>
  <si>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</si>
  <si>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</si>
  <si>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</si>
  <si>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</si>
  <si>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</si>
  <si>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</si>
  <si>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</si>
  <si>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2024-03-13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</si>
  <si>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</si>
  <si>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</si>
  <si>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</si>
  <si>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</si>
  <si>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</si>
  <si>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</si>
  <si>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</si>
  <si>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</si>
  <si>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</si>
  <si>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19 Jul 2025</t>
  </si>
  <si>
    <t>CUST-4153</t>
  </si>
  <si>
    <t>Basic Tables 911</t>
  </si>
  <si>
    <t>PENDING</t>
  </si>
  <si>
    <t>ORD-2025-10309</t>
  </si>
  <si>
    <t>2025-06-19</t>
  </si>
  <si>
    <t>CUST-6727</t>
  </si>
  <si>
    <t>Classic Tables 224</t>
  </si>
  <si>
    <t>ORD-2024-10310</t>
  </si>
  <si>
    <t>CUST-8860</t>
  </si>
  <si>
    <t>Prime Tables 214</t>
  </si>
  <si>
    <t>ORD-2024-10311</t>
  </si>
  <si>
    <t>08-07-2024</t>
  </si>
  <si>
    <t>CUST-3784</t>
  </si>
  <si>
    <t>Max Machines 988</t>
  </si>
  <si>
    <t>ORD-2024-10312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</si>
  <si>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</si>
  <si>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</si>
  <si>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</si>
  <si>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</si>
  <si>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</si>
  <si>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</si>
  <si>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</si>
  <si>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</si>
  <si>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</si>
  <si>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</si>
  <si>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</si>
  <si>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</si>
  <si>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</si>
  <si>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</si>
  <si>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</si>
  <si>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</si>
  <si>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</si>
  <si>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</si>
  <si>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</si>
  <si>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</si>
  <si>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</si>
  <si>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</si>
  <si>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</si>
  <si>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04 Sep 2025</t>
  </si>
  <si>
    <t>CUST-7992</t>
  </si>
  <si>
    <t>Pro Tables 778</t>
  </si>
  <si>
    <t>ORD-2024-10319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</si>
  <si>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</si>
  <si>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</si>
  <si>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</si>
  <si>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</si>
  <si>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</si>
  <si>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</si>
  <si>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</si>
  <si>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</si>
  <si>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</si>
  <si>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12/06/2024</t>
  </si>
  <si>
    <t>CUST-4667</t>
  </si>
  <si>
    <t>Classic Art 299</t>
  </si>
  <si>
    <t>ORD-2024-10322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</si>
  <si>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</si>
  <si>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</si>
  <si>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</si>
  <si>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</si>
  <si>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</si>
  <si>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</si>
  <si>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</si>
  <si>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</si>
  <si>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</si>
  <si>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</si>
  <si>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</si>
  <si>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</si>
  <si>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CUST-7212</t>
  </si>
  <si>
    <t>Basic Labels 102</t>
  </si>
  <si>
    <t>ORD-2025-10326</t>
  </si>
  <si>
    <t>2025-09-22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</si>
  <si>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</si>
  <si>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</si>
  <si>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</si>
  <si>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</si>
  <si>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</si>
  <si>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</si>
  <si>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</si>
  <si>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</si>
  <si>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</si>
  <si>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</si>
  <si>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</si>
  <si>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</si>
  <si>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</si>
  <si>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</si>
  <si>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</si>
  <si>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</si>
  <si>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</si>
  <si>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</si>
  <si>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</si>
  <si>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</si>
  <si>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</si>
  <si>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</si>
  <si>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</si>
  <si>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</si>
  <si>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</si>
  <si>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</si>
  <si>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</si>
  <si>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</si>
  <si>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</si>
  <si>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2025-06-27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</si>
  <si>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</si>
  <si>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</si>
  <si>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</si>
  <si>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</si>
  <si>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</si>
  <si>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</si>
  <si>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</si>
  <si>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</si>
  <si>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</si>
  <si>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</si>
  <si>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</si>
  <si>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</si>
  <si>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</si>
  <si>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</si>
  <si>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18 Aug 2024</t>
  </si>
  <si>
    <t>CUST-4599</t>
  </si>
  <si>
    <t>Classic Labels 206</t>
  </si>
  <si>
    <t>ORD-2024-10339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</si>
  <si>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</si>
  <si>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</si>
  <si>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</si>
  <si>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</si>
  <si>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</si>
  <si>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</si>
  <si>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</si>
  <si>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01/29/2024</t>
  </si>
  <si>
    <t>CUST-6291</t>
  </si>
  <si>
    <t>Smart Binders 414</t>
  </si>
  <si>
    <t>ORD-2025-10342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</si>
  <si>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</si>
  <si>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</si>
  <si>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</si>
  <si>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</si>
  <si>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</si>
  <si>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</si>
  <si>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</si>
  <si>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</si>
  <si>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</si>
  <si>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</si>
  <si>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</si>
  <si>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</si>
  <si>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</si>
  <si>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</si>
  <si>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</si>
  <si>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</si>
  <si>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</si>
  <si>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</si>
  <si>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</si>
  <si>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</si>
  <si>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</si>
  <si>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</si>
  <si>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</si>
  <si>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</si>
  <si>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</si>
  <si>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</si>
  <si>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</si>
  <si>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</si>
  <si>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</si>
  <si>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</si>
  <si>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</si>
  <si>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</si>
  <si>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</si>
  <si>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</si>
  <si>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</si>
  <si>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</si>
  <si>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</si>
  <si>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</si>
  <si>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</si>
  <si>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</si>
  <si>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</si>
  <si>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</si>
  <si>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</si>
  <si>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</si>
  <si>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</si>
  <si>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</si>
  <si>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</si>
  <si>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</si>
  <si>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</si>
  <si>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</si>
  <si>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</si>
  <si>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</si>
  <si>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</si>
  <si>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</si>
  <si>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</si>
  <si>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</si>
  <si>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</si>
  <si>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</si>
  <si>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</si>
  <si>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</si>
  <si>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</si>
  <si>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</si>
  <si>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</si>
  <si>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</si>
  <si>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</si>
  <si>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</si>
  <si>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</si>
  <si>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</si>
  <si>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</si>
  <si>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</si>
  <si>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</si>
  <si>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</si>
  <si>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</si>
  <si>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</si>
  <si>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</si>
  <si>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</si>
  <si>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</si>
  <si>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</si>
  <si>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</si>
  <si>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</si>
  <si>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</si>
  <si>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</si>
  <si>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</si>
  <si>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</si>
  <si>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</si>
  <si>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</si>
  <si>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</si>
  <si>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</si>
  <si>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07/12/2025</t>
  </si>
  <si>
    <t>CUST-1832</t>
  </si>
  <si>
    <t>Smart Tables 943</t>
  </si>
  <si>
    <t>ORD-2025-10365</t>
  </si>
  <si>
    <t>2025-03-24</t>
  </si>
  <si>
    <t>CUST-4452</t>
  </si>
  <si>
    <t>Prime Chairs 101</t>
  </si>
  <si>
    <t>ORD-2024-10366</t>
  </si>
  <si>
    <t>21-06-2024</t>
  </si>
  <si>
    <t>CUST-2203</t>
  </si>
  <si>
    <t>Basic Accessories 774</t>
  </si>
  <si>
    <t>ORD-2025-10367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</si>
  <si>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</si>
  <si>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</si>
  <si>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</si>
  <si>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</si>
  <si>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</si>
  <si>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</si>
  <si>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</si>
  <si>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</si>
  <si>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</si>
  <si>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</si>
  <si>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</si>
  <si>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</si>
  <si>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</si>
  <si>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</si>
  <si>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</si>
  <si>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</si>
  <si>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</si>
  <si>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</si>
  <si>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</si>
  <si>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</si>
  <si>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</si>
  <si>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</si>
  <si>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</si>
  <si>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</si>
  <si>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</si>
  <si>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</si>
  <si>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</si>
  <si>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</si>
  <si>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</si>
  <si>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</si>
  <si>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</si>
  <si>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</si>
  <si>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</si>
  <si>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</si>
  <si>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</si>
  <si>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</si>
  <si>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</si>
  <si>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</si>
  <si>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</si>
  <si>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</si>
  <si>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</si>
  <si>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</si>
  <si>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</si>
  <si>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</si>
  <si>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</si>
  <si>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</si>
  <si>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</si>
  <si>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</si>
  <si>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</si>
  <si>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</si>
  <si>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</si>
  <si>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</si>
  <si>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</si>
  <si>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</si>
  <si>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</si>
  <si>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</si>
  <si>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</si>
  <si>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</si>
  <si>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23-09-2025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</si>
  <si>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</si>
  <si>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</si>
  <si>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</si>
  <si>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</si>
  <si>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</si>
  <si>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</si>
  <si>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</si>
  <si>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</si>
  <si>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</si>
  <si>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</si>
  <si>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</si>
  <si>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</si>
  <si>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</si>
  <si>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</si>
  <si>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</si>
  <si>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</si>
  <si>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</si>
  <si>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</si>
  <si>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</si>
  <si>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</si>
  <si>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</si>
  <si>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</si>
  <si>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</si>
  <si>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</si>
  <si>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</si>
  <si>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18 May 2024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</si>
  <si>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</si>
  <si>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</si>
  <si>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</si>
  <si>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</si>
  <si>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</si>
  <si>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</si>
  <si>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</si>
  <si>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</si>
  <si>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</si>
  <si>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</si>
  <si>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</si>
  <si>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</si>
  <si>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</si>
  <si>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22 Feb 2024</t>
  </si>
  <si>
    <t>CUST-6866</t>
  </si>
  <si>
    <t>Classic Furnishings 746</t>
  </si>
  <si>
    <t>ORD-2024-10394</t>
  </si>
  <si>
    <t>08/29/2024</t>
  </si>
  <si>
    <t>CUST-3160</t>
  </si>
  <si>
    <t>Eco Labels 815</t>
  </si>
  <si>
    <t>ORD-2024-10395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</si>
  <si>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</si>
  <si>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</si>
  <si>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</si>
  <si>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</si>
  <si>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</si>
  <si>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</si>
  <si>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</si>
  <si>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</si>
  <si>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</si>
  <si>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</si>
  <si>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</si>
  <si>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</si>
  <si>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10 Jun 2025</t>
  </si>
  <si>
    <t>CUST-3177</t>
  </si>
  <si>
    <t>Eco Tables 378</t>
  </si>
  <si>
    <t>ORD-2024-10399</t>
  </si>
  <si>
    <t>2024-07-26</t>
  </si>
  <si>
    <t>CUST-4718</t>
  </si>
  <si>
    <t>Elite Machines 523</t>
  </si>
  <si>
    <t>ORD-2025-10400</t>
  </si>
  <si>
    <t>2025-04-29</t>
  </si>
  <si>
    <t>CUST-5647</t>
  </si>
  <si>
    <t>Elite Paper 308</t>
  </si>
  <si>
    <t>ORD-2025-10401</t>
  </si>
  <si>
    <t>2025-06-11</t>
  </si>
  <si>
    <t>CUST-7150</t>
  </si>
  <si>
    <t>Prime Paper 851</t>
  </si>
  <si>
    <t>ORD-2025-10402</t>
  </si>
  <si>
    <t>16-03-2025</t>
  </si>
  <si>
    <t>CUST-6694</t>
  </si>
  <si>
    <t>Classic Tables 151</t>
  </si>
  <si>
    <t>ORD-2024-10403</t>
  </si>
  <si>
    <t>03/22/2024</t>
  </si>
  <si>
    <t>CUST-7680</t>
  </si>
  <si>
    <t>Smart Tables 829</t>
  </si>
  <si>
    <t>ORD-2024-10404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</si>
  <si>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</si>
  <si>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</si>
  <si>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</si>
  <si>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</si>
  <si>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</si>
  <si>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</si>
  <si>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</si>
  <si>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</si>
  <si>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</si>
  <si>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</si>
  <si>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</si>
  <si>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</si>
  <si>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</si>
  <si>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</si>
  <si>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</si>
  <si>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</si>
  <si>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</si>
  <si>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</si>
  <si>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</si>
  <si>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</si>
  <si>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</si>
  <si>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</si>
  <si>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</si>
  <si>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</si>
  <si>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</si>
  <si>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</si>
  <si>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</si>
  <si>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</si>
  <si>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 Apr 2024</t>
  </si>
  <si>
    <t>CUST-9495</t>
  </si>
  <si>
    <t>Smart Tables 100</t>
  </si>
  <si>
    <t>ORD-2025-10412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</si>
  <si>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</si>
  <si>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</si>
  <si>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</si>
  <si>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</si>
  <si>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</si>
  <si>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</si>
  <si>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</si>
  <si>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</si>
  <si>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</si>
  <si>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</si>
  <si>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</si>
  <si>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</si>
  <si>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</si>
  <si>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</si>
  <si>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</si>
  <si>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</si>
  <si>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</si>
  <si>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</si>
  <si>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</si>
  <si>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</si>
  <si>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</si>
  <si>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</si>
  <si>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</si>
  <si>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</si>
  <si>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</si>
  <si>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</si>
  <si>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</si>
  <si>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</si>
  <si>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11/17/2024</t>
  </si>
  <si>
    <t>CUST-7925</t>
  </si>
  <si>
    <t>Elite Copiers 971</t>
  </si>
  <si>
    <t>ORD-2025-10420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</si>
  <si>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</si>
  <si>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</si>
  <si>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</si>
  <si>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</si>
  <si>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</si>
  <si>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</si>
  <si>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</si>
  <si>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</si>
  <si>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19 Jun 2025</t>
  </si>
  <si>
    <t>CUST-2779</t>
  </si>
  <si>
    <t>Elite Binders 943</t>
  </si>
  <si>
    <t>ORD-2025-10423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</si>
  <si>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</si>
  <si>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</si>
  <si>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</si>
  <si>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</si>
  <si>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</si>
  <si>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</si>
  <si>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</si>
  <si>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</si>
  <si>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</si>
  <si>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</si>
  <si>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</si>
  <si>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</si>
  <si>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</si>
  <si>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</si>
  <si>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</si>
  <si>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09/27/2024</t>
  </si>
  <si>
    <t>CUST-9586</t>
  </si>
  <si>
    <t>Pro Labels 903</t>
  </si>
  <si>
    <t>ORD-2024-10427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</si>
  <si>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</si>
  <si>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</si>
  <si>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</si>
  <si>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</si>
  <si>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</si>
  <si>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</si>
  <si>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</si>
  <si>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</si>
  <si>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</si>
  <si>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22 Mar 2025</t>
  </si>
  <si>
    <t>CUST-7626</t>
  </si>
  <si>
    <t>Elite Phones 488</t>
  </si>
  <si>
    <t>ORD-2025-10430</t>
  </si>
  <si>
    <t>08-03-2025</t>
  </si>
  <si>
    <t>CUST-8562</t>
  </si>
  <si>
    <t>Prime Copiers 109</t>
  </si>
  <si>
    <t>ORD-2024-10431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</si>
  <si>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</si>
  <si>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</si>
  <si>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</si>
  <si>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</si>
  <si>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</si>
  <si>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</si>
  <si>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</si>
  <si>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</si>
  <si>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</si>
  <si>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</si>
  <si>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</si>
  <si>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</si>
  <si>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20-04-2024</t>
  </si>
  <si>
    <t>CUST-7066</t>
  </si>
  <si>
    <t>Elite Art 946</t>
  </si>
  <si>
    <t>ORD-2025-10435</t>
  </si>
  <si>
    <t>2025-04-15</t>
  </si>
  <si>
    <t>CUST-2351</t>
  </si>
  <si>
    <t>Eco Accessories 705</t>
  </si>
  <si>
    <t>ORD-2025-10436</t>
  </si>
  <si>
    <t>CUST-7291</t>
  </si>
  <si>
    <t>Max Machines 151</t>
  </si>
  <si>
    <t>ORD-2024-10437</t>
  </si>
  <si>
    <t>21 Jun 2024</t>
  </si>
  <si>
    <t>CUST-4492</t>
  </si>
  <si>
    <t>Max Furnishings 803</t>
  </si>
  <si>
    <t>ORD-2024-10438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</si>
  <si>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</si>
  <si>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</si>
  <si>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</si>
  <si>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</si>
  <si>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</si>
  <si>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</si>
  <si>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</si>
  <si>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</si>
  <si>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</si>
  <si>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</si>
  <si>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</si>
  <si>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</si>
  <si>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</si>
  <si>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</si>
  <si>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</si>
  <si>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</si>
  <si>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</si>
  <si>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</si>
  <si>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</si>
  <si>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</si>
  <si>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</si>
  <si>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</si>
  <si>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</si>
  <si>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</si>
  <si>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</si>
  <si>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</si>
  <si>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</si>
  <si>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</si>
  <si>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CUST-4475</t>
  </si>
  <si>
    <t>Prime Accessories 482</t>
  </si>
  <si>
    <t>ORD-2024-10446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</si>
  <si>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</si>
  <si>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</si>
  <si>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</si>
  <si>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</si>
  <si>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</si>
  <si>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</si>
  <si>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</si>
  <si>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</si>
  <si>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</si>
  <si>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</si>
  <si>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</si>
  <si>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</si>
  <si>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</si>
  <si>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CUST-1932</t>
  </si>
  <si>
    <t>Prime Chairs 631</t>
  </si>
  <si>
    <t>ORD-2024-10450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</si>
  <si>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</si>
  <si>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</si>
  <si>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</si>
  <si>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</si>
  <si>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</si>
  <si>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</si>
  <si>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</si>
  <si>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26-03-2024</t>
  </si>
  <si>
    <t>CUST-3907</t>
  </si>
  <si>
    <t>Classic Paper 272</t>
  </si>
  <si>
    <t>ORD-2024-10453</t>
  </si>
  <si>
    <t>CUST-8796</t>
  </si>
  <si>
    <t>Smart Accessories 149</t>
  </si>
  <si>
    <t>ORD-2025-10454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</si>
  <si>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</si>
  <si>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</si>
  <si>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</si>
  <si>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</si>
  <si>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</si>
  <si>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</si>
  <si>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</si>
  <si>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</si>
  <si>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</si>
  <si>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</si>
  <si>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</si>
  <si>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</si>
  <si>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</si>
  <si>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</si>
  <si>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</si>
  <si>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</si>
  <si>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2024-05-04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</si>
  <si>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</si>
  <si>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</si>
  <si>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</si>
  <si>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</si>
  <si>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</si>
  <si>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</si>
  <si>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</si>
  <si>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</si>
  <si>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</si>
  <si>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06 Oct 2025</t>
  </si>
  <si>
    <t>CUST-5551</t>
  </si>
  <si>
    <t>Eco Copiers 603</t>
  </si>
  <si>
    <t>ORD-2025-10462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</si>
  <si>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</si>
  <si>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</si>
  <si>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</si>
  <si>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</si>
  <si>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</si>
  <si>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</si>
  <si>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</si>
  <si>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</si>
  <si>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</si>
  <si>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</si>
  <si>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</si>
  <si>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03/15/2025</t>
  </si>
  <si>
    <t>CUST-7362</t>
  </si>
  <si>
    <t>Elite Paper 106</t>
  </si>
  <si>
    <t>ORD-2024-10466</t>
  </si>
  <si>
    <t>2024-02-06</t>
  </si>
  <si>
    <t>CUST-1748</t>
  </si>
  <si>
    <t>Eco Labels 914</t>
  </si>
  <si>
    <t>ORD-2024-10467</t>
  </si>
  <si>
    <t>01/08/2024</t>
  </si>
  <si>
    <t>CUST-2725</t>
  </si>
  <si>
    <t>Max Accessories 486</t>
  </si>
  <si>
    <t>ORD-2024-10468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</si>
  <si>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</si>
  <si>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</si>
  <si>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</si>
  <si>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</si>
  <si>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</si>
  <si>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</si>
  <si>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</si>
  <si>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</si>
  <si>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</si>
  <si>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</si>
  <si>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</si>
  <si>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</si>
  <si>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</si>
  <si>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</si>
  <si>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02/15/2024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</si>
  <si>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</si>
  <si>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</si>
  <si>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</si>
  <si>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</si>
  <si>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</si>
  <si>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</si>
  <si>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</si>
  <si>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</si>
  <si>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</si>
  <si>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</si>
  <si>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</si>
  <si>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</si>
  <si>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</si>
  <si>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08 Mar 2025</t>
  </si>
  <si>
    <t>CUST-5712</t>
  </si>
  <si>
    <t>Eco Chairs 365</t>
  </si>
  <si>
    <t>ORD-2024-10477</t>
  </si>
  <si>
    <t>05/14/2024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</si>
  <si>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</si>
  <si>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</si>
  <si>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</si>
  <si>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</si>
  <si>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</si>
  <si>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</si>
  <si>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</si>
  <si>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</si>
  <si>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</si>
  <si>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</si>
  <si>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</si>
  <si>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</si>
  <si>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</si>
  <si>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</si>
  <si>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</si>
  <si>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</si>
  <si>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</si>
  <si>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</si>
  <si>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</si>
  <si>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</si>
  <si>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</si>
  <si>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</si>
  <si>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</si>
  <si>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</si>
  <si>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</si>
  <si>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</si>
  <si>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</si>
  <si>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</si>
  <si>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</si>
  <si>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</si>
  <si>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</si>
  <si>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</si>
  <si>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</si>
  <si>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</si>
  <si>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</si>
  <si>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</si>
  <si>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</si>
  <si>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</si>
  <si>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</si>
  <si>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</si>
  <si>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</si>
  <si>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</si>
  <si>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</si>
  <si>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</si>
  <si>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</si>
  <si>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</si>
  <si>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</si>
  <si>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</si>
  <si>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</si>
  <si>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</si>
  <si>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</si>
  <si>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</si>
  <si>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</si>
  <si>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</si>
  <si>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</si>
  <si>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</si>
  <si>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</si>
  <si>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</si>
  <si>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</si>
  <si>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</si>
  <si>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</si>
  <si>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</si>
  <si>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</si>
  <si>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</si>
  <si>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</si>
  <si>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</si>
  <si>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</si>
  <si>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</si>
  <si>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</si>
  <si>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</si>
  <si>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</si>
  <si>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</si>
  <si>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</si>
  <si>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</si>
  <si>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</si>
  <si>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</si>
  <si>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</si>
  <si>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</si>
  <si>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</si>
  <si>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</si>
  <si>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</si>
  <si>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</si>
  <si>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</si>
  <si>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</si>
  <si>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</si>
  <si>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10 Sep 2025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</si>
  <si>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</si>
  <si>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</si>
  <si>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</si>
  <si>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</si>
  <si>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</si>
  <si>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</si>
  <si>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</si>
  <si>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</si>
  <si>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</si>
  <si>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</si>
  <si>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</si>
  <si>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08/17/2024</t>
  </si>
  <si>
    <t>Elite Art 325</t>
  </si>
  <si>
    <t>ORD-2024-10503</t>
  </si>
  <si>
    <t>2024-04-09</t>
  </si>
  <si>
    <t>CUST-1534</t>
  </si>
  <si>
    <t>Prime Copiers 557</t>
  </si>
  <si>
    <t>ORD-2024-10504</t>
  </si>
  <si>
    <t>2024-10-05</t>
  </si>
  <si>
    <t>CUST-7422</t>
  </si>
  <si>
    <t>Smart Phones 674</t>
  </si>
  <si>
    <t>ORD-2025-10505</t>
  </si>
  <si>
    <t>2025-02-17</t>
  </si>
  <si>
    <t>CUST-9693</t>
  </si>
  <si>
    <t>Elite Art 553</t>
  </si>
  <si>
    <t>ORD-2024-10506</t>
  </si>
  <si>
    <t>CUST-5458</t>
  </si>
  <si>
    <t>Classic Art 339</t>
  </si>
  <si>
    <t>ORD-2024-10507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</si>
  <si>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</si>
  <si>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</si>
  <si>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</si>
  <si>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</si>
  <si>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</si>
  <si>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</si>
  <si>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</si>
  <si>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</si>
  <si>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</si>
  <si>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</si>
  <si>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</si>
  <si>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</si>
  <si>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</si>
  <si>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</si>
  <si>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</si>
  <si>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</si>
  <si>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</si>
  <si>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</si>
  <si>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</si>
  <si>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</si>
  <si>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</si>
  <si>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</si>
  <si>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</si>
  <si>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</si>
  <si>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</si>
  <si>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</si>
  <si>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</si>
  <si>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</si>
  <si>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</si>
  <si>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</si>
  <si>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</si>
  <si>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</si>
  <si>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</si>
  <si>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</si>
  <si>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</si>
  <si>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</si>
  <si>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04 Oct 2024</t>
  </si>
  <si>
    <t>CUST-2731</t>
  </si>
  <si>
    <t>Classic Copiers 143</t>
  </si>
  <si>
    <t>ORD-2025-10518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</si>
  <si>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</si>
  <si>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</si>
  <si>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</si>
  <si>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</si>
  <si>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</si>
  <si>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</si>
  <si>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</si>
  <si>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</si>
  <si>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</si>
  <si>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</si>
  <si>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</si>
  <si>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</si>
  <si>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</si>
  <si>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</si>
  <si>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</si>
  <si>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</si>
  <si>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</si>
  <si>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</si>
  <si>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</si>
  <si>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</si>
  <si>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</si>
  <si>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</si>
  <si>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</si>
  <si>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2024-04-03</t>
  </si>
  <si>
    <t>CUST-4653</t>
  </si>
  <si>
    <t>Basic Paper 315</t>
  </si>
  <si>
    <t>ORD-2024-10525</t>
  </si>
  <si>
    <t>01 Dec 2024</t>
  </si>
  <si>
    <t>CUST-3311</t>
  </si>
  <si>
    <t>Basic Chairs 333</t>
  </si>
  <si>
    <t>ORD-2024-10526</t>
  </si>
  <si>
    <t>2024-10-17</t>
  </si>
  <si>
    <t>CUST-2924</t>
  </si>
  <si>
    <t>Prime Chairs 215</t>
  </si>
  <si>
    <t>ORD-2025-10527</t>
  </si>
  <si>
    <t>21 Jul 2025</t>
  </si>
  <si>
    <t>CUST-7198</t>
  </si>
  <si>
    <t>Elite Tables 815</t>
  </si>
  <si>
    <t>ORD-2025-10528</t>
  </si>
  <si>
    <t>2025-10-05</t>
  </si>
  <si>
    <t>CUST-3419</t>
  </si>
  <si>
    <t>Basic Paper 388</t>
  </si>
  <si>
    <t>ORD-2024-10529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</si>
  <si>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</si>
  <si>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</si>
  <si>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</si>
  <si>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</si>
  <si>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</si>
  <si>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</si>
  <si>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</si>
  <si>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</si>
  <si>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</si>
  <si>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</si>
  <si>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</si>
  <si>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</si>
  <si>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</si>
  <si>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</si>
  <si>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</si>
  <si>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</si>
  <si>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</si>
  <si>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</si>
  <si>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</si>
  <si>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</si>
  <si>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</si>
  <si>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2025-05-05</t>
  </si>
  <si>
    <t>CUST-8204</t>
  </si>
  <si>
    <t>Classic Accessories 325</t>
  </si>
  <si>
    <t>ORD-2024-10536</t>
  </si>
  <si>
    <t>21 May 2024</t>
  </si>
  <si>
    <t>CUST-1729</t>
  </si>
  <si>
    <t>Eco Copiers 243</t>
  </si>
  <si>
    <t>ORD-2025-10537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</si>
  <si>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</si>
  <si>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</si>
  <si>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</si>
  <si>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</si>
  <si>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</si>
  <si>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</si>
  <si>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</si>
  <si>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</si>
  <si>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</si>
  <si>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</si>
  <si>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</si>
  <si>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</si>
  <si>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</si>
  <si>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</si>
  <si>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</si>
  <si>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</si>
  <si>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</si>
  <si>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</si>
  <si>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</si>
  <si>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2025-07-09</t>
  </si>
  <si>
    <t>CUST-4188</t>
  </si>
  <si>
    <t>Elite Copiers 831</t>
  </si>
  <si>
    <t>ORD-2024-10543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</si>
  <si>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</si>
  <si>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</si>
  <si>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</si>
  <si>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</si>
  <si>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</si>
  <si>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</si>
  <si>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</si>
  <si>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</si>
  <si>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</si>
  <si>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CUST-2366</t>
  </si>
  <si>
    <t>Smart Art 201</t>
  </si>
  <si>
    <t>ORD-2024-10546</t>
  </si>
  <si>
    <t>30 May 2024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</si>
  <si>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</si>
  <si>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</si>
  <si>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</si>
  <si>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</si>
  <si>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</si>
  <si>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</si>
  <si>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</si>
  <si>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</si>
  <si>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</si>
  <si>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</si>
  <si>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</si>
  <si>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</si>
  <si>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</si>
  <si>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</si>
  <si>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</si>
  <si>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</si>
  <si>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</si>
  <si>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</si>
  <si>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</si>
  <si>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</si>
  <si>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</si>
  <si>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</si>
  <si>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</si>
  <si>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</si>
  <si>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</si>
  <si>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</si>
  <si>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</si>
  <si>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</si>
  <si>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</si>
  <si>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</si>
  <si>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2025-04-28</t>
  </si>
  <si>
    <t>CUST-9241</t>
  </si>
  <si>
    <t>Pro Storage 128</t>
  </si>
  <si>
    <t>ORD-2024-10555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</si>
  <si>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</si>
  <si>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</si>
  <si>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</si>
  <si>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</si>
  <si>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</si>
  <si>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</si>
  <si>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</si>
  <si>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</si>
  <si>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</si>
  <si>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</si>
  <si>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</si>
  <si>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</si>
  <si>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</si>
  <si>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</si>
  <si>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</si>
  <si>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</si>
  <si>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</si>
  <si>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</si>
  <si>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</si>
  <si>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</si>
  <si>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</si>
  <si>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</si>
  <si>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</si>
  <si>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</si>
  <si>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</si>
  <si>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</si>
  <si>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</si>
  <si>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</si>
  <si>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</si>
  <si>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</si>
  <si>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</si>
  <si>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</si>
  <si>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</si>
  <si>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</si>
  <si>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</si>
  <si>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</si>
  <si>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</si>
  <si>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</si>
  <si>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</si>
  <si>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</si>
  <si>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</si>
  <si>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</si>
  <si>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</si>
  <si>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</si>
  <si>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</si>
  <si>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</si>
  <si>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</si>
  <si>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</si>
  <si>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</si>
  <si>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</si>
  <si>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</si>
  <si>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</si>
  <si>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</si>
  <si>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</si>
  <si>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</si>
  <si>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</si>
  <si>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</si>
  <si>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</si>
  <si>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</si>
  <si>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</si>
  <si>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</si>
  <si>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</si>
  <si>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</si>
  <si>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</si>
  <si>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</si>
  <si>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</si>
  <si>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</si>
  <si>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</si>
  <si>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</si>
  <si>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09-01-2024</t>
  </si>
  <si>
    <t>CUST-8633</t>
  </si>
  <si>
    <t>Eco Phones 368</t>
  </si>
  <si>
    <t>ORD-2025-10574</t>
  </si>
  <si>
    <t>09/26/2025</t>
  </si>
  <si>
    <t>CUST-8243</t>
  </si>
  <si>
    <t>Pro Phones 644</t>
  </si>
  <si>
    <t>ORD-2024-10575</t>
  </si>
  <si>
    <t>Smart Machines 566</t>
  </si>
  <si>
    <t>ORD-2025-10576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</si>
  <si>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</si>
  <si>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</si>
  <si>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</si>
  <si>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</si>
  <si>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</si>
  <si>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</si>
  <si>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</si>
  <si>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</si>
  <si>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</si>
  <si>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</si>
  <si>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</si>
  <si>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</si>
  <si>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</si>
  <si>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23-02-2024</t>
  </si>
  <si>
    <t>Elite Copiers 682</t>
  </si>
  <si>
    <t>ORD-2024-10580</t>
  </si>
  <si>
    <t>24 Jun 2024</t>
  </si>
  <si>
    <t>CUST-9617</t>
  </si>
  <si>
    <t>Pro Storage 482</t>
  </si>
  <si>
    <t>ORD-2025-10581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</si>
  <si>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</si>
  <si>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</si>
  <si>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</si>
  <si>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</si>
  <si>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</si>
  <si>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</si>
  <si>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</si>
  <si>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</si>
  <si>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</si>
  <si>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</si>
  <si>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</si>
  <si>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</si>
  <si>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</si>
  <si>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</si>
  <si>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</si>
  <si>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</si>
  <si>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</si>
  <si>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</si>
  <si>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</si>
  <si>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</si>
  <si>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</si>
  <si>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</si>
  <si>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</si>
  <si>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 Apr 2025</t>
  </si>
  <si>
    <t>CUST-8626</t>
  </si>
  <si>
    <t>Prime Binders 249</t>
  </si>
  <si>
    <t>ORD-2025-10588</t>
  </si>
  <si>
    <t>2025-07-31</t>
  </si>
  <si>
    <t>CUST-1013</t>
  </si>
  <si>
    <t>Eco Accessories 948</t>
  </si>
  <si>
    <t>ORD-2025-10589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</si>
  <si>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</si>
  <si>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</si>
  <si>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</si>
  <si>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</si>
  <si>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</si>
  <si>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</si>
  <si>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</si>
  <si>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</si>
  <si>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</si>
  <si>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</si>
  <si>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</si>
  <si>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</si>
  <si>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</si>
  <si>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</si>
  <si>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</si>
  <si>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</si>
  <si>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</si>
  <si>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</si>
  <si>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</si>
  <si>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</si>
  <si>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</si>
  <si>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</si>
  <si>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</si>
  <si>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</si>
  <si>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CUST-6850</t>
  </si>
  <si>
    <t>Basic Chairs 932</t>
  </si>
  <si>
    <t>ORD-2025-10596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</si>
  <si>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</si>
  <si>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</si>
  <si>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</si>
  <si>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</si>
  <si>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</si>
  <si>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</si>
  <si>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</si>
  <si>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</si>
  <si>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</si>
  <si>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</si>
  <si>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</si>
  <si>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</si>
  <si>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</si>
  <si>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</si>
  <si>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</si>
  <si>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</si>
  <si>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</si>
  <si>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</si>
  <si>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</si>
  <si>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2025-03-12</t>
  </si>
  <si>
    <t>CUST-6013</t>
  </si>
  <si>
    <t>Prime Storage 432</t>
  </si>
  <si>
    <t>ORD-2024-10602</t>
  </si>
  <si>
    <t>01/31/2024</t>
  </si>
  <si>
    <t>CUST-8289</t>
  </si>
  <si>
    <t>Basic Paper 452</t>
  </si>
  <si>
    <t>ORD-2024-10603</t>
  </si>
  <si>
    <t>2024-10-30</t>
  </si>
  <si>
    <t>CUST-5668</t>
  </si>
  <si>
    <t>Max Copiers 477</t>
  </si>
  <si>
    <t>ORD-2025-10604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</si>
  <si>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</si>
  <si>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</si>
  <si>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</si>
  <si>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</si>
  <si>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</si>
  <si>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</si>
  <si>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</si>
  <si>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</si>
  <si>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</si>
  <si>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</si>
  <si>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</si>
  <si>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</si>
  <si>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</si>
  <si>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</si>
  <si>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</si>
  <si>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</si>
  <si>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</si>
  <si>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</si>
  <si>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</si>
  <si>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</si>
  <si>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</si>
  <si>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</si>
  <si>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</si>
  <si>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</si>
  <si>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</si>
  <si>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</si>
  <si>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</si>
  <si>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</si>
  <si>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</si>
  <si>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</si>
  <si>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</si>
  <si>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</si>
  <si>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</si>
  <si>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</si>
  <si>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</si>
  <si>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</si>
  <si>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</si>
  <si>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</si>
  <si>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</si>
  <si>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</si>
  <si>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</si>
  <si>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</si>
  <si>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10/07/2024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</si>
  <si>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</si>
  <si>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</si>
  <si>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</si>
  <si>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</si>
  <si>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</si>
  <si>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</si>
  <si>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</si>
  <si>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</si>
  <si>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</si>
  <si>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</si>
  <si>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</si>
  <si>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</si>
  <si>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</si>
  <si>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</si>
  <si>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</si>
  <si>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</si>
  <si>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</si>
  <si>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</si>
  <si>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</si>
  <si>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</si>
  <si>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</si>
  <si>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</si>
  <si>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</si>
  <si>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</si>
  <si>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06 Feb 2025</t>
  </si>
  <si>
    <t>CUST-1127</t>
  </si>
  <si>
    <t>Basic Storage 934</t>
  </si>
  <si>
    <t>ORD-2024-10624</t>
  </si>
  <si>
    <t>14 Aug 2024</t>
  </si>
  <si>
    <t>CUST-6262</t>
  </si>
  <si>
    <t>Pro Storage 509</t>
  </si>
  <si>
    <t>ORD-2024-10625</t>
  </si>
  <si>
    <t>2024-02-01</t>
  </si>
  <si>
    <t>CUST-5070</t>
  </si>
  <si>
    <t>Prime Chairs 765</t>
  </si>
  <si>
    <t>ORD-2024-10626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</si>
  <si>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</si>
  <si>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</si>
  <si>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</si>
  <si>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</si>
  <si>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</si>
  <si>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</si>
  <si>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</si>
  <si>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</si>
  <si>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</si>
  <si>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</si>
  <si>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</si>
  <si>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</si>
  <si>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</si>
  <si>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</si>
  <si>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</si>
  <si>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</si>
  <si>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</si>
  <si>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</si>
  <si>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</si>
  <si>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</si>
  <si>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</si>
  <si>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</si>
  <si>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</si>
  <si>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</si>
  <si>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</si>
  <si>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</si>
  <si>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</si>
  <si>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</si>
  <si>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</si>
  <si>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</si>
  <si>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</si>
  <si>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</si>
  <si>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</si>
  <si>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</si>
  <si>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</si>
  <si>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</si>
  <si>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</si>
  <si>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</si>
  <si>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</si>
  <si>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</si>
  <si>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09 Oct 2024</t>
  </si>
  <si>
    <t>CUST-7221</t>
  </si>
  <si>
    <t>Smart Paper 872</t>
  </si>
  <si>
    <t>ORD-2024-10638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</si>
  <si>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</si>
  <si>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</si>
  <si>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</si>
  <si>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</si>
  <si>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</si>
  <si>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</si>
  <si>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</si>
  <si>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</si>
  <si>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CUST-6829</t>
  </si>
  <si>
    <t>Elite Chairs 744</t>
  </si>
  <si>
    <t>ORD-2025-10641</t>
  </si>
  <si>
    <t>17 Jan 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</si>
  <si>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</si>
  <si>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</si>
  <si>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</si>
  <si>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</si>
  <si>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</si>
  <si>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</si>
  <si>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</si>
  <si>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</si>
  <si>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</si>
  <si>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</si>
  <si>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</si>
  <si>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</si>
  <si>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</si>
  <si>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</si>
  <si>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</si>
  <si>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</si>
  <si>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</si>
  <si>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CUST-2314</t>
  </si>
  <si>
    <t>Basic Chairs 480</t>
  </si>
  <si>
    <t>ORD-2024-10647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</si>
  <si>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</si>
  <si>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</si>
  <si>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</si>
  <si>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</si>
  <si>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</si>
  <si>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</si>
  <si>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</si>
  <si>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</si>
  <si>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</si>
  <si>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</si>
  <si>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</si>
  <si>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</si>
  <si>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19-08-2025</t>
  </si>
  <si>
    <t>CUST-7277</t>
  </si>
  <si>
    <t>Classic Accessories 354</t>
  </si>
  <si>
    <t>ORD-2024-10651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</si>
  <si>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</si>
  <si>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</si>
  <si>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</si>
  <si>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</si>
  <si>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</si>
  <si>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</si>
  <si>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</si>
  <si>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2025-03-21</t>
  </si>
  <si>
    <t>Smart Binders 999</t>
  </si>
  <si>
    <t>ORD-2025-10654</t>
  </si>
  <si>
    <t>04/07/2025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</si>
  <si>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</si>
  <si>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</si>
  <si>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</si>
  <si>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</si>
  <si>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</si>
  <si>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</si>
  <si>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</si>
  <si>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</si>
  <si>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</si>
  <si>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</si>
  <si>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</si>
  <si>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2025-08-10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</si>
  <si>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</si>
  <si>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</si>
  <si>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</si>
  <si>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</si>
  <si>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</si>
  <si>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</si>
  <si>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</si>
  <si>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</si>
  <si>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</si>
  <si>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</si>
  <si>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</si>
  <si>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</si>
  <si>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</si>
  <si>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2024-05-22</t>
  </si>
  <si>
    <t>CUST-4537</t>
  </si>
  <si>
    <t>Max Machines 595</t>
  </si>
  <si>
    <t>ORD-2024-10663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</si>
  <si>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</si>
  <si>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</si>
  <si>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</si>
  <si>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</si>
  <si>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</si>
  <si>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</si>
  <si>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</si>
  <si>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10 Dec 2024</t>
  </si>
  <si>
    <t>CUST-2709</t>
  </si>
  <si>
    <t>Max Accessories 903</t>
  </si>
  <si>
    <t>ORD-2025-10666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</si>
  <si>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</si>
  <si>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</si>
  <si>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</si>
  <si>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</si>
  <si>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</si>
  <si>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</si>
  <si>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</si>
  <si>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27-05-2025</t>
  </si>
  <si>
    <t>CUST-3912</t>
  </si>
  <si>
    <t>Pro Machines 706</t>
  </si>
  <si>
    <t>ORD-2024-10669</t>
  </si>
  <si>
    <t>CUST-4190</t>
  </si>
  <si>
    <t>Pro Paper 187</t>
  </si>
  <si>
    <t>ORD-2024-10670</t>
  </si>
  <si>
    <t>01 Apr 2024</t>
  </si>
  <si>
    <t>CUST-7568</t>
  </si>
  <si>
    <t>Classic Tables 606</t>
  </si>
  <si>
    <t>ORD-2025-10671</t>
  </si>
  <si>
    <t>Smart Tables 835</t>
  </si>
  <si>
    <t>ORD-2024-10672</t>
  </si>
  <si>
    <t>27-03-2024</t>
  </si>
  <si>
    <t>CUST-3293</t>
  </si>
  <si>
    <t>COPIERS</t>
  </si>
  <si>
    <t>Classic Copiers 583</t>
  </si>
  <si>
    <t>ORD-2024-10673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</si>
  <si>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</si>
  <si>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</si>
  <si>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</si>
  <si>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</si>
  <si>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</si>
  <si>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</si>
  <si>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</si>
  <si>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</si>
  <si>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2024-05-21</t>
  </si>
  <si>
    <t>CUST-4081</t>
  </si>
  <si>
    <t>Basic Accessories 944</t>
  </si>
  <si>
    <t>ORD-2025-10676</t>
  </si>
  <si>
    <t>06/10/2025</t>
  </si>
  <si>
    <t>Eco Furnishings 217</t>
  </si>
  <si>
    <t>ORD-2025-10677</t>
  </si>
  <si>
    <t>09/18/2025</t>
  </si>
  <si>
    <t>CUST-9212</t>
  </si>
  <si>
    <t>Smart Phones 967</t>
  </si>
  <si>
    <t>ORD-2024-10678</t>
  </si>
  <si>
    <t>27-06-2024</t>
  </si>
  <si>
    <t>Smart Chairs 610</t>
  </si>
  <si>
    <t>ORD-2024-10679</t>
  </si>
  <si>
    <t>12/01/2024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</si>
  <si>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</si>
  <si>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</si>
  <si>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</si>
  <si>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</si>
  <si>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</si>
  <si>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</si>
  <si>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</si>
  <si>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</si>
  <si>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</si>
  <si>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</si>
  <si>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</si>
  <si>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</si>
  <si>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</si>
  <si>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</si>
  <si>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</si>
  <si>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</si>
  <si>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</si>
  <si>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</si>
  <si>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</si>
  <si>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</si>
  <si>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</si>
  <si>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</si>
  <si>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</si>
  <si>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</si>
  <si>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</si>
  <si>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</si>
  <si>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</si>
  <si>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</si>
  <si>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</si>
  <si>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</si>
  <si>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</si>
  <si>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</si>
  <si>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</si>
  <si>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</si>
  <si>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</si>
  <si>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</si>
  <si>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</si>
  <si>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</si>
  <si>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</si>
  <si>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</si>
  <si>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</si>
  <si>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</si>
  <si>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</si>
  <si>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</si>
  <si>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</si>
  <si>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</si>
  <si>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</si>
  <si>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</si>
  <si>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</si>
  <si>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</si>
  <si>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</si>
  <si>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</si>
  <si>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</si>
  <si>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</si>
  <si>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</si>
  <si>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</si>
  <si>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</si>
  <si>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</si>
  <si>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</si>
  <si>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</si>
  <si>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</si>
  <si>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</si>
  <si>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</si>
  <si>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</si>
  <si>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</si>
  <si>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</si>
  <si>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</si>
  <si>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</si>
  <si>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</si>
  <si>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</si>
  <si>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</si>
  <si>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</si>
  <si>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11 Jun 2024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</si>
  <si>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</si>
  <si>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</si>
  <si>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</si>
  <si>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</si>
  <si>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</si>
  <si>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</si>
  <si>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</si>
  <si>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</si>
  <si>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</si>
  <si>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</si>
  <si>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</si>
  <si>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</si>
  <si>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</si>
  <si>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</si>
  <si>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</si>
  <si>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</si>
  <si>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</si>
  <si>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</si>
  <si>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</si>
  <si>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</si>
  <si>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09/14/2024</t>
  </si>
  <si>
    <t>CUST-3289</t>
  </si>
  <si>
    <t>Max Binders 411</t>
  </si>
  <si>
    <t>ORD-2024-10707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</si>
  <si>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</si>
  <si>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</si>
  <si>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</si>
  <si>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</si>
  <si>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</si>
  <si>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</si>
  <si>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</si>
  <si>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</si>
  <si>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</si>
  <si>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</si>
  <si>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</si>
  <si>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</si>
  <si>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</si>
  <si>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</si>
  <si>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07/19/2024</t>
  </si>
  <si>
    <t>CUST-7199</t>
  </si>
  <si>
    <t>Smart Art 279</t>
  </si>
  <si>
    <t>ORD-2025-10712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</si>
  <si>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</si>
  <si>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</si>
  <si>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</si>
  <si>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</si>
  <si>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</si>
  <si>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</si>
  <si>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</si>
  <si>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</si>
  <si>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</si>
  <si>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</si>
  <si>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</si>
  <si>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</si>
  <si>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</si>
  <si>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</si>
  <si>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</si>
  <si>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</si>
  <si>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</si>
  <si>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</si>
  <si>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</si>
  <si>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</si>
  <si>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</si>
  <si>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</si>
  <si>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</si>
  <si>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</si>
  <si>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</si>
  <si>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</si>
  <si>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</si>
  <si>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</si>
  <si>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</si>
  <si>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</si>
  <si>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</si>
  <si>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</si>
  <si>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</si>
  <si>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</si>
  <si>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</si>
  <si>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</si>
  <si>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</si>
  <si>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</si>
  <si>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</si>
  <si>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</si>
  <si>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</si>
  <si>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</si>
  <si>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</si>
  <si>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</si>
  <si>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</si>
  <si>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</si>
  <si>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</si>
  <si>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</si>
  <si>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</si>
  <si>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</si>
  <si>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</si>
  <si>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</si>
  <si>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</si>
  <si>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</si>
  <si>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</si>
  <si>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</si>
  <si>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</si>
  <si>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</si>
  <si>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</si>
  <si>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25 May 2025</t>
  </si>
  <si>
    <t>CUST-8713</t>
  </si>
  <si>
    <t>Pro Machines 563</t>
  </si>
  <si>
    <t>ORD-2025-10731</t>
  </si>
  <si>
    <t>CUST-6765</t>
  </si>
  <si>
    <t>Elite Art 696</t>
  </si>
  <si>
    <t>ORD-2024-10732</t>
  </si>
  <si>
    <t>19 Mar 2024</t>
  </si>
  <si>
    <t>CUST-6849</t>
  </si>
  <si>
    <t>Eco Binders 178</t>
  </si>
  <si>
    <t>ORD-2024-10733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</si>
  <si>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</si>
  <si>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</si>
  <si>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</si>
  <si>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</si>
  <si>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</si>
  <si>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</si>
  <si>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</si>
  <si>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</si>
  <si>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</si>
  <si>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</si>
  <si>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</si>
  <si>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</si>
  <si>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</si>
  <si>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</si>
  <si>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</si>
  <si>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</si>
  <si>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</si>
  <si>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</si>
  <si>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</si>
  <si>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</si>
  <si>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</si>
  <si>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</si>
  <si>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</si>
  <si>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</si>
  <si>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</si>
  <si>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12/10/2024</t>
  </si>
  <si>
    <t>CUST-5846</t>
  </si>
  <si>
    <t>Basic Phones 859</t>
  </si>
  <si>
    <t>ORD-2024-10741</t>
  </si>
  <si>
    <t>Eco Chairs 883</t>
  </si>
  <si>
    <t>ORD-2025-10742</t>
  </si>
  <si>
    <t>2025-04-25</t>
  </si>
  <si>
    <t>CUST-3285</t>
  </si>
  <si>
    <t>Max Chairs 706</t>
  </si>
  <si>
    <t>ORD-2024-10743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</si>
  <si>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</si>
  <si>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</si>
  <si>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</si>
  <si>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</si>
  <si>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</si>
  <si>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</si>
  <si>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</si>
  <si>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</si>
  <si>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</si>
  <si>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</si>
  <si>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</si>
  <si>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</si>
  <si>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</si>
  <si>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</si>
  <si>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</si>
  <si>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</si>
  <si>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</si>
  <si>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</si>
  <si>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07 May 2024</t>
  </si>
  <si>
    <t>CUST-8416</t>
  </si>
  <si>
    <t>Classic Paper 388</t>
  </si>
  <si>
    <t>ORD-2024-10749</t>
  </si>
  <si>
    <t>05/30/2024</t>
  </si>
  <si>
    <t>CUST-3103</t>
  </si>
  <si>
    <t>Pro Phones 765</t>
  </si>
  <si>
    <t>ORD-2024-10750</t>
  </si>
  <si>
    <t>2024-03-25</t>
  </si>
  <si>
    <t>CUST-4457</t>
  </si>
  <si>
    <t>Classic Machines 543</t>
  </si>
  <si>
    <t>ORD-2025-10751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</si>
  <si>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</si>
  <si>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</si>
  <si>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</si>
  <si>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</si>
  <si>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</si>
  <si>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</si>
  <si>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</si>
  <si>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</si>
  <si>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</si>
  <si>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</si>
  <si>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</si>
  <si>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</si>
  <si>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</si>
  <si>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</si>
  <si>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</si>
  <si>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</si>
  <si>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</si>
  <si>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</si>
  <si>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</si>
  <si>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</si>
  <si>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11/01/2024</t>
  </si>
  <si>
    <t>CUST-1557</t>
  </si>
  <si>
    <t>Smart Accessories 362</t>
  </si>
  <si>
    <t>ORD-2025-10758</t>
  </si>
  <si>
    <t>2025-08-03</t>
  </si>
  <si>
    <t>CUST-3058</t>
  </si>
  <si>
    <t>Classic Bookcases 310</t>
  </si>
  <si>
    <t>ORD-2024-10759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</si>
  <si>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</si>
  <si>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</si>
  <si>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</si>
  <si>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</si>
  <si>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</si>
  <si>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</si>
  <si>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</si>
  <si>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</si>
  <si>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</si>
  <si>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</si>
  <si>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</si>
  <si>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</si>
  <si>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</si>
  <si>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</si>
  <si>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05 Jan 2024</t>
  </si>
  <si>
    <t>CUST-6921</t>
  </si>
  <si>
    <t>Classic Machines 122</t>
  </si>
  <si>
    <t>ORD-2025-10764</t>
  </si>
  <si>
    <t>2025-08-25</t>
  </si>
  <si>
    <t>CUST-4086</t>
  </si>
  <si>
    <t>Elite Furnishings 169</t>
  </si>
  <si>
    <t>ORD-2025-10765</t>
  </si>
  <si>
    <t>Pro Bookcases 615</t>
  </si>
  <si>
    <t>ORD-2025-10766</t>
  </si>
  <si>
    <t>2025-07-03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</si>
  <si>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</si>
  <si>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</si>
  <si>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</si>
  <si>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</si>
  <si>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</si>
  <si>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</si>
  <si>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</si>
  <si>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</si>
  <si>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</si>
  <si>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</si>
  <si>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</si>
  <si>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</si>
  <si>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</si>
  <si>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</si>
  <si>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</si>
  <si>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</si>
  <si>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</si>
  <si>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</si>
  <si>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</si>
  <si>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</si>
  <si>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</si>
  <si>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</si>
  <si>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</si>
  <si>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</si>
  <si>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</si>
  <si>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</si>
  <si>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</si>
  <si>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</si>
  <si>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</si>
  <si>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</si>
  <si>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</si>
  <si>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</si>
  <si>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22-04-2024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</si>
  <si>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</si>
  <si>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</si>
  <si>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</si>
  <si>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</si>
  <si>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</si>
  <si>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</si>
  <si>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</si>
  <si>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</si>
  <si>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</si>
  <si>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</si>
  <si>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</si>
  <si>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</si>
  <si>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</si>
  <si>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</si>
  <si>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</si>
  <si>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</si>
  <si>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</si>
  <si>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</si>
  <si>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</si>
  <si>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</si>
  <si>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</si>
  <si>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</si>
  <si>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</si>
  <si>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</si>
  <si>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</si>
  <si>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</si>
  <si>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</si>
  <si>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2024-06-07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</si>
  <si>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</si>
  <si>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</si>
  <si>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</si>
  <si>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</si>
  <si>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</si>
  <si>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</si>
  <si>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</si>
  <si>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</si>
  <si>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</si>
  <si>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</si>
  <si>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</si>
  <si>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</si>
  <si>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</si>
  <si>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</si>
  <si>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</si>
  <si>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</si>
  <si>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</si>
  <si>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</si>
  <si>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</si>
  <si>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</si>
  <si>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</si>
  <si>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</si>
  <si>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</si>
  <si>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</si>
  <si>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</si>
  <si>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</si>
  <si>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</si>
  <si>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</si>
  <si>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</si>
  <si>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</si>
  <si>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</si>
  <si>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</si>
  <si>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</si>
  <si>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</si>
  <si>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</si>
  <si>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</si>
  <si>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</si>
  <si>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</si>
  <si>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</si>
  <si>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</si>
  <si>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</si>
  <si>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</si>
  <si>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</si>
  <si>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</si>
  <si>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</si>
  <si>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</si>
  <si>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</si>
  <si>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</si>
  <si>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</si>
  <si>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</si>
  <si>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</si>
  <si>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</si>
  <si>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</si>
  <si>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</si>
  <si>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</si>
  <si>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</si>
  <si>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</si>
  <si>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</si>
  <si>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</si>
  <si>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2024-03-07</t>
  </si>
  <si>
    <t>CUST-5015</t>
  </si>
  <si>
    <t>Elite Storage 825</t>
  </si>
  <si>
    <t>ORD-2025-10802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</si>
  <si>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</si>
  <si>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</si>
  <si>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</si>
  <si>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</si>
  <si>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</si>
  <si>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</si>
  <si>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</si>
  <si>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</si>
  <si>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</si>
  <si>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</si>
  <si>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</si>
  <si>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</si>
  <si>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</si>
  <si>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</si>
  <si>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</si>
  <si>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</si>
  <si>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</si>
  <si>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</si>
  <si>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</si>
  <si>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</si>
  <si>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</si>
  <si>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</si>
  <si>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</si>
  <si>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</si>
  <si>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</si>
  <si>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</si>
  <si>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</si>
  <si>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</si>
  <si>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</si>
  <si>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</si>
  <si>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08-04-2024</t>
  </si>
  <si>
    <t>Pro Copiers 867</t>
  </si>
  <si>
    <t>ORD-2024-10812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</si>
  <si>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</si>
  <si>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</si>
  <si>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</si>
  <si>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</si>
  <si>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</si>
  <si>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</si>
  <si>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</si>
  <si>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</si>
  <si>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</si>
  <si>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</si>
  <si>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</si>
  <si>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</si>
  <si>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</si>
  <si>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</si>
  <si>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</si>
  <si>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</si>
  <si>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</si>
  <si>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</si>
  <si>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2024-11-30</t>
  </si>
  <si>
    <t>CUST-3072</t>
  </si>
  <si>
    <t>Basic Furnishings 306</t>
  </si>
  <si>
    <t>ORD-2025-10818</t>
  </si>
  <si>
    <t>04/05/2025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</si>
  <si>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</si>
  <si>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</si>
  <si>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</si>
  <si>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</si>
  <si>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</si>
  <si>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</si>
  <si>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</si>
  <si>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</si>
  <si>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</si>
  <si>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</si>
  <si>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</si>
  <si>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</si>
  <si>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</si>
  <si>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</si>
  <si>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</si>
  <si>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</si>
  <si>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</si>
  <si>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</si>
  <si>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</si>
  <si>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</si>
  <si>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08 Oct 2024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</si>
  <si>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</si>
  <si>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</si>
  <si>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</si>
  <si>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</si>
  <si>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</si>
  <si>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</si>
  <si>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</si>
  <si>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</si>
  <si>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</si>
  <si>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</si>
  <si>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</si>
  <si>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</si>
  <si>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</si>
  <si>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</si>
  <si>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</si>
  <si>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</si>
  <si>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</si>
  <si>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CUST-5125</t>
  </si>
  <si>
    <t>Basic Paper 707</t>
  </si>
  <si>
    <t>ORD-2025-10829</t>
  </si>
  <si>
    <t>11-10-2025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</si>
  <si>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</si>
  <si>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</si>
  <si>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</si>
  <si>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</si>
  <si>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</si>
  <si>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</si>
  <si>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</si>
  <si>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</si>
  <si>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</si>
  <si>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</si>
  <si>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</si>
  <si>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</si>
  <si>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28-05-2025</t>
  </si>
  <si>
    <t>CUST-9557</t>
  </si>
  <si>
    <t>Max Phones 919</t>
  </si>
  <si>
    <t>ORD-2024-10834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</si>
  <si>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</si>
  <si>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</si>
  <si>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</si>
  <si>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</si>
  <si>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</si>
  <si>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</si>
  <si>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</si>
  <si>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</si>
  <si>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</si>
  <si>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</si>
  <si>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</si>
  <si>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</si>
  <si>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</si>
  <si>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</si>
  <si>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</si>
  <si>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</si>
  <si>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</si>
  <si>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</si>
  <si>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</si>
  <si>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</si>
  <si>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</si>
  <si>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</si>
  <si>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</si>
  <si>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</si>
  <si>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</si>
  <si>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</si>
  <si>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</si>
  <si>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</si>
  <si>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</si>
  <si>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</si>
  <si>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12 Feb 2025</t>
  </si>
  <si>
    <t>CUST-7558</t>
  </si>
  <si>
    <t>Max Art 339</t>
  </si>
  <si>
    <t>ORD-2024-10843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</si>
  <si>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</si>
  <si>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</si>
  <si>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</si>
  <si>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</si>
  <si>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</si>
  <si>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</si>
  <si>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</si>
  <si>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</si>
  <si>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</si>
  <si>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</si>
  <si>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</si>
  <si>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</si>
  <si>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</si>
  <si>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</si>
  <si>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</si>
  <si>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</si>
  <si>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2024-04-22</t>
  </si>
  <si>
    <t>CUST-6522</t>
  </si>
  <si>
    <t>Prime Bookcases 177</t>
  </si>
  <si>
    <t>ORD-2025-10848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</si>
  <si>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</si>
  <si>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</si>
  <si>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</si>
  <si>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</si>
  <si>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</si>
  <si>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</si>
  <si>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</si>
  <si>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</si>
  <si>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</si>
  <si>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</si>
  <si>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</si>
  <si>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</si>
  <si>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</si>
  <si>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</si>
  <si>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</si>
  <si>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</si>
  <si>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</si>
  <si>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</si>
  <si>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</si>
  <si>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</si>
  <si>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</si>
  <si>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</si>
  <si>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</si>
  <si>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</si>
  <si>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</si>
  <si>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</si>
  <si>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</si>
  <si>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</si>
  <si>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</si>
  <si>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</si>
  <si>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</si>
  <si>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Classic Storage 918</t>
  </si>
  <si>
    <t>ORD-2024-10858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</si>
  <si>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</si>
  <si>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</si>
  <si>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</si>
  <si>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</si>
  <si>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</si>
  <si>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</si>
  <si>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</si>
  <si>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</si>
  <si>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</si>
  <si>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</si>
  <si>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</si>
  <si>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</si>
  <si>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</si>
  <si>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</si>
  <si>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</si>
  <si>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</si>
  <si>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</si>
  <si>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</si>
  <si>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</si>
  <si>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</si>
  <si>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</si>
  <si>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</si>
  <si>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</si>
  <si>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</si>
  <si>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</si>
  <si>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</si>
  <si>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</si>
  <si>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</si>
  <si>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</si>
  <si>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</si>
  <si>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</si>
  <si>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</si>
  <si>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</si>
  <si>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</si>
  <si>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</si>
  <si>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</si>
  <si>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</si>
  <si>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</si>
  <si>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</si>
  <si>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</si>
  <si>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</si>
  <si>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</si>
  <si>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</si>
  <si>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</si>
  <si>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07 Jun 2025</t>
  </si>
  <si>
    <t>CUST-7054</t>
  </si>
  <si>
    <t>Max Tables 281</t>
  </si>
  <si>
    <t>ORD-2024-10872</t>
  </si>
  <si>
    <t>Pro Accessories 325</t>
  </si>
  <si>
    <t>ORD-2024-10873</t>
  </si>
  <si>
    <t>02 Nov 2024</t>
  </si>
  <si>
    <t>Prime Furnishings 178</t>
  </si>
  <si>
    <t>ORD-2025-10874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</si>
  <si>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</si>
  <si>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</si>
  <si>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</si>
  <si>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</si>
  <si>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</si>
  <si>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</si>
  <si>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</si>
  <si>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08/11/2024</t>
  </si>
  <si>
    <t>CUST-6928</t>
  </si>
  <si>
    <t>Elite Copiers 752</t>
  </si>
  <si>
    <t>ORD-2024-10877</t>
  </si>
  <si>
    <t>20-11-2024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</si>
  <si>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</si>
  <si>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</si>
  <si>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</si>
  <si>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</si>
  <si>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</si>
  <si>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</si>
  <si>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</si>
  <si>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</si>
  <si>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</si>
  <si>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</si>
  <si>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</si>
  <si>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</si>
  <si>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</si>
  <si>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</si>
  <si>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</si>
  <si>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</si>
  <si>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</si>
  <si>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</si>
  <si>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CUST-4983</t>
  </si>
  <si>
    <t>Basic Accessories 607</t>
  </si>
  <si>
    <t>ORD-2025-10884</t>
  </si>
  <si>
    <t>05/01/2025</t>
  </si>
  <si>
    <t>CUST-2597</t>
  </si>
  <si>
    <t>Classic Storage 211</t>
  </si>
  <si>
    <t>ORD-2025-10885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</si>
  <si>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</si>
  <si>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</si>
  <si>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</si>
  <si>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</si>
  <si>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</si>
  <si>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</si>
  <si>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</si>
  <si>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</si>
  <si>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</si>
  <si>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</si>
  <si>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</si>
  <si>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</si>
  <si>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</si>
  <si>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</si>
  <si>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</si>
  <si>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</si>
  <si>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</si>
  <si>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</si>
  <si>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</si>
  <si>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</si>
  <si>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</si>
  <si>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</si>
  <si>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</si>
  <si>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</si>
  <si>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</si>
  <si>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</si>
  <si>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</si>
  <si>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</si>
  <si>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</si>
  <si>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</si>
  <si>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</si>
  <si>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</si>
  <si>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</si>
  <si>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</si>
  <si>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</si>
  <si>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</si>
  <si>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</si>
  <si>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</si>
  <si>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</si>
  <si>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</si>
  <si>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</si>
  <si>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</si>
  <si>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</si>
  <si>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</si>
  <si>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</si>
  <si>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</si>
  <si>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</si>
  <si>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</si>
  <si>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</si>
  <si>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</si>
  <si>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</si>
  <si>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</si>
  <si>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</si>
  <si>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</si>
  <si>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</si>
  <si>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</si>
  <si>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</si>
  <si>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</si>
  <si>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</si>
  <si>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</si>
  <si>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</si>
  <si>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</si>
  <si>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</si>
  <si>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</si>
  <si>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</si>
  <si>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</si>
  <si>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</si>
  <si>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</si>
  <si>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</si>
  <si>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</si>
  <si>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</si>
  <si>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</si>
  <si>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</si>
  <si>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</si>
  <si>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Corrected segment</t>
  </si>
  <si>
    <t>Corrected customer_name</t>
  </si>
  <si>
    <t>Corrected region</t>
  </si>
  <si>
    <t>data_quality_flag</t>
  </si>
  <si>
    <t>Remark</t>
  </si>
  <si>
    <t/>
  </si>
  <si>
    <t>Invalid Discount</t>
  </si>
  <si>
    <t>Missing Region</t>
  </si>
  <si>
    <t>Corrected category</t>
  </si>
  <si>
    <t>Corrected ship_mode</t>
  </si>
  <si>
    <t>Invalid Ship Mode</t>
  </si>
  <si>
    <t>Missing Region, Invalid Ship Mode</t>
  </si>
  <si>
    <t>Corrected order_date</t>
  </si>
  <si>
    <t>21 Jul 2024</t>
  </si>
  <si>
    <t>28-11-2024</t>
  </si>
  <si>
    <t>2024-05-24</t>
  </si>
  <si>
    <t>11/05/2024</t>
  </si>
  <si>
    <t>07-09-2025</t>
  </si>
  <si>
    <t>20 Dec 2024</t>
  </si>
  <si>
    <t>27 Dec 2024</t>
  </si>
  <si>
    <t>07/09/2024</t>
  </si>
  <si>
    <t>05/08/2024</t>
  </si>
  <si>
    <t>01/07/2024</t>
  </si>
  <si>
    <t>07/15/2025</t>
  </si>
  <si>
    <t>21-01-2025</t>
  </si>
  <si>
    <t>24-01-2025</t>
  </si>
  <si>
    <t>19 Jan 2025</t>
  </si>
  <si>
    <t>11-10-2024</t>
  </si>
  <si>
    <t>23-11-2024</t>
  </si>
  <si>
    <t>29 Sep 2025</t>
  </si>
  <si>
    <t>13 Aug 2025</t>
  </si>
  <si>
    <t>09 Feb 2024</t>
  </si>
  <si>
    <t>15-06-2025</t>
  </si>
  <si>
    <t>22-11-2024</t>
  </si>
  <si>
    <t>2025-01-31</t>
  </si>
  <si>
    <t>2024-10-25</t>
  </si>
  <si>
    <t>2024-06-17</t>
  </si>
  <si>
    <t>12/11/2024</t>
  </si>
  <si>
    <t>10-10-2024</t>
  </si>
  <si>
    <t>03/12/2024</t>
  </si>
  <si>
    <t>07/08/2024</t>
  </si>
  <si>
    <t>06/22/2024</t>
  </si>
  <si>
    <t>12-08-2024</t>
  </si>
  <si>
    <t>05/11/2025</t>
  </si>
  <si>
    <t>26-10-2024</t>
  </si>
  <si>
    <t>31 Mar 2025</t>
  </si>
  <si>
    <t>30 May 2025</t>
  </si>
  <si>
    <t>01-07-2025</t>
  </si>
  <si>
    <t>2025-01-05</t>
  </si>
  <si>
    <t>2024-02-07</t>
  </si>
  <si>
    <t>07/13/2024</t>
  </si>
  <si>
    <t>16 Apr 2024</t>
  </si>
  <si>
    <t>30 Oct 2024</t>
  </si>
  <si>
    <t>2024-01-25</t>
  </si>
  <si>
    <t>2024-12-23</t>
  </si>
  <si>
    <t>22 Apr 2024</t>
  </si>
  <si>
    <t>09 Apr 2024</t>
  </si>
  <si>
    <t>2025-08-22</t>
  </si>
  <si>
    <t>2024-02-11</t>
  </si>
  <si>
    <t>29-03-2025</t>
  </si>
  <si>
    <t>02/27/2025</t>
  </si>
  <si>
    <t>22-08-2025</t>
  </si>
  <si>
    <t>07/16/2025</t>
  </si>
  <si>
    <t>2025-09-27</t>
  </si>
  <si>
    <t>2024-08-10</t>
  </si>
  <si>
    <t>2025-03-16</t>
  </si>
  <si>
    <t>01 Oct 2024</t>
  </si>
  <si>
    <t>03/24/2024</t>
  </si>
  <si>
    <t>08/24/2025</t>
  </si>
  <si>
    <t>02-03-2025</t>
  </si>
  <si>
    <t>09/06/2024</t>
  </si>
  <si>
    <t>08 Aug 2025</t>
  </si>
  <si>
    <t>2024-01-26</t>
  </si>
  <si>
    <t>12 Sep 2025</t>
  </si>
  <si>
    <t>12 Jul 2025</t>
  </si>
  <si>
    <t>05/02/2025</t>
  </si>
  <si>
    <t>2025-02-01</t>
  </si>
  <si>
    <t>06/24/2024</t>
  </si>
  <si>
    <t>20-02-2024</t>
  </si>
  <si>
    <t>29 Oct 2024</t>
  </si>
  <si>
    <t>15 Aug 2024</t>
  </si>
  <si>
    <t>10/18/2024</t>
  </si>
  <si>
    <t>10 Jan 2024</t>
  </si>
  <si>
    <t>2024-09-25</t>
  </si>
  <si>
    <t>2024-12-27</t>
  </si>
  <si>
    <t>2025-02-15</t>
  </si>
  <si>
    <t>2024-02-15</t>
  </si>
  <si>
    <t>06/10/2024</t>
  </si>
  <si>
    <t>12 Jun 2024</t>
  </si>
  <si>
    <t>11/30/2024</t>
  </si>
  <si>
    <t>2025-07-17</t>
  </si>
  <si>
    <t>24-09-2025</t>
  </si>
  <si>
    <t>2024-01-27</t>
  </si>
  <si>
    <t>2024-12-13</t>
  </si>
  <si>
    <t>07/14/2025</t>
  </si>
  <si>
    <t>09-02-2025</t>
  </si>
  <si>
    <t>01/09/2025</t>
  </si>
  <si>
    <t>2024-01-20</t>
  </si>
  <si>
    <t>03/02/2025</t>
  </si>
  <si>
    <t>31-05-2024</t>
  </si>
  <si>
    <t>03/23/2024</t>
  </si>
  <si>
    <t>30 Mar 2024</t>
  </si>
  <si>
    <t>11-04-2025</t>
  </si>
  <si>
    <t>30 Jul 2025</t>
  </si>
  <si>
    <t>09 Feb 2025</t>
  </si>
  <si>
    <t>04-03-2024</t>
  </si>
  <si>
    <t>27 Jun 2024</t>
  </si>
  <si>
    <t>14 Jun 2024</t>
  </si>
  <si>
    <t>23 Sep 2025</t>
  </si>
  <si>
    <t>12 Feb 2024</t>
  </si>
  <si>
    <t>27-03-2025</t>
  </si>
  <si>
    <t>10/22/2024</t>
  </si>
  <si>
    <t>2025-01-30</t>
  </si>
  <si>
    <t>08-10-2025</t>
  </si>
  <si>
    <t>2025-07-24</t>
  </si>
  <si>
    <t>09/21/2025</t>
  </si>
  <si>
    <t>09 Sep 2025</t>
  </si>
  <si>
    <t>20-02-2025</t>
  </si>
  <si>
    <t>01/20/2025</t>
  </si>
  <si>
    <t>2025-09-13</t>
  </si>
  <si>
    <t>28 Sep 2025</t>
  </si>
  <si>
    <t>18-03-2025</t>
  </si>
  <si>
    <t>01-06-2024</t>
  </si>
  <si>
    <t>30-09-2024</t>
  </si>
  <si>
    <t>2024-03-15</t>
  </si>
  <si>
    <t>2024-08-26</t>
  </si>
  <si>
    <t>09/09/2025</t>
  </si>
  <si>
    <t>2024-04-02</t>
  </si>
  <si>
    <t>2025-05-01</t>
  </si>
  <si>
    <t>2025-05-21</t>
  </si>
  <si>
    <t>2025-05-06</t>
  </si>
  <si>
    <t>19-10-2024</t>
  </si>
  <si>
    <t>2024-12-09</t>
  </si>
  <si>
    <t>2024-06-23</t>
  </si>
  <si>
    <t>2025-01-28</t>
  </si>
  <si>
    <t>22 Jul 2025</t>
  </si>
  <si>
    <t>05-06-2024</t>
  </si>
  <si>
    <t>26-07-2025</t>
  </si>
  <si>
    <t>2025-03-28</t>
  </si>
  <si>
    <t>28 Mar 2024</t>
  </si>
  <si>
    <t>20-07-2025</t>
  </si>
  <si>
    <t>21-04-2025</t>
  </si>
  <si>
    <t>05/18/2025</t>
  </si>
  <si>
    <t>10 Jul 2024</t>
  </si>
  <si>
    <t>06/29/2025</t>
  </si>
  <si>
    <t>05/16/2024</t>
  </si>
  <si>
    <t>15 May 2024</t>
  </si>
  <si>
    <t>17 Mar 2024</t>
  </si>
  <si>
    <t>01-03-2024</t>
  </si>
  <si>
    <t>01-04-2025</t>
  </si>
  <si>
    <t>26 Feb 2025</t>
  </si>
  <si>
    <t>04/29/2025</t>
  </si>
  <si>
    <t>19-02-2025</t>
  </si>
  <si>
    <t>10/02/2025</t>
  </si>
  <si>
    <t>10-04-2025</t>
  </si>
  <si>
    <t>2024-07-05</t>
  </si>
  <si>
    <t>24-04-2024</t>
  </si>
  <si>
    <t>2024-05-02</t>
  </si>
  <si>
    <t>2025-06-04</t>
  </si>
  <si>
    <t>14-10-2024</t>
  </si>
  <si>
    <t>09/02/2024</t>
  </si>
  <si>
    <t>11/02/2024</t>
  </si>
  <si>
    <t>01/12/2024</t>
  </si>
  <si>
    <t>21-09-2024</t>
  </si>
  <si>
    <t>17 Dec 2024</t>
  </si>
  <si>
    <t>07/06/2025</t>
  </si>
  <si>
    <t>07 Feb 2025</t>
  </si>
  <si>
    <t>07/25/2024</t>
  </si>
  <si>
    <t>06/02/2024</t>
  </si>
  <si>
    <t>02/21/2024</t>
  </si>
  <si>
    <t>2025-04-06</t>
  </si>
  <si>
    <t>25-06-2025</t>
  </si>
  <si>
    <t>2024-09-12</t>
  </si>
  <si>
    <t>01/01/2025</t>
  </si>
  <si>
    <t>2025-02-04</t>
  </si>
  <si>
    <t>2024-11-05</t>
  </si>
  <si>
    <t>2025-08-09</t>
  </si>
  <si>
    <t>06/21/2024</t>
  </si>
  <si>
    <t>2025-09-23</t>
  </si>
  <si>
    <t>06/18/2025</t>
  </si>
  <si>
    <t>2025-05-26</t>
  </si>
  <si>
    <t>06 Aug 2025</t>
  </si>
  <si>
    <t>2025-05-03</t>
  </si>
  <si>
    <t>08/18/2024</t>
  </si>
  <si>
    <t>02/13/2025</t>
  </si>
  <si>
    <t>04/09/2024</t>
  </si>
  <si>
    <t>12/23/2024</t>
  </si>
  <si>
    <t>25-07-2025</t>
  </si>
  <si>
    <t>2024-10-01</t>
  </si>
  <si>
    <t>2025-08-15</t>
  </si>
  <si>
    <t>09/05/2024</t>
  </si>
  <si>
    <t>04/05/2024</t>
  </si>
  <si>
    <t>28 Feb 2025</t>
  </si>
  <si>
    <t>24 May 2025</t>
  </si>
  <si>
    <t>2024-10-29</t>
  </si>
  <si>
    <t>23-01-2025</t>
  </si>
  <si>
    <t>03/06/2024</t>
  </si>
  <si>
    <t>01 May 2024</t>
  </si>
  <si>
    <t>20 Feb 2025</t>
  </si>
  <si>
    <t>2025-07-12</t>
  </si>
  <si>
    <t>2025-06-13</t>
  </si>
  <si>
    <t>07/20/2024</t>
  </si>
  <si>
    <t>04-07-2024</t>
  </si>
  <si>
    <t>27-04-2024</t>
  </si>
  <si>
    <t>2025-05-30</t>
  </si>
  <si>
    <t>2024-07-02</t>
  </si>
  <si>
    <t>29-08-2025</t>
  </si>
  <si>
    <t>25 Apr 2024</t>
  </si>
  <si>
    <t>12/04/2024</t>
  </si>
  <si>
    <t>06/23/2024</t>
  </si>
  <si>
    <t>31 Jul 2025</t>
  </si>
  <si>
    <t>09/16/2025</t>
  </si>
  <si>
    <t>2025-07-22</t>
  </si>
  <si>
    <t>2024-07-24</t>
  </si>
  <si>
    <t>2025-05-29</t>
  </si>
  <si>
    <t>12 May 2025</t>
  </si>
  <si>
    <t>22 Jun 2025</t>
  </si>
  <si>
    <t>12 Sep 2024</t>
  </si>
  <si>
    <t>06/16/2025</t>
  </si>
  <si>
    <t>12 Aug 2024</t>
  </si>
  <si>
    <t>08-12-2024</t>
  </si>
  <si>
    <t>21 Jan 2024</t>
  </si>
  <si>
    <t>08 Sep 2025</t>
  </si>
  <si>
    <t>10/03/2025</t>
  </si>
  <si>
    <t>27-09-2025</t>
  </si>
  <si>
    <t>23-05-2025</t>
  </si>
  <si>
    <t>15 Aug 2025</t>
  </si>
  <si>
    <t>27 Jun 2025</t>
  </si>
  <si>
    <t>08/09/2025</t>
  </si>
  <si>
    <t>17 Jun 2024</t>
  </si>
  <si>
    <t>23 Aug 2024</t>
  </si>
  <si>
    <t>07/07/2025</t>
  </si>
  <si>
    <t>03/21/2025</t>
  </si>
  <si>
    <t>15-06-2024</t>
  </si>
  <si>
    <t>2025-01-16</t>
  </si>
  <si>
    <t>08/15/2024</t>
  </si>
  <si>
    <t>2025-02-27</t>
  </si>
  <si>
    <t>29-12-2024</t>
  </si>
  <si>
    <t>2025-09-19</t>
  </si>
  <si>
    <t>04 Mar 2025</t>
  </si>
  <si>
    <t>15-03-2024</t>
  </si>
  <si>
    <t>2024-05-13</t>
  </si>
  <si>
    <t>05 Apr 2024</t>
  </si>
  <si>
    <t>06 Nov 2024</t>
  </si>
  <si>
    <t>02/19/2024</t>
  </si>
  <si>
    <t>2024-08-23</t>
  </si>
  <si>
    <t>03-04-2024</t>
  </si>
  <si>
    <t>09 Jun 2025</t>
  </si>
  <si>
    <t>19 Jul 2024</t>
  </si>
  <si>
    <t>04/24/2025</t>
  </si>
  <si>
    <t>06-06-2025</t>
  </si>
  <si>
    <t>09 Mar 2025</t>
  </si>
  <si>
    <t>22 Mar 2024</t>
  </si>
  <si>
    <t>09/30/2024</t>
  </si>
  <si>
    <t>09/23/2024</t>
  </si>
  <si>
    <t>12 May 2024</t>
  </si>
  <si>
    <t>2024-04-12</t>
  </si>
  <si>
    <t>2025-08-23</t>
  </si>
  <si>
    <t>2024-08-29</t>
  </si>
  <si>
    <t>2025-01-08</t>
  </si>
  <si>
    <t>11/09/2024</t>
  </si>
  <si>
    <t>26-09-2025</t>
  </si>
  <si>
    <t>06/14/2025</t>
  </si>
  <si>
    <t>09/03/2025</t>
  </si>
  <si>
    <t>26-09-2024</t>
  </si>
  <si>
    <t>30-06-2024</t>
  </si>
  <si>
    <t>2025-03-15</t>
  </si>
  <si>
    <t>01 Mar 2025</t>
  </si>
  <si>
    <t>30 Aug 2024</t>
  </si>
  <si>
    <t>04/19/2024</t>
  </si>
  <si>
    <t>04/11/2025</t>
  </si>
  <si>
    <t>2025-04-12</t>
  </si>
  <si>
    <t>16 Jun 2024</t>
  </si>
  <si>
    <t>15-02-2024</t>
  </si>
  <si>
    <t>30-06-2025</t>
  </si>
  <si>
    <t>03-10-2024</t>
  </si>
  <si>
    <t>12 Aug 2025</t>
  </si>
  <si>
    <t>05/09/2024</t>
  </si>
  <si>
    <t>01/15/2024</t>
  </si>
  <si>
    <t>06-06-2024</t>
  </si>
  <si>
    <t>24-03-2024</t>
  </si>
  <si>
    <t>10-05-2024</t>
  </si>
  <si>
    <t>05/03/2025</t>
  </si>
  <si>
    <t>18 Jul 2024</t>
  </si>
  <si>
    <t>05/04/2024</t>
  </si>
  <si>
    <t>2024-02-10</t>
  </si>
  <si>
    <t>03/28/2024</t>
  </si>
  <si>
    <t>30 Sep 2025</t>
  </si>
  <si>
    <t>05/25/2025</t>
  </si>
  <si>
    <t>11-03-2025</t>
  </si>
  <si>
    <t>29-01-2024</t>
  </si>
  <si>
    <t>04-01-2024</t>
  </si>
  <si>
    <t>20-08-2024</t>
  </si>
  <si>
    <t>2024-01-19</t>
  </si>
  <si>
    <t>28-07-2024</t>
  </si>
  <si>
    <t>11-02-2024</t>
  </si>
  <si>
    <t>02-03-2024</t>
  </si>
  <si>
    <t>13-11-2024</t>
  </si>
  <si>
    <t>03/01/2025</t>
  </si>
  <si>
    <t>05/07/2024</t>
  </si>
  <si>
    <t>08/23/2025</t>
  </si>
  <si>
    <t>06/09/2024</t>
  </si>
  <si>
    <t>2025-06-05</t>
  </si>
  <si>
    <t>2024-12-28</t>
  </si>
  <si>
    <t>22-06-2025</t>
  </si>
  <si>
    <t>14 Oct 2024</t>
  </si>
  <si>
    <t>2024-09-16</t>
  </si>
  <si>
    <t>28-06-2025</t>
  </si>
  <si>
    <t>2024-11-14</t>
  </si>
  <si>
    <t>2025-09-07</t>
  </si>
  <si>
    <t>2024-12-22</t>
  </si>
  <si>
    <t>11 Aug 2024</t>
  </si>
  <si>
    <t>04/01/2024</t>
  </si>
  <si>
    <t>2024-09-28</t>
  </si>
  <si>
    <t>2025-02-12</t>
  </si>
  <si>
    <t>2024-11-09</t>
  </si>
  <si>
    <t>15-12-2024</t>
  </si>
  <si>
    <t>31 Mar 2024</t>
  </si>
  <si>
    <t>2025-05-12</t>
  </si>
  <si>
    <t>10/23/2024</t>
  </si>
  <si>
    <t>18 Nov 2024</t>
  </si>
  <si>
    <t>09/28/2024</t>
  </si>
  <si>
    <t>2025-05-25</t>
  </si>
  <si>
    <t>2025-03-25</t>
  </si>
  <si>
    <t>02-04-2024</t>
  </si>
  <si>
    <t>30 Nov 2024</t>
  </si>
  <si>
    <t>10/17/2024</t>
  </si>
  <si>
    <t>2025-07-18</t>
  </si>
  <si>
    <t>01-10-2025</t>
  </si>
  <si>
    <t>2024-10-07</t>
  </si>
  <si>
    <t>05/30/2025</t>
  </si>
  <si>
    <t>25 Aug 2024</t>
  </si>
  <si>
    <t>04/27/2025</t>
  </si>
  <si>
    <t>19-05-2024</t>
  </si>
  <si>
    <t>2025-04-10</t>
  </si>
  <si>
    <t>26-02-2024</t>
  </si>
  <si>
    <t>08-07-2025</t>
  </si>
  <si>
    <t>09/17/2024</t>
  </si>
  <si>
    <t>2025-01-29</t>
  </si>
  <si>
    <t>05/27/2024</t>
  </si>
  <si>
    <t>2025-08-14</t>
  </si>
  <si>
    <t>10/11/2025</t>
  </si>
  <si>
    <t>04/25/2025</t>
  </si>
  <si>
    <t>2024-10-12</t>
  </si>
  <si>
    <t>2025-09-04</t>
  </si>
  <si>
    <t>2024-01-16</t>
  </si>
  <si>
    <t>07 Aug 2025</t>
  </si>
  <si>
    <t>06 Feb 2024</t>
  </si>
  <si>
    <t>01/02/2024</t>
  </si>
  <si>
    <t>09/22/2025</t>
  </si>
  <si>
    <t>20 Feb 2024</t>
  </si>
  <si>
    <t>11 Mar 2025</t>
  </si>
  <si>
    <t>2024-02-21</t>
  </si>
  <si>
    <t>19-06-2024</t>
  </si>
  <si>
    <t>06-03-2025</t>
  </si>
  <si>
    <t>2024-10-15</t>
  </si>
  <si>
    <t>08/04/2024</t>
  </si>
  <si>
    <t>12-04-2025</t>
  </si>
  <si>
    <t>23-07-2025</t>
  </si>
  <si>
    <t>2025-03-11</t>
  </si>
  <si>
    <t>2024-09-19</t>
  </si>
  <si>
    <t>02/11/2025</t>
  </si>
  <si>
    <t>05-03-2025</t>
  </si>
  <si>
    <t>26 Jan 2024</t>
  </si>
  <si>
    <t>23-10-2024</t>
  </si>
  <si>
    <t>01/03/2025</t>
  </si>
  <si>
    <t>20 May 2024</t>
  </si>
  <si>
    <t>06 Apr 2025</t>
  </si>
  <si>
    <t>2024-10-04</t>
  </si>
  <si>
    <t>16 Aug 2024</t>
  </si>
  <si>
    <t>09/29/2024</t>
  </si>
  <si>
    <t>2024-07-23</t>
  </si>
  <si>
    <t>18-08-2024</t>
  </si>
  <si>
    <t>29-01-2025</t>
  </si>
  <si>
    <t>08 Aug 2024</t>
  </si>
  <si>
    <t>01/30/2024</t>
  </si>
  <si>
    <t>12/15/2024</t>
  </si>
  <si>
    <t>15-04-2025</t>
  </si>
  <si>
    <t>01/11/2025</t>
  </si>
  <si>
    <t>02 Oct 2024</t>
  </si>
  <si>
    <t>26-05-2024</t>
  </si>
  <si>
    <t>12/27/2024</t>
  </si>
  <si>
    <t>14-01-2025</t>
  </si>
  <si>
    <t>2025-04-09</t>
  </si>
  <si>
    <t>05-02-2024</t>
  </si>
  <si>
    <t>2024-01-04</t>
  </si>
  <si>
    <t>09/18/2024</t>
  </si>
  <si>
    <t>21-04-2024</t>
  </si>
  <si>
    <t>11 Aug 2025</t>
  </si>
  <si>
    <t>04/13/2024</t>
  </si>
  <si>
    <t>03/17/2025</t>
  </si>
  <si>
    <t>04-04-2025</t>
  </si>
  <si>
    <t>10/12/2025</t>
  </si>
  <si>
    <t>07-05-2024</t>
  </si>
  <si>
    <t>08/07/2025</t>
  </si>
  <si>
    <t>2025-06-09</t>
  </si>
  <si>
    <t>17-05-2024</t>
  </si>
  <si>
    <t>2024-01-14</t>
  </si>
  <si>
    <t>07 Dec 2024</t>
  </si>
  <si>
    <t>2025-01-13</t>
  </si>
  <si>
    <t>20-05-2025</t>
  </si>
  <si>
    <t>11/21/2024</t>
  </si>
  <si>
    <t>2024-03-24</t>
  </si>
  <si>
    <t>02/02/2025</t>
  </si>
  <si>
    <t>2024-03-22</t>
  </si>
  <si>
    <t>2024-09-04</t>
  </si>
  <si>
    <t>2024-05-18</t>
  </si>
  <si>
    <t>07-06-2025</t>
  </si>
  <si>
    <t>09/11/2025</t>
  </si>
  <si>
    <t>2024-06-22</t>
  </si>
  <si>
    <t>24-11-2024</t>
  </si>
  <si>
    <t>16-08-2025</t>
  </si>
  <si>
    <t>07/04/2024</t>
  </si>
  <si>
    <t>2025-07-20</t>
  </si>
  <si>
    <t>2025-07-21</t>
  </si>
  <si>
    <t>01 Oct 2025</t>
  </si>
  <si>
    <t>25-03-2024</t>
  </si>
  <si>
    <t>2024-07-01</t>
  </si>
  <si>
    <t>22 Sep 2025</t>
  </si>
  <si>
    <t>14-09-2024</t>
  </si>
  <si>
    <t>2024-06-11</t>
  </si>
  <si>
    <t>18-09-2024</t>
  </si>
  <si>
    <t>19 Oct 2024</t>
  </si>
  <si>
    <t>08 Sep 2024</t>
  </si>
  <si>
    <t>24-06-2024</t>
  </si>
  <si>
    <t>03/20/2025</t>
  </si>
  <si>
    <t>07/12/2024</t>
  </si>
  <si>
    <t>02-02-2025</t>
  </si>
  <si>
    <t>06/06/2025</t>
  </si>
  <si>
    <t>26 Aug 2025</t>
  </si>
  <si>
    <t>12-10-2025</t>
  </si>
  <si>
    <t>06 Sep 2024</t>
  </si>
  <si>
    <t>02/10/2024</t>
  </si>
  <si>
    <t>10/05/2025</t>
  </si>
  <si>
    <t>2024-01-17</t>
  </si>
  <si>
    <t>17-05-2025</t>
  </si>
  <si>
    <t>06/19/2025</t>
  </si>
  <si>
    <t>2024-03-17</t>
  </si>
  <si>
    <t>2024-11-28</t>
  </si>
  <si>
    <t>2024-08-11</t>
  </si>
  <si>
    <t>03 Dec 2024</t>
  </si>
  <si>
    <t>02 Apr 2024</t>
  </si>
  <si>
    <t>04/23/2025</t>
  </si>
  <si>
    <t>10/15/2024</t>
  </si>
  <si>
    <t>2025-08-17</t>
  </si>
  <si>
    <t>24 Oct 2024</t>
  </si>
  <si>
    <t>2024-05-01</t>
  </si>
  <si>
    <t>30-05-2024</t>
  </si>
  <si>
    <t>21 Mar 2024</t>
  </si>
  <si>
    <t>06/02/2025</t>
  </si>
  <si>
    <t>10/27/2024</t>
  </si>
  <si>
    <t>01 Aug 2025</t>
  </si>
  <si>
    <t>02 May 2024</t>
  </si>
  <si>
    <t>28-08-2024</t>
  </si>
  <si>
    <t>01/01/2024</t>
  </si>
  <si>
    <t>23 Aug 2025</t>
  </si>
  <si>
    <t>29-06-2025</t>
  </si>
  <si>
    <t>17 Sep 2024</t>
  </si>
  <si>
    <t>03 May 2024</t>
  </si>
  <si>
    <t>05/11/2024</t>
  </si>
  <si>
    <t>2024-07-12</t>
  </si>
  <si>
    <t>2025-02-21</t>
  </si>
  <si>
    <t>14 Apr 2024</t>
  </si>
  <si>
    <t>08-06-2025</t>
  </si>
  <si>
    <t>04-02-2024</t>
  </si>
  <si>
    <t>04 Aug 2024</t>
  </si>
  <si>
    <t>2024-02-02</t>
  </si>
  <si>
    <t>07 Jun 2024</t>
  </si>
  <si>
    <t>10/04/2025</t>
  </si>
  <si>
    <t>23-05-2024</t>
  </si>
  <si>
    <t>07 Mar 2025</t>
  </si>
  <si>
    <t>31 May 2024</t>
  </si>
  <si>
    <t>2025-06-22</t>
  </si>
  <si>
    <t>30-07-2024</t>
  </si>
  <si>
    <t>18 Apr 2024</t>
  </si>
  <si>
    <t>2025-07-11</t>
  </si>
  <si>
    <t>01 Mar 2024</t>
  </si>
  <si>
    <t>2025-10-08</t>
  </si>
  <si>
    <t>09 Dec 2024</t>
  </si>
  <si>
    <t>09-11-2024</t>
  </si>
  <si>
    <t>2025-08-31</t>
  </si>
  <si>
    <t>04/03/2024</t>
  </si>
  <si>
    <t>12 Dec 2024</t>
  </si>
  <si>
    <t>04/06/2025</t>
  </si>
  <si>
    <t>11/27/2024</t>
  </si>
  <si>
    <t>05 Apr 2025</t>
  </si>
  <si>
    <t>29 Sep 2024</t>
  </si>
  <si>
    <t>06-02-2025</t>
  </si>
  <si>
    <t>10/12/2024</t>
  </si>
  <si>
    <t>2025-01-06</t>
  </si>
  <si>
    <t>21-03-2025</t>
  </si>
  <si>
    <t>16 Apr 2025</t>
  </si>
  <si>
    <t>24 Nov 2024</t>
  </si>
  <si>
    <t>10/10/2025</t>
  </si>
  <si>
    <t>02/26/2024</t>
  </si>
  <si>
    <t>26 May 2025</t>
  </si>
  <si>
    <t>2024-06-04</t>
  </si>
  <si>
    <t>09/20/2024</t>
  </si>
  <si>
    <t>2025-02-06</t>
  </si>
  <si>
    <t>31-03-2024</t>
  </si>
  <si>
    <t>20-01-2025</t>
  </si>
  <si>
    <t>2024-04-14</t>
  </si>
  <si>
    <t>2025-05-20</t>
  </si>
  <si>
    <t>2024-03-06</t>
  </si>
  <si>
    <t>01-04-2024</t>
  </si>
  <si>
    <t>2025-05-16</t>
  </si>
  <si>
    <t>03/25/2025</t>
  </si>
  <si>
    <t>2024-06-12</t>
  </si>
  <si>
    <t>04 Jun 2024</t>
  </si>
  <si>
    <t>2025-03-08</t>
  </si>
  <si>
    <t>09/06/2025</t>
  </si>
  <si>
    <t>02 Sep 2025</t>
  </si>
  <si>
    <t>21 Nov 2024</t>
  </si>
  <si>
    <t>03/06/2025</t>
  </si>
  <si>
    <t>06 Jun 2025</t>
  </si>
  <si>
    <t>02/20/2024</t>
  </si>
  <si>
    <t>01 Feb 2025</t>
  </si>
  <si>
    <t>10 Aug 2024</t>
  </si>
  <si>
    <t>11/18/2024</t>
  </si>
  <si>
    <t>26-08-2025</t>
  </si>
  <si>
    <t>2025-08-27</t>
  </si>
  <si>
    <t>08-03-2024</t>
  </si>
  <si>
    <t>02 Feb 2025</t>
  </si>
  <si>
    <t>28 Apr 2025</t>
  </si>
  <si>
    <t>18-01-2025</t>
  </si>
  <si>
    <t>26-04-2025</t>
  </si>
  <si>
    <t>06-08-2025</t>
  </si>
  <si>
    <t>10 Mar 2025</t>
  </si>
  <si>
    <t>04/12/2025</t>
  </si>
  <si>
    <t>06 Jun 2024</t>
  </si>
  <si>
    <t>05 Nov 2024</t>
  </si>
  <si>
    <t>12/24/2024</t>
  </si>
  <si>
    <t>Corrected ship_date</t>
  </si>
  <si>
    <t>Invalid Dates</t>
  </si>
  <si>
    <t>Invalid Ship Mode, Invalid Dates</t>
  </si>
  <si>
    <t>Missing Region, Invalid Discount, Invalid Dates</t>
  </si>
  <si>
    <t>Invalid Discount, Invalid Order Date</t>
  </si>
  <si>
    <t>Invalid Order Date</t>
  </si>
  <si>
    <t>Invalid Ship Mode, Invalid Order Date</t>
  </si>
  <si>
    <t>Missing Region, Invalid Order Date</t>
  </si>
  <si>
    <t>calculated_sales</t>
  </si>
  <si>
    <t>calculated_profit</t>
  </si>
  <si>
    <t>profit_margin</t>
  </si>
  <si>
    <t>shipping_delay_days</t>
  </si>
  <si>
    <t>order_month</t>
  </si>
  <si>
    <t>order_year</t>
  </si>
  <si>
    <t>Invalid Ship Date</t>
  </si>
  <si>
    <t>Invalid Ship Mode, Invalid Ship Date</t>
  </si>
  <si>
    <t>Invalid Discount, Invalid Ship Date</t>
  </si>
  <si>
    <t>Missing Region, Invalid Ship Date</t>
  </si>
  <si>
    <t>Ship date earlier than order date</t>
  </si>
  <si>
    <t>Invalid Discount, Ship date earlier than order date</t>
  </si>
  <si>
    <t>cleaned_discount</t>
  </si>
  <si>
    <t>Category correction</t>
  </si>
  <si>
    <t>invalid</t>
  </si>
  <si>
    <t>warning</t>
  </si>
  <si>
    <t>disc</t>
  </si>
  <si>
    <t>Missing Region, Invalid Discount, Invalid Dates, Duplicate record</t>
  </si>
  <si>
    <t>Invalid Ship Date, Duplicate Record</t>
  </si>
  <si>
    <t>Duplicate Record</t>
  </si>
  <si>
    <t>Invalid Ship Mode, Duplicate Record</t>
  </si>
  <si>
    <t>duplicate_record</t>
  </si>
  <si>
    <t>Y</t>
  </si>
  <si>
    <t>duplicate_order_id</t>
  </si>
  <si>
    <t>Duplicate order id</t>
  </si>
  <si>
    <t>Invalid Discount, Duplicate order id</t>
  </si>
  <si>
    <t>Invalid Discount, Ship date earlier than order date, Duplicate order id</t>
  </si>
  <si>
    <t>Invalid Ship Date, Duplicate order id</t>
  </si>
  <si>
    <t>Invalid Ship Mode, Duplicate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</si>
</sst>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yyyy/mm/dd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33"/>
  <sheetViews>
    <sheetView tabSelected="1" zoomScale="97" workbookViewId="0"/>
  </sheetViews>
  <sheetFormatPr defaultRowHeight="13.5"/>
  <cols>
    <col min="1" max="1" width="16" customWidth="1"/>
    <col min="2" max="2" width="16" style="4" hidden="1" customWidth="1"/>
    <col min="3" max="3" width="16" style="6" hidden="1" customWidth="1"/>
    <col min="4" max="4" width="16" hidden="1" customWidth="1"/>
    <col min="5" max="5" width="16" style="6" hidden="1" customWidth="1"/>
    <col min="6" max="6" width="16" hidden="1" customWidth="1"/>
    <col min="7" max="8" width="18.8125" hidden="1" customWidth="1"/>
    <col min="9" max="28" width="16" hidden="1" customWidth="1"/>
    <col min="29" max="38" width="16" customWidth="1"/>
    <col min="40" max="40" width="38.6875" bestFit="1" customWidth="1"/>
  </cols>
  <sheetData>
    <row r="1" spans="1:40" ht="27.75">
      <c r="A1" s="1" t="s">
        <v>0</v>
      </c>
      <c r="B1" s="3" t="s">
        <v>1</v>
      </c>
      <c r="C1" s="5" t="s">
        <v>3602</v>
      </c>
      <c r="D1" s="1" t="s">
        <v>2</v>
      </c>
      <c r="E1" s="5" t="s">
        <v>4122</v>
      </c>
      <c r="F1" s="1" t="s">
        <v>3</v>
      </c>
      <c r="G1" s="1" t="s">
        <v>4</v>
      </c>
      <c r="H1" s="1" t="s">
        <v>3591</v>
      </c>
      <c r="I1" s="1" t="s">
        <v>5</v>
      </c>
      <c r="J1" s="1" t="s">
        <v>3590</v>
      </c>
      <c r="K1" s="1" t="s">
        <v>6</v>
      </c>
      <c r="L1" s="1" t="s">
        <v>3592</v>
      </c>
      <c r="M1" s="1" t="s">
        <v>7</v>
      </c>
      <c r="N1" s="1" t="s">
        <v>8</v>
      </c>
      <c r="O1" s="1" t="s">
        <v>9</v>
      </c>
      <c r="P1" s="1" t="s">
        <v>3598</v>
      </c>
      <c r="Q1" s="1" t="s">
        <v>10</v>
      </c>
      <c r="R1" s="1" t="s">
        <v>11</v>
      </c>
      <c r="S1" s="1" t="s">
        <v>12</v>
      </c>
      <c r="T1" s="1" t="s">
        <v>3599</v>
      </c>
      <c r="U1" s="1" t="s">
        <v>13</v>
      </c>
      <c r="V1" s="1" t="s">
        <v>14</v>
      </c>
      <c r="W1" s="1" t="s">
        <v>15</v>
      </c>
      <c r="X1" s="1" t="s">
        <v>4146</v>
      </c>
      <c r="Y1" s="1" t="s">
        <v>4142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4130</v>
      </c>
      <c r="AF1" s="1" t="s">
        <v>4131</v>
      </c>
      <c r="AG1" s="1" t="s">
        <v>4132</v>
      </c>
      <c r="AH1" s="1" t="s">
        <v>4133</v>
      </c>
      <c r="AI1" s="1" t="s">
        <v>4134</v>
      </c>
      <c r="AJ1" s="1" t="s">
        <v>4135</v>
      </c>
      <c r="AK1" s="1" t="s">
        <v>4153</v>
      </c>
      <c r="AL1" s="1" t="s">
        <v>4151</v>
      </c>
      <c r="AM1" s="1" t="s">
        <v>3593</v>
      </c>
      <c r="AN1" s="1" t="s">
        <v>3594</v>
      </c>
    </row>
    <row r="2" spans="1:40">
      <c r="A2" t="s">
        <v>21</v>
      </c>
      <c r="B2" t="s">
        <v>3603</v>
      </c>
      <c r="C2" s="6">
        <v>45494</v>
      </c>
      <c r="D2" t="s">
        <v>22</v>
      </c>
      <c r="E2" s="6">
        <v>45500</v>
      </c>
      <c r="F2" t="s">
        <v>23</v>
      </c>
      <c r="G2" t="s">
        <v>24</v>
      </c>
      <c r="H2" t="s">
        <v>24</v>
      </c>
      <c r="I2" t="s">
        <v>25</v>
      </c>
      <c r="J2" t="s">
        <v>25</v>
      </c>
      <c r="K2" t="s">
        <v>26</v>
      </c>
      <c r="L2" t="str">
        <f>IF(TRIM(K2)="","Unknown",PROPER(TRIM(K2)))</f>
        <v>North</v>
      </c>
      <c r="M2" t="s">
        <v>27</v>
      </c>
      <c r="N2" t="s">
        <v>28</v>
      </c>
      <c r="O2" t="s">
        <v>29</v>
      </c>
      <c r="P2" t="str">
        <f>IF(TRIM(O2)="","Unknown",PROPER(TRIM(O2)))</f>
        <v>Office Supplies</v>
      </c>
      <c r="Q2" t="s">
        <v>30</v>
      </c>
      <c r="R2" t="s">
        <v>31</v>
      </c>
      <c r="S2" t="s">
        <v>32</v>
      </c>
      <c r="T2" t="str">
        <f>IF(TRIM(S2)="","Unknown",PROPER(TRIM(S2)))</f>
        <v>Second Class</v>
      </c>
      <c r="U2">
        <v>8</v>
      </c>
      <c r="V2">
        <v>2976.45</v>
      </c>
      <c r="W2">
        <v>0.2</v>
      </c>
      <c r="Y2">
        <v>0.2</v>
      </c>
      <c r="Z2">
        <v>19049.28</v>
      </c>
      <c r="AA2">
        <v>15841.89</v>
      </c>
      <c r="AB2">
        <v>3207.39</v>
      </c>
      <c r="AC2" t="s">
        <v>33</v>
      </c>
      <c r="AD2" t="s">
        <v>34</v>
      </c>
      <c r="AE2">
        <f>ROUND((U2*V2)-(U2*V2*Y2),2)</f>
        <v>19049.28</v>
      </c>
      <c r="AF2">
        <f>AE2-AA2</f>
        <v>3207.3899999999994</v>
      </c>
      <c r="AG2" s="7">
        <f>ROUND((AF2/AE2),4)</f>
        <v>0.16839999999999999</v>
      </c>
      <c r="AH2">
        <f>IF(AND(C2&lt;&gt;"",E2&lt;&gt;""),E2 - C2,"")</f>
        <v>6</v>
      </c>
      <c r="AI2" t="str">
        <f>IF(C2="","",TEXT(C2, "mmmm"))</f>
        <v>July</v>
      </c>
      <c r="AJ2">
        <f>IF(C2="","",YEAR(C2))</f>
        <v>2024</v>
      </c>
      <c r="AM2" t="str">
        <f>IF(AN2="","clean","")</f>
        <v>clean</v>
      </c>
    </row>
    <row r="3" spans="1:40">
      <c r="A3" t="s">
        <v>35</v>
      </c>
      <c r="B3" t="s">
        <v>36</v>
      </c>
      <c r="C3" s="6">
        <v>45535</v>
      </c>
      <c r="D3" t="s">
        <v>37</v>
      </c>
      <c r="E3" s="6">
        <v>45540</v>
      </c>
      <c r="F3" t="s">
        <v>38</v>
      </c>
      <c r="G3" t="s">
        <v>39</v>
      </c>
      <c r="H3" t="s">
        <v>39</v>
      </c>
      <c r="I3" t="s">
        <v>40</v>
      </c>
      <c r="J3" t="s">
        <v>40</v>
      </c>
      <c r="K3" t="s">
        <v>41</v>
      </c>
      <c r="L3" t="str">
        <f>IF(TRIM(K3)="","Unknown",PROPER(TRIM(K3)))</f>
        <v>East</v>
      </c>
      <c r="M3" t="s">
        <v>42</v>
      </c>
      <c r="N3" t="s">
        <v>43</v>
      </c>
      <c r="O3" t="s">
        <v>44</v>
      </c>
      <c r="P3" t="str">
        <f>IF(TRIM(O3)="","Unknown",PROPER(TRIM(O3)))</f>
        <v>Furniture</v>
      </c>
      <c r="Q3" t="s">
        <v>45</v>
      </c>
      <c r="R3" t="s">
        <v>46</v>
      </c>
      <c r="S3" t="s">
        <v>47</v>
      </c>
      <c r="T3" t="str">
        <f>IF(TRIM(S3)="","Unknown",PROPER(TRIM(S3)))</f>
        <v>Same Day</v>
      </c>
      <c r="U3">
        <v>3</v>
      </c>
      <c r="V3">
        <v>2437.5</v>
      </c>
      <c r="W3">
        <v>0</v>
      </c>
      <c r="Y3">
        <v>0</v>
      </c>
      <c r="Z3">
        <v>7312.5</v>
      </c>
      <c r="AA3">
        <v>4904.7299999999996</v>
      </c>
      <c r="AB3">
        <v>2407.77</v>
      </c>
      <c r="AC3" t="s">
        <v>33</v>
      </c>
      <c r="AD3" t="s">
        <v>34</v>
      </c>
      <c r="AE3">
        <f>ROUND((U3*V3)-(U3*V3*Y3),2)</f>
        <v>7312.5</v>
      </c>
      <c r="AF3">
        <f>AE3-AA3</f>
        <v>2407.7700000000004</v>
      </c>
      <c r="AG3" s="7">
        <f>ROUND((AF3/AE3),4)</f>
        <v>0.32929999999999998</v>
      </c>
      <c r="AH3">
        <f>IF(AND(C3&lt;&gt;"",E3&lt;&gt;""),E3 - C3,"")</f>
        <v>5</v>
      </c>
      <c r="AI3" t="str">
        <f>IF(C3="","",TEXT(C3, "mmmm"))</f>
        <v>August</v>
      </c>
      <c r="AJ3">
        <f>IF(C3="","",YEAR(C3))</f>
        <v>2024</v>
      </c>
      <c r="AM3" t="str">
        <f>IF(AN3="","clean","")</f>
        <v>clean</v>
      </c>
      <c r="AN3" t="s">
        <v>3595</v>
      </c>
    </row>
    <row r="4" spans="1:40">
      <c r="A4" t="s">
        <v>48</v>
      </c>
      <c r="B4" t="s">
        <v>49</v>
      </c>
      <c r="C4" s="6">
        <v>45451</v>
      </c>
      <c r="D4" t="s">
        <v>50</v>
      </c>
      <c r="E4" s="6">
        <v>45458</v>
      </c>
      <c r="F4" t="s">
        <v>51</v>
      </c>
      <c r="G4" t="s">
        <v>52</v>
      </c>
      <c r="H4" t="s">
        <v>52</v>
      </c>
      <c r="I4" t="s">
        <v>25</v>
      </c>
      <c r="J4" t="s">
        <v>25</v>
      </c>
      <c r="K4" t="s">
        <v>41</v>
      </c>
      <c r="L4" t="str">
        <f>IF(TRIM(K4)="","Unknown",PROPER(TRIM(K4)))</f>
        <v>East</v>
      </c>
      <c r="M4" t="s">
        <v>42</v>
      </c>
      <c r="N4" t="s">
        <v>43</v>
      </c>
      <c r="O4" t="s">
        <v>29</v>
      </c>
      <c r="P4" t="str">
        <f>IF(TRIM(O4)="","Unknown",PROPER(TRIM(O4)))</f>
        <v>Office Supplies</v>
      </c>
      <c r="Q4" t="s">
        <v>53</v>
      </c>
      <c r="R4" t="s">
        <v>54</v>
      </c>
      <c r="S4" t="s">
        <v>55</v>
      </c>
      <c r="T4" t="str">
        <f>IF(TRIM(S4)="","Unknown",PROPER(TRIM(S4)))</f>
        <v>First Class</v>
      </c>
      <c r="U4">
        <v>4</v>
      </c>
      <c r="V4">
        <v>1065.43</v>
      </c>
      <c r="W4">
        <v>0.55000000000000004</v>
      </c>
      <c r="Y4">
        <v>0</v>
      </c>
      <c r="Z4">
        <v>4261.72</v>
      </c>
      <c r="AA4">
        <v>2465.69</v>
      </c>
      <c r="AB4">
        <v>1796.03</v>
      </c>
      <c r="AC4" t="s">
        <v>33</v>
      </c>
      <c r="AD4" t="s">
        <v>34</v>
      </c>
      <c r="AE4">
        <f>ROUND((U4*V4)-(U4*V4*Y4),2)</f>
        <v>4261.72</v>
      </c>
      <c r="AF4">
        <f>AE4-AA4</f>
        <v>1796.0300000000002</v>
      </c>
      <c r="AG4" s="7">
        <f>ROUND((AF4/AE4),4)</f>
        <v>0.4214</v>
      </c>
      <c r="AH4">
        <f>IF(AND(C4&lt;&gt;"",E4&lt;&gt;""),E4 - C4,"")</f>
        <v>7</v>
      </c>
      <c r="AI4" t="str">
        <f>IF(C4="","",TEXT(C4, "mmmm"))</f>
        <v>June</v>
      </c>
      <c r="AJ4">
        <f>IF(C4="","",YEAR(C4))</f>
        <v>2024</v>
      </c>
      <c r="AM4" t="s">
        <v>4145</v>
      </c>
      <c r="AN4" t="s">
        <v>3596</v>
      </c>
    </row>
    <row r="5" spans="1:40">
      <c r="A5" t="s">
        <v>56</v>
      </c>
      <c r="B5" t="s">
        <v>3604</v>
      </c>
      <c r="D5" t="s">
        <v>57</v>
      </c>
      <c r="E5" s="6">
        <v>45625</v>
      </c>
      <c r="F5" t="s">
        <v>58</v>
      </c>
      <c r="G5" t="s">
        <v>59</v>
      </c>
      <c r="H5" t="s">
        <v>59</v>
      </c>
      <c r="I5" t="s">
        <v>40</v>
      </c>
      <c r="J5" t="s">
        <v>40</v>
      </c>
      <c r="K5" t="s">
        <v>60</v>
      </c>
      <c r="L5" t="str">
        <f>IF(TRIM(K5)="","Unknown",PROPER(TRIM(K5)))</f>
        <v>South</v>
      </c>
      <c r="M5" t="s">
        <v>61</v>
      </c>
      <c r="N5" t="s">
        <v>62</v>
      </c>
      <c r="O5" t="s">
        <v>44</v>
      </c>
      <c r="P5" t="str">
        <f>IF(TRIM(O5)="","Unknown",PROPER(TRIM(O5)))</f>
        <v>Furniture</v>
      </c>
      <c r="Q5" t="s">
        <v>63</v>
      </c>
      <c r="R5" t="s">
        <v>64</v>
      </c>
      <c r="S5" t="s">
        <v>65</v>
      </c>
      <c r="T5" t="str">
        <f>IF(TRIM(S5)="","Unknown",PROPER(TRIM(S5)))</f>
        <v>Standard Class</v>
      </c>
      <c r="U5">
        <v>6</v>
      </c>
      <c r="V5">
        <v>1848.43</v>
      </c>
      <c r="W5">
        <v>0.25</v>
      </c>
      <c r="Y5">
        <v>0.25</v>
      </c>
      <c r="Z5">
        <v>8317.93</v>
      </c>
      <c r="AA5">
        <v>6796.77</v>
      </c>
      <c r="AB5">
        <v>1521.16</v>
      </c>
      <c r="AC5" t="s">
        <v>33</v>
      </c>
      <c r="AD5" t="s">
        <v>34</v>
      </c>
      <c r="AE5">
        <f>ROUND((U5*V5)-(U5*V5*Y5),2)</f>
        <v>8317.94</v>
      </c>
      <c r="AF5">
        <f>AE5-AA5</f>
        <v>1521.17</v>
      </c>
      <c r="AG5" s="7">
        <f>ROUND((AF5/AE5),4)</f>
        <v>0.18290000000000001</v>
      </c>
      <c r="AH5" t="str">
        <f>IF(AND(C5&lt;&gt;"",E5&lt;&gt;""),E5 - C5,"")</f>
        <v/>
      </c>
      <c r="AI5" t="str">
        <f>IF(C5="","",TEXT(C5, "mmmm"))</f>
        <v/>
      </c>
      <c r="AJ5" t="str">
        <f>IF(C5="","",YEAR(C5))</f>
        <v/>
      </c>
      <c r="AM5" t="s">
        <v>4144</v>
      </c>
      <c r="AN5" t="s">
        <v>4127</v>
      </c>
    </row>
    <row r="6" spans="1:40">
      <c r="A6" t="s">
        <v>77</v>
      </c>
      <c r="B6" t="s">
        <v>3605</v>
      </c>
      <c r="C6" s="6">
        <v>45436</v>
      </c>
      <c r="D6" t="s">
        <v>78</v>
      </c>
      <c r="F6" t="s">
        <v>79</v>
      </c>
      <c r="G6" t="s">
        <v>80</v>
      </c>
      <c r="H6" t="s">
        <v>80</v>
      </c>
      <c r="I6" t="s">
        <v>40</v>
      </c>
      <c r="J6" t="s">
        <v>40</v>
      </c>
      <c r="K6" t="s">
        <v>71</v>
      </c>
      <c r="L6" t="str">
        <f>IF(TRIM(K6)="","Unknown",PROPER(TRIM(K6)))</f>
        <v>West</v>
      </c>
      <c r="M6" t="s">
        <v>81</v>
      </c>
      <c r="N6" t="s">
        <v>82</v>
      </c>
      <c r="O6" t="s">
        <v>83</v>
      </c>
      <c r="P6" t="str">
        <f>IF(TRIM(O6)="","Unknown",PROPER(TRIM(O6)))</f>
        <v>Technology</v>
      </c>
      <c r="Q6" t="s">
        <v>84</v>
      </c>
      <c r="R6" t="s">
        <v>85</v>
      </c>
      <c r="S6" t="s">
        <v>47</v>
      </c>
      <c r="T6" t="str">
        <f>IF(TRIM(S6)="","Unknown",PROPER(TRIM(S6)))</f>
        <v>Same Day</v>
      </c>
      <c r="U6">
        <v>3</v>
      </c>
      <c r="V6">
        <v>1053.1099999999999</v>
      </c>
      <c r="W6">
        <v>0.2</v>
      </c>
      <c r="Y6">
        <v>0.2</v>
      </c>
      <c r="Z6">
        <v>2527.46</v>
      </c>
      <c r="AA6">
        <v>1533.58</v>
      </c>
      <c r="AB6">
        <v>993.88</v>
      </c>
      <c r="AC6" t="s">
        <v>33</v>
      </c>
      <c r="AD6" t="s">
        <v>34</v>
      </c>
      <c r="AE6">
        <f>ROUND((U6*V6)-(U6*V6*Y6),2)</f>
        <v>2527.46</v>
      </c>
      <c r="AF6">
        <f>AE6-AA6</f>
        <v>993.88000000000011</v>
      </c>
      <c r="AG6" s="7">
        <f>ROUND((AF6/AE6),4)</f>
        <v>0.39319999999999999</v>
      </c>
      <c r="AH6" t="str">
        <f>IF(AND(C6&lt;&gt;"",E6&lt;&gt;""),E6 - C6,"")</f>
        <v/>
      </c>
      <c r="AI6" t="str">
        <f>IF(C6="","",TEXT(C6, "mmmm"))</f>
        <v>May</v>
      </c>
      <c r="AJ6">
        <f>IF(C6="","",YEAR(C6))</f>
        <v>2024</v>
      </c>
      <c r="AM6" t="s">
        <v>4144</v>
      </c>
      <c r="AN6" t="s">
        <v>4136</v>
      </c>
    </row>
    <row r="7" spans="1:40">
      <c r="A7" t="s">
        <v>100</v>
      </c>
      <c r="B7" t="s">
        <v>3606</v>
      </c>
      <c r="C7" s="6">
        <v>45601</v>
      </c>
      <c r="D7" t="s">
        <v>101</v>
      </c>
      <c r="E7" s="6">
        <v>45606</v>
      </c>
      <c r="F7" t="s">
        <v>102</v>
      </c>
      <c r="G7" t="s">
        <v>103</v>
      </c>
      <c r="H7" t="s">
        <v>103</v>
      </c>
      <c r="I7" t="s">
        <v>104</v>
      </c>
      <c r="J7" t="s">
        <v>104</v>
      </c>
      <c r="K7" t="s">
        <v>60</v>
      </c>
      <c r="L7" t="str">
        <f>IF(TRIM(K7)="","Unknown",PROPER(TRIM(K7)))</f>
        <v>South</v>
      </c>
      <c r="M7" t="s">
        <v>61</v>
      </c>
      <c r="N7" t="s">
        <v>62</v>
      </c>
      <c r="O7" t="s">
        <v>29</v>
      </c>
      <c r="P7" t="str">
        <f>IF(TRIM(O7)="","Unknown",PROPER(TRIM(O7)))</f>
        <v>Office Supplies</v>
      </c>
      <c r="Q7" t="s">
        <v>105</v>
      </c>
      <c r="R7" t="s">
        <v>106</v>
      </c>
      <c r="S7" t="s">
        <v>55</v>
      </c>
      <c r="T7" t="str">
        <f>IF(TRIM(S7)="","Unknown",PROPER(TRIM(S7)))</f>
        <v>First Class</v>
      </c>
      <c r="U7">
        <v>8</v>
      </c>
      <c r="V7">
        <v>3134.2</v>
      </c>
      <c r="W7">
        <v>0</v>
      </c>
      <c r="Y7">
        <v>0</v>
      </c>
      <c r="Z7">
        <v>25073.599999999999</v>
      </c>
      <c r="AA7">
        <v>17347.23</v>
      </c>
      <c r="AB7">
        <v>7726.37</v>
      </c>
      <c r="AC7" t="s">
        <v>33</v>
      </c>
      <c r="AD7" t="s">
        <v>34</v>
      </c>
      <c r="AE7">
        <f>ROUND((U7*V7)-(U7*V7*Y7),2)</f>
        <v>25073.599999999999</v>
      </c>
      <c r="AF7">
        <f>AE7-AA7</f>
        <v>7726.369999999999</v>
      </c>
      <c r="AG7" s="7">
        <f>ROUND((AF7/AE7),4)</f>
        <v>0.30809999999999998</v>
      </c>
      <c r="AH7">
        <f>IF(AND(C7&lt;&gt;"",E7&lt;&gt;""),E7 - C7,"")</f>
        <v>5</v>
      </c>
      <c r="AI7" t="str">
        <f>IF(C7="","",TEXT(C7, "mmmm"))</f>
        <v>November</v>
      </c>
      <c r="AJ7">
        <f>IF(C7="","",YEAR(C7))</f>
        <v>2024</v>
      </c>
      <c r="AM7" t="str">
        <f>IF(AN7="","clean","")</f>
        <v>clean</v>
      </c>
      <c r="AN7" t="s">
        <v>3595</v>
      </c>
    </row>
    <row r="8" spans="1:40">
      <c r="A8" t="s">
        <v>121</v>
      </c>
      <c r="B8" t="s">
        <v>122</v>
      </c>
      <c r="C8" s="6">
        <v>45495</v>
      </c>
      <c r="D8" t="s">
        <v>123</v>
      </c>
      <c r="F8" t="s">
        <v>124</v>
      </c>
      <c r="G8" t="s">
        <v>80</v>
      </c>
      <c r="H8" t="s">
        <v>80</v>
      </c>
      <c r="I8" t="s">
        <v>40</v>
      </c>
      <c r="J8" t="s">
        <v>40</v>
      </c>
      <c r="K8" t="s">
        <v>41</v>
      </c>
      <c r="L8" t="str">
        <f>IF(TRIM(K8)="","Unknown",PROPER(TRIM(K8)))</f>
        <v>East</v>
      </c>
      <c r="M8" t="s">
        <v>42</v>
      </c>
      <c r="N8" t="s">
        <v>43</v>
      </c>
      <c r="O8" t="s">
        <v>83</v>
      </c>
      <c r="P8" t="str">
        <f>IF(TRIM(O8)="","Unknown",PROPER(TRIM(O8)))</f>
        <v>Technology</v>
      </c>
      <c r="Q8" t="s">
        <v>84</v>
      </c>
      <c r="R8" t="s">
        <v>125</v>
      </c>
      <c r="S8" t="s">
        <v>47</v>
      </c>
      <c r="T8" t="str">
        <f>IF(TRIM(S8)="","Unknown",PROPER(TRIM(S8)))</f>
        <v>Same Day</v>
      </c>
      <c r="U8">
        <v>6</v>
      </c>
      <c r="V8">
        <v>2005.95</v>
      </c>
      <c r="W8">
        <v>0.2</v>
      </c>
      <c r="Y8">
        <v>0.2</v>
      </c>
      <c r="Z8">
        <v>9628.56</v>
      </c>
      <c r="AA8">
        <v>8038.59</v>
      </c>
      <c r="AB8">
        <v>1589.97</v>
      </c>
      <c r="AC8" t="s">
        <v>33</v>
      </c>
      <c r="AD8" t="s">
        <v>34</v>
      </c>
      <c r="AE8">
        <f>ROUND((U8*V8)-(U8*V8*Y8),2)</f>
        <v>9628.56</v>
      </c>
      <c r="AF8">
        <f>AE8-AA8</f>
        <v>1589.9699999999993</v>
      </c>
      <c r="AG8" s="7">
        <f>ROUND((AF8/AE8),4)</f>
        <v>0.1651</v>
      </c>
      <c r="AH8" t="str">
        <f>IF(AND(C8&lt;&gt;"",E8&lt;&gt;""),E8 - C8,"")</f>
        <v/>
      </c>
      <c r="AI8" t="str">
        <f>IF(C8="","",TEXT(C8, "mmmm"))</f>
        <v>July</v>
      </c>
      <c r="AJ8">
        <f>IF(C8="","",YEAR(C8))</f>
        <v>2024</v>
      </c>
      <c r="AM8" t="s">
        <v>4144</v>
      </c>
      <c r="AN8" t="s">
        <v>4136</v>
      </c>
    </row>
    <row r="9" spans="1:40">
      <c r="A9" t="s">
        <v>126</v>
      </c>
      <c r="B9" t="s">
        <v>3608</v>
      </c>
      <c r="C9" s="6">
        <v>45646</v>
      </c>
      <c r="D9" t="s">
        <v>127</v>
      </c>
      <c r="E9" s="6">
        <v>45647</v>
      </c>
      <c r="F9" t="s">
        <v>128</v>
      </c>
      <c r="G9" t="s">
        <v>70</v>
      </c>
      <c r="H9" t="s">
        <v>70</v>
      </c>
      <c r="I9" t="s">
        <v>104</v>
      </c>
      <c r="J9" t="s">
        <v>104</v>
      </c>
      <c r="K9" t="s">
        <v>71</v>
      </c>
      <c r="L9" t="str">
        <f>IF(TRIM(K9)="","Unknown",PROPER(TRIM(K9)))</f>
        <v>West</v>
      </c>
      <c r="M9" t="s">
        <v>27</v>
      </c>
      <c r="N9" t="s">
        <v>129</v>
      </c>
      <c r="O9" t="s">
        <v>29</v>
      </c>
      <c r="P9" t="str">
        <f>IF(TRIM(O9)="","Unknown",PROPER(TRIM(O9)))</f>
        <v>Office Supplies</v>
      </c>
      <c r="Q9" t="s">
        <v>30</v>
      </c>
      <c r="R9" t="s">
        <v>130</v>
      </c>
      <c r="S9" t="s">
        <v>55</v>
      </c>
      <c r="T9" t="str">
        <f>IF(TRIM(S9)="","Unknown",PROPER(TRIM(S9)))</f>
        <v>First Class</v>
      </c>
      <c r="U9">
        <v>1</v>
      </c>
      <c r="V9">
        <v>702.14</v>
      </c>
      <c r="W9">
        <v>0.15</v>
      </c>
      <c r="Y9">
        <v>0.15</v>
      </c>
      <c r="Z9">
        <v>596.82000000000005</v>
      </c>
      <c r="AA9">
        <v>380.25</v>
      </c>
      <c r="AB9">
        <v>216.57</v>
      </c>
      <c r="AC9" t="s">
        <v>131</v>
      </c>
      <c r="AD9" t="s">
        <v>120</v>
      </c>
      <c r="AE9">
        <f>ROUND((U9*V9)-(U9*V9*Y9),2)</f>
        <v>596.82000000000005</v>
      </c>
      <c r="AF9">
        <f>AE9-AA9</f>
        <v>216.57000000000005</v>
      </c>
      <c r="AG9" s="7">
        <f>ROUND((AF9/AE9),4)</f>
        <v>0.3629</v>
      </c>
      <c r="AH9">
        <f>IF(AND(C9&lt;&gt;"",E9&lt;&gt;""),E9 - C9,"")</f>
        <v>1</v>
      </c>
      <c r="AI9" t="str">
        <f>IF(C9="","",TEXT(C9, "mmmm"))</f>
        <v>December</v>
      </c>
      <c r="AJ9">
        <f>IF(C9="","",YEAR(C9))</f>
        <v>2024</v>
      </c>
      <c r="AM9" t="str">
        <f>IF(AN9="","clean","")</f>
        <v>clean</v>
      </c>
      <c r="AN9" t="s">
        <v>3595</v>
      </c>
    </row>
    <row r="10" spans="1:40">
      <c r="A10" t="s">
        <v>138</v>
      </c>
      <c r="B10" t="s">
        <v>3609</v>
      </c>
      <c r="C10" s="6">
        <v>45653</v>
      </c>
      <c r="D10" t="s">
        <v>139</v>
      </c>
      <c r="E10" s="6">
        <v>45654</v>
      </c>
      <c r="F10" t="s">
        <v>140</v>
      </c>
      <c r="G10" t="s">
        <v>141</v>
      </c>
      <c r="H10" t="s">
        <v>141</v>
      </c>
      <c r="I10" t="s">
        <v>25</v>
      </c>
      <c r="J10" t="s">
        <v>25</v>
      </c>
      <c r="K10" t="s">
        <v>71</v>
      </c>
      <c r="L10" t="str">
        <f>IF(TRIM(K10)="","Unknown",PROPER(TRIM(K10)))</f>
        <v>West</v>
      </c>
      <c r="M10" t="s">
        <v>27</v>
      </c>
      <c r="N10" t="s">
        <v>129</v>
      </c>
      <c r="O10" t="s">
        <v>83</v>
      </c>
      <c r="P10" t="str">
        <f>IF(TRIM(O10)="","Unknown",PROPER(TRIM(O10)))</f>
        <v>Technology</v>
      </c>
      <c r="Q10" t="s">
        <v>91</v>
      </c>
      <c r="R10" t="s">
        <v>142</v>
      </c>
      <c r="S10" t="s">
        <v>65</v>
      </c>
      <c r="T10" t="str">
        <f>IF(TRIM(S10)="","Unknown",PROPER(TRIM(S10)))</f>
        <v>Standard Class</v>
      </c>
      <c r="U10">
        <v>2</v>
      </c>
      <c r="V10">
        <v>2737.83</v>
      </c>
      <c r="W10">
        <v>0.25</v>
      </c>
      <c r="Y10">
        <v>0.25</v>
      </c>
      <c r="Z10">
        <v>4106.74</v>
      </c>
      <c r="AA10">
        <v>2666.3</v>
      </c>
      <c r="AB10">
        <v>1440.44</v>
      </c>
      <c r="AC10" t="s">
        <v>33</v>
      </c>
      <c r="AD10" t="s">
        <v>34</v>
      </c>
      <c r="AE10">
        <f>ROUND((U10*V10)-(U10*V10*Y10),2)</f>
        <v>4106.75</v>
      </c>
      <c r="AF10">
        <f>AE10-AA10</f>
        <v>1440.4499999999998</v>
      </c>
      <c r="AG10" s="7">
        <f>ROUND((AF10/AE10),4)</f>
        <v>0.3508</v>
      </c>
      <c r="AH10">
        <f>IF(AND(C10&lt;&gt;"",E10&lt;&gt;""),E10 - C10,"")</f>
        <v>1</v>
      </c>
      <c r="AI10" t="str">
        <f>IF(C10="","",TEXT(C10, "mmmm"))</f>
        <v>December</v>
      </c>
      <c r="AJ10">
        <f>IF(C10="","",YEAR(C10))</f>
        <v>2024</v>
      </c>
      <c r="AM10" t="str">
        <f>IF(AN10="","clean","")</f>
        <v>clean</v>
      </c>
    </row>
    <row r="11" spans="1:40">
      <c r="A11" t="s">
        <v>143</v>
      </c>
      <c r="B11" t="s">
        <v>3610</v>
      </c>
      <c r="C11" s="6">
        <v>45482</v>
      </c>
      <c r="D11" t="s">
        <v>144</v>
      </c>
      <c r="E11" s="6">
        <v>45482</v>
      </c>
      <c r="F11" t="s">
        <v>145</v>
      </c>
      <c r="G11" t="s">
        <v>24</v>
      </c>
      <c r="H11" t="s">
        <v>24</v>
      </c>
      <c r="I11" t="s">
        <v>40</v>
      </c>
      <c r="J11" t="s">
        <v>40</v>
      </c>
      <c r="K11" t="s">
        <v>26</v>
      </c>
      <c r="L11" t="str">
        <f>IF(TRIM(K11)="","Unknown",PROPER(TRIM(K11)))</f>
        <v>North</v>
      </c>
      <c r="M11" t="s">
        <v>146</v>
      </c>
      <c r="N11" t="s">
        <v>147</v>
      </c>
      <c r="O11" t="s">
        <v>29</v>
      </c>
      <c r="P11" t="str">
        <f>IF(TRIM(O11)="","Unknown",PROPER(TRIM(O11)))</f>
        <v>Office Supplies</v>
      </c>
      <c r="Q11" t="s">
        <v>148</v>
      </c>
      <c r="R11" t="s">
        <v>149</v>
      </c>
      <c r="S11" t="s">
        <v>32</v>
      </c>
      <c r="T11" t="str">
        <f>IF(TRIM(S11)="","Unknown",PROPER(TRIM(S11)))</f>
        <v>Second Class</v>
      </c>
      <c r="U11">
        <v>6</v>
      </c>
      <c r="V11">
        <v>3965.76</v>
      </c>
      <c r="W11">
        <v>0</v>
      </c>
      <c r="Y11">
        <v>0</v>
      </c>
      <c r="Z11">
        <v>23794.560000000001</v>
      </c>
      <c r="AA11">
        <v>15698.47</v>
      </c>
      <c r="AB11">
        <v>8096.09</v>
      </c>
      <c r="AC11" t="s">
        <v>33</v>
      </c>
      <c r="AD11" t="s">
        <v>34</v>
      </c>
      <c r="AE11">
        <f>ROUND((U11*V11)-(U11*V11*Y11),2)</f>
        <v>23794.560000000001</v>
      </c>
      <c r="AF11">
        <f>AE11-AA11</f>
        <v>8096.090000000002</v>
      </c>
      <c r="AG11" s="7">
        <f>ROUND((AF11/AE11),4)</f>
        <v>0.3402</v>
      </c>
      <c r="AH11">
        <f>IF(AND(C11&lt;&gt;"",E11&lt;&gt;""),E11 - C11,"")</f>
        <v>0</v>
      </c>
      <c r="AI11" t="str">
        <f>IF(C11="","",TEXT(C11, "mmmm"))</f>
        <v>July</v>
      </c>
      <c r="AJ11">
        <f>IF(C11="","",YEAR(C11))</f>
        <v>2024</v>
      </c>
      <c r="AM11" t="str">
        <f>IF(AN11="","clean","")</f>
        <v>clean</v>
      </c>
      <c r="AN11" t="s">
        <v>3595</v>
      </c>
    </row>
    <row r="12" spans="1:40">
      <c r="A12" t="s">
        <v>150</v>
      </c>
      <c r="B12" t="s">
        <v>3611</v>
      </c>
      <c r="C12" s="6">
        <v>45420</v>
      </c>
      <c r="D12" t="s">
        <v>151</v>
      </c>
      <c r="E12" s="6">
        <v>45427</v>
      </c>
      <c r="F12" t="s">
        <v>152</v>
      </c>
      <c r="G12" t="s">
        <v>153</v>
      </c>
      <c r="H12" t="s">
        <v>153</v>
      </c>
      <c r="I12" t="s">
        <v>25</v>
      </c>
      <c r="J12" t="s">
        <v>25</v>
      </c>
      <c r="K12" t="s">
        <v>60</v>
      </c>
      <c r="L12" t="str">
        <f>IF(TRIM(K12)="","Unknown",PROPER(TRIM(K12)))</f>
        <v>South</v>
      </c>
      <c r="M12" t="s">
        <v>61</v>
      </c>
      <c r="N12" t="s">
        <v>62</v>
      </c>
      <c r="O12" t="s">
        <v>29</v>
      </c>
      <c r="P12" t="str">
        <f>IF(TRIM(O12)="","Unknown",PROPER(TRIM(O12)))</f>
        <v>Office Supplies</v>
      </c>
      <c r="Q12" t="s">
        <v>53</v>
      </c>
      <c r="R12" t="s">
        <v>154</v>
      </c>
      <c r="S12" t="s">
        <v>55</v>
      </c>
      <c r="T12" t="str">
        <f>IF(TRIM(S12)="","Unknown",PROPER(TRIM(S12)))</f>
        <v>First Class</v>
      </c>
      <c r="U12">
        <v>4</v>
      </c>
      <c r="V12">
        <v>3323.51</v>
      </c>
      <c r="W12">
        <v>0.25</v>
      </c>
      <c r="Y12">
        <v>0.25</v>
      </c>
      <c r="Z12">
        <v>9970.5300000000007</v>
      </c>
      <c r="AA12">
        <v>5668.17</v>
      </c>
      <c r="AB12">
        <v>4302.3599999999997</v>
      </c>
      <c r="AC12" t="s">
        <v>33</v>
      </c>
      <c r="AD12" t="s">
        <v>34</v>
      </c>
      <c r="AE12">
        <f>ROUND((U12*V12)-(U12*V12*Y12),2)</f>
        <v>9970.5300000000007</v>
      </c>
      <c r="AF12">
        <f>AE12-AA12</f>
        <v>4302.3600000000006</v>
      </c>
      <c r="AG12" s="7">
        <f>ROUND((AF12/AE12),4)</f>
        <v>0.43149999999999999</v>
      </c>
      <c r="AH12">
        <f>IF(AND(C12&lt;&gt;"",E12&lt;&gt;""),E12 - C12,"")</f>
        <v>7</v>
      </c>
      <c r="AI12" t="str">
        <f>IF(C12="","",TEXT(C12, "mmmm"))</f>
        <v>May</v>
      </c>
      <c r="AJ12">
        <f>IF(C12="","",YEAR(C12))</f>
        <v>2024</v>
      </c>
      <c r="AM12" t="str">
        <f>IF(AN12="","clean","")</f>
        <v>clean</v>
      </c>
      <c r="AN12" t="s">
        <v>3595</v>
      </c>
    </row>
    <row r="13" spans="1:40">
      <c r="A13" t="s">
        <v>155</v>
      </c>
      <c r="B13" t="s">
        <v>3612</v>
      </c>
      <c r="C13" s="6">
        <v>45298</v>
      </c>
      <c r="D13" t="s">
        <v>156</v>
      </c>
      <c r="E13" s="6">
        <v>45299</v>
      </c>
      <c r="F13" t="s">
        <v>157</v>
      </c>
      <c r="G13" t="s">
        <v>158</v>
      </c>
      <c r="H13" t="s">
        <v>158</v>
      </c>
      <c r="I13" t="s">
        <v>40</v>
      </c>
      <c r="J13" t="s">
        <v>40</v>
      </c>
      <c r="K13" t="s">
        <v>26</v>
      </c>
      <c r="L13" t="str">
        <f>IF(TRIM(K13)="","Unknown",PROPER(TRIM(K13)))</f>
        <v>North</v>
      </c>
      <c r="M13" t="s">
        <v>27</v>
      </c>
      <c r="N13" t="s">
        <v>28</v>
      </c>
      <c r="O13" t="s">
        <v>44</v>
      </c>
      <c r="P13" t="str">
        <f>IF(TRIM(O13)="","Unknown",PROPER(TRIM(O13)))</f>
        <v>Furniture</v>
      </c>
      <c r="Q13" t="s">
        <v>63</v>
      </c>
      <c r="R13" t="s">
        <v>159</v>
      </c>
      <c r="S13" t="s">
        <v>47</v>
      </c>
      <c r="T13" t="str">
        <f>IF(TRIM(S13)="","Unknown",PROPER(TRIM(S13)))</f>
        <v>Same Day</v>
      </c>
      <c r="U13">
        <v>5</v>
      </c>
      <c r="V13">
        <v>1526.78</v>
      </c>
      <c r="W13">
        <v>0</v>
      </c>
      <c r="Y13">
        <v>0</v>
      </c>
      <c r="Z13">
        <v>7633.9</v>
      </c>
      <c r="AA13">
        <v>4706.91</v>
      </c>
      <c r="AB13">
        <v>2926.99</v>
      </c>
      <c r="AC13" t="s">
        <v>33</v>
      </c>
      <c r="AD13" t="s">
        <v>34</v>
      </c>
      <c r="AE13">
        <f>ROUND((U13*V13)-(U13*V13*Y13),2)</f>
        <v>7633.9</v>
      </c>
      <c r="AF13">
        <f>AE13-AA13</f>
        <v>2926.99</v>
      </c>
      <c r="AG13" s="7">
        <f>ROUND((AF13/AE13),4)</f>
        <v>0.38340000000000002</v>
      </c>
      <c r="AH13">
        <f>IF(AND(C13&lt;&gt;"",E13&lt;&gt;""),E13 - C13,"")</f>
        <v>1</v>
      </c>
      <c r="AI13" t="str">
        <f>IF(C13="","",TEXT(C13, "mmmm"))</f>
        <v>January</v>
      </c>
      <c r="AJ13">
        <f>IF(C13="","",YEAR(C13))</f>
        <v>2024</v>
      </c>
      <c r="AM13" t="str">
        <f>IF(AN13="","clean","")</f>
        <v>clean</v>
      </c>
      <c r="AN13" t="s">
        <v>3595</v>
      </c>
    </row>
    <row r="14" spans="1:40">
      <c r="A14" t="s">
        <v>166</v>
      </c>
      <c r="B14" t="s">
        <v>22</v>
      </c>
      <c r="C14" s="6">
        <v>45500</v>
      </c>
      <c r="D14" t="s">
        <v>167</v>
      </c>
      <c r="E14" s="6">
        <v>45504</v>
      </c>
      <c r="F14" t="s">
        <v>168</v>
      </c>
      <c r="G14" t="s">
        <v>169</v>
      </c>
      <c r="H14" t="s">
        <v>169</v>
      </c>
      <c r="I14" t="s">
        <v>110</v>
      </c>
      <c r="J14" t="s">
        <v>110</v>
      </c>
      <c r="K14" t="s">
        <v>71</v>
      </c>
      <c r="L14" t="str">
        <f>IF(TRIM(K14)="","Unknown",PROPER(TRIM(K14)))</f>
        <v>West</v>
      </c>
      <c r="M14" t="s">
        <v>81</v>
      </c>
      <c r="N14" t="s">
        <v>82</v>
      </c>
      <c r="O14" t="s">
        <v>29</v>
      </c>
      <c r="P14" t="str">
        <f>IF(TRIM(O14)="","Unknown",PROPER(TRIM(O14)))</f>
        <v>Office Supplies</v>
      </c>
      <c r="Q14" t="s">
        <v>148</v>
      </c>
      <c r="R14" t="s">
        <v>170</v>
      </c>
      <c r="S14" t="s">
        <v>32</v>
      </c>
      <c r="T14" t="str">
        <f>IF(TRIM(S14)="","Unknown",PROPER(TRIM(S14)))</f>
        <v>Second Class</v>
      </c>
      <c r="U14">
        <v>3</v>
      </c>
      <c r="V14">
        <v>3887.94</v>
      </c>
      <c r="W14">
        <v>-0.19</v>
      </c>
      <c r="Y14">
        <v>0.2</v>
      </c>
      <c r="Z14">
        <v>9331.06</v>
      </c>
      <c r="AA14">
        <v>7529.31</v>
      </c>
      <c r="AB14">
        <v>1801.75</v>
      </c>
      <c r="AC14" t="s">
        <v>33</v>
      </c>
      <c r="AD14" t="s">
        <v>34</v>
      </c>
      <c r="AE14">
        <f>ROUND((U14*V14)-(U14*V14*Y14),2)</f>
        <v>9331.06</v>
      </c>
      <c r="AF14">
        <f>AE14-AA14</f>
        <v>1801.7499999999991</v>
      </c>
      <c r="AG14" s="7">
        <f>ROUND((AF14/AE14),4)</f>
        <v>0.19309999999999999</v>
      </c>
      <c r="AH14">
        <f>IF(AND(C14&lt;&gt;"",E14&lt;&gt;""),E14 - C14,"")</f>
        <v>4</v>
      </c>
      <c r="AI14" t="str">
        <f>IF(C14="","",TEXT(C14, "mmmm"))</f>
        <v>July</v>
      </c>
      <c r="AJ14">
        <f>IF(C14="","",YEAR(C14))</f>
        <v>2024</v>
      </c>
      <c r="AM14" t="s">
        <v>4145</v>
      </c>
      <c r="AN14" t="s">
        <v>3596</v>
      </c>
    </row>
    <row r="15" spans="1:40">
      <c r="A15" t="s">
        <v>192</v>
      </c>
      <c r="B15" t="s">
        <v>193</v>
      </c>
      <c r="C15" s="6">
        <v>45355</v>
      </c>
      <c r="D15" t="s">
        <v>194</v>
      </c>
      <c r="E15" s="6">
        <v>45352</v>
      </c>
      <c r="F15" t="s">
        <v>195</v>
      </c>
      <c r="G15" t="s">
        <v>196</v>
      </c>
      <c r="H15" t="s">
        <v>196</v>
      </c>
      <c r="I15" t="s">
        <v>25</v>
      </c>
      <c r="J15" t="s">
        <v>25</v>
      </c>
      <c r="K15" t="s">
        <v>26</v>
      </c>
      <c r="L15" t="str">
        <f>IF(TRIM(K15)="","Unknown",PROPER(TRIM(K15)))</f>
        <v>North</v>
      </c>
      <c r="M15" t="s">
        <v>146</v>
      </c>
      <c r="N15" t="s">
        <v>147</v>
      </c>
      <c r="O15" t="s">
        <v>29</v>
      </c>
      <c r="P15" t="str">
        <f>IF(TRIM(O15)="","Unknown",PROPER(TRIM(O15)))</f>
        <v>Office Supplies</v>
      </c>
      <c r="Q15" t="s">
        <v>53</v>
      </c>
      <c r="R15" t="s">
        <v>197</v>
      </c>
      <c r="S15" t="s">
        <v>65</v>
      </c>
      <c r="T15" t="str">
        <f>IF(TRIM(S15)="","Unknown",PROPER(TRIM(S15)))</f>
        <v>Standard Class</v>
      </c>
      <c r="U15">
        <v>4</v>
      </c>
      <c r="V15">
        <v>4492.9399999999996</v>
      </c>
      <c r="W15">
        <v>0.25</v>
      </c>
      <c r="Y15">
        <v>0.25</v>
      </c>
      <c r="Z15">
        <v>13478.82</v>
      </c>
      <c r="AA15">
        <v>10937.35</v>
      </c>
      <c r="AB15">
        <v>2541.4699999999998</v>
      </c>
      <c r="AC15" t="s">
        <v>131</v>
      </c>
      <c r="AD15" t="s">
        <v>76</v>
      </c>
      <c r="AE15">
        <f>ROUND((U15*V15)-(U15*V15*Y15),2)</f>
        <v>13478.82</v>
      </c>
      <c r="AF15">
        <f>AE15-AA15</f>
        <v>2541.4699999999993</v>
      </c>
      <c r="AG15" s="7">
        <f>ROUND((AF15/AE15),4)</f>
        <v>0.18859999999999999</v>
      </c>
      <c r="AH15">
        <f>IF(AND(C15&lt;&gt;"",E15&lt;&gt;""),E15 - C15,"")</f>
        <v>-3</v>
      </c>
      <c r="AI15" t="str">
        <f>IF(C15="","",TEXT(C15, "mmmm"))</f>
        <v>March</v>
      </c>
      <c r="AJ15">
        <f>IF(C15="","",YEAR(C15))</f>
        <v>2024</v>
      </c>
      <c r="AM15" t="s">
        <v>4145</v>
      </c>
      <c r="AN15" t="s">
        <v>4140</v>
      </c>
    </row>
    <row r="16" spans="1:40">
      <c r="A16" t="s">
        <v>198</v>
      </c>
      <c r="B16" t="s">
        <v>3617</v>
      </c>
      <c r="C16" s="6">
        <v>45576</v>
      </c>
      <c r="D16" t="s">
        <v>199</v>
      </c>
      <c r="E16" s="6">
        <v>45584</v>
      </c>
      <c r="F16" t="s">
        <v>200</v>
      </c>
      <c r="G16" t="s">
        <v>59</v>
      </c>
      <c r="H16" t="s">
        <v>59</v>
      </c>
      <c r="I16" t="s">
        <v>104</v>
      </c>
      <c r="J16" t="s">
        <v>104</v>
      </c>
      <c r="K16" t="s">
        <v>41</v>
      </c>
      <c r="L16" t="str">
        <f>IF(TRIM(K16)="","Unknown",PROPER(TRIM(K16)))</f>
        <v>East</v>
      </c>
      <c r="M16" t="s">
        <v>201</v>
      </c>
      <c r="N16" t="s">
        <v>202</v>
      </c>
      <c r="O16" t="s">
        <v>83</v>
      </c>
      <c r="P16" t="str">
        <f>IF(TRIM(O16)="","Unknown",PROPER(TRIM(O16)))</f>
        <v>Technology</v>
      </c>
      <c r="Q16" t="s">
        <v>84</v>
      </c>
      <c r="R16" t="s">
        <v>203</v>
      </c>
      <c r="S16" t="s">
        <v>55</v>
      </c>
      <c r="T16" t="str">
        <f>IF(TRIM(S16)="","Unknown",PROPER(TRIM(S16)))</f>
        <v>First Class</v>
      </c>
      <c r="U16">
        <v>2</v>
      </c>
      <c r="V16">
        <v>4315.2</v>
      </c>
      <c r="W16">
        <v>0.15</v>
      </c>
      <c r="Y16">
        <v>0.15</v>
      </c>
      <c r="Z16">
        <v>7335.84</v>
      </c>
      <c r="AA16">
        <v>4968.41</v>
      </c>
      <c r="AB16">
        <v>2367.4299999999998</v>
      </c>
      <c r="AC16" t="s">
        <v>33</v>
      </c>
      <c r="AD16" t="s">
        <v>34</v>
      </c>
      <c r="AE16">
        <f>ROUND((U16*V16)-(U16*V16*Y16),2)</f>
        <v>7335.84</v>
      </c>
      <c r="AF16">
        <f>AE16-AA16</f>
        <v>2367.4300000000003</v>
      </c>
      <c r="AG16" s="7">
        <f>ROUND((AF16/AE16),4)</f>
        <v>0.32269999999999999</v>
      </c>
      <c r="AH16">
        <f>IF(AND(C16&lt;&gt;"",E16&lt;&gt;""),E16 - C16,"")</f>
        <v>8</v>
      </c>
      <c r="AI16" t="str">
        <f>IF(C16="","",TEXT(C16, "mmmm"))</f>
        <v>October</v>
      </c>
      <c r="AJ16">
        <f>IF(C16="","",YEAR(C16))</f>
        <v>2024</v>
      </c>
      <c r="AM16" t="str">
        <f>IF(AN16="","clean","")</f>
        <v>clean</v>
      </c>
      <c r="AN16" t="s">
        <v>3595</v>
      </c>
    </row>
    <row r="17" spans="1:40">
      <c r="A17" t="s">
        <v>204</v>
      </c>
      <c r="B17" t="s">
        <v>3618</v>
      </c>
      <c r="D17" t="s">
        <v>205</v>
      </c>
      <c r="E17" s="6">
        <v>45619</v>
      </c>
      <c r="F17" t="s">
        <v>206</v>
      </c>
      <c r="G17" t="s">
        <v>196</v>
      </c>
      <c r="H17" t="s">
        <v>196</v>
      </c>
      <c r="I17" t="s">
        <v>104</v>
      </c>
      <c r="J17" t="s">
        <v>104</v>
      </c>
      <c r="K17" t="s">
        <v>26</v>
      </c>
      <c r="L17" t="str">
        <f>IF(TRIM(K17)="","Unknown",PROPER(TRIM(K17)))</f>
        <v>North</v>
      </c>
      <c r="M17" t="s">
        <v>163</v>
      </c>
      <c r="N17" t="s">
        <v>164</v>
      </c>
      <c r="O17" t="s">
        <v>83</v>
      </c>
      <c r="P17" t="str">
        <f>IF(TRIM(O17)="","Unknown",PROPER(TRIM(O17)))</f>
        <v>Technology</v>
      </c>
      <c r="Q17" t="s">
        <v>207</v>
      </c>
      <c r="R17" t="s">
        <v>208</v>
      </c>
      <c r="S17" t="s">
        <v>65</v>
      </c>
      <c r="T17" t="str">
        <f>IF(TRIM(S17)="","Unknown",PROPER(TRIM(S17)))</f>
        <v>Standard Class</v>
      </c>
      <c r="U17">
        <v>4</v>
      </c>
      <c r="V17">
        <v>716.13</v>
      </c>
      <c r="W17">
        <v>0.1</v>
      </c>
      <c r="Y17">
        <v>0.1</v>
      </c>
      <c r="Z17">
        <v>2578.0700000000002</v>
      </c>
      <c r="AA17">
        <v>1527.55</v>
      </c>
      <c r="AB17">
        <v>1050.52</v>
      </c>
      <c r="AC17" t="s">
        <v>33</v>
      </c>
      <c r="AD17" t="s">
        <v>120</v>
      </c>
      <c r="AE17">
        <f>ROUND((U17*V17)-(U17*V17*Y17),2)</f>
        <v>2578.0700000000002</v>
      </c>
      <c r="AF17">
        <f>AE17-AA17</f>
        <v>1050.5200000000002</v>
      </c>
      <c r="AG17" s="7">
        <f>ROUND((AF17/AE17),4)</f>
        <v>0.40749999999999997</v>
      </c>
      <c r="AH17" t="str">
        <f>IF(AND(C17&lt;&gt;"",E17&lt;&gt;""),E17 - C17,"")</f>
        <v/>
      </c>
      <c r="AI17" t="str">
        <f>IF(C17="","",TEXT(C17, "mmmm"))</f>
        <v/>
      </c>
      <c r="AJ17" t="str">
        <f>IF(C17="","",YEAR(C17))</f>
        <v/>
      </c>
      <c r="AM17" t="s">
        <v>4144</v>
      </c>
      <c r="AN17" t="s">
        <v>4127</v>
      </c>
    </row>
    <row r="18" spans="1:40">
      <c r="A18" t="s">
        <v>215</v>
      </c>
      <c r="B18" t="s">
        <v>3617</v>
      </c>
      <c r="C18" s="6">
        <v>45576</v>
      </c>
      <c r="D18" t="s">
        <v>216</v>
      </c>
      <c r="E18" s="6">
        <v>45583</v>
      </c>
      <c r="F18" t="s">
        <v>217</v>
      </c>
      <c r="G18" t="s">
        <v>70</v>
      </c>
      <c r="H18" t="s">
        <v>70</v>
      </c>
      <c r="I18" t="s">
        <v>110</v>
      </c>
      <c r="J18" t="s">
        <v>110</v>
      </c>
      <c r="K18" t="s">
        <v>71</v>
      </c>
      <c r="L18" t="str">
        <f>IF(TRIM(K18)="","Unknown",PROPER(TRIM(K18)))</f>
        <v>West</v>
      </c>
      <c r="M18" t="s">
        <v>218</v>
      </c>
      <c r="N18" t="s">
        <v>219</v>
      </c>
      <c r="O18" t="s">
        <v>83</v>
      </c>
      <c r="P18" t="str">
        <f>IF(TRIM(O18)="","Unknown",PROPER(TRIM(O18)))</f>
        <v>Technology</v>
      </c>
      <c r="Q18" t="s">
        <v>207</v>
      </c>
      <c r="R18" t="s">
        <v>220</v>
      </c>
      <c r="S18" t="s">
        <v>32</v>
      </c>
      <c r="T18" t="str">
        <f>IF(TRIM(S18)="","Unknown",PROPER(TRIM(S18)))</f>
        <v>Second Class</v>
      </c>
      <c r="U18">
        <v>2</v>
      </c>
      <c r="V18">
        <v>1942.22</v>
      </c>
      <c r="W18">
        <v>0.25</v>
      </c>
      <c r="Y18">
        <v>0.25</v>
      </c>
      <c r="Z18">
        <v>2913.33</v>
      </c>
      <c r="AA18">
        <v>2122.33</v>
      </c>
      <c r="AB18">
        <v>791</v>
      </c>
      <c r="AC18" t="s">
        <v>119</v>
      </c>
      <c r="AD18" t="s">
        <v>76</v>
      </c>
      <c r="AE18">
        <f>ROUND((U18*V18)-(U18*V18*Y18),2)</f>
        <v>2913.33</v>
      </c>
      <c r="AF18">
        <f>AE18-AA18</f>
        <v>791</v>
      </c>
      <c r="AG18" s="7">
        <f>ROUND((AF18/AE18),4)</f>
        <v>0.27150000000000002</v>
      </c>
      <c r="AH18">
        <f>IF(AND(C18&lt;&gt;"",E18&lt;&gt;""),E18 - C18,"")</f>
        <v>7</v>
      </c>
      <c r="AI18" t="str">
        <f>IF(C18="","",TEXT(C18, "mmmm"))</f>
        <v>October</v>
      </c>
      <c r="AJ18">
        <f>IF(C18="","",YEAR(C18))</f>
        <v>2024</v>
      </c>
      <c r="AM18" t="str">
        <f>IF(AN18="","clean","")</f>
        <v>clean</v>
      </c>
      <c r="AN18" t="s">
        <v>3595</v>
      </c>
    </row>
    <row r="19" spans="1:40">
      <c r="A19" t="s">
        <v>227</v>
      </c>
      <c r="B19" t="s">
        <v>3621</v>
      </c>
      <c r="C19" s="6">
        <v>45331</v>
      </c>
      <c r="D19" t="s">
        <v>228</v>
      </c>
      <c r="E19" s="6">
        <v>45334</v>
      </c>
      <c r="F19" t="s">
        <v>229</v>
      </c>
      <c r="G19" t="s">
        <v>70</v>
      </c>
      <c r="H19" t="s">
        <v>70</v>
      </c>
      <c r="I19" t="s">
        <v>104</v>
      </c>
      <c r="J19" t="s">
        <v>104</v>
      </c>
      <c r="K19" t="s">
        <v>71</v>
      </c>
      <c r="L19" t="str">
        <f>IF(TRIM(K19)="","Unknown",PROPER(TRIM(K19)))</f>
        <v>West</v>
      </c>
      <c r="M19" t="s">
        <v>230</v>
      </c>
      <c r="N19" t="s">
        <v>231</v>
      </c>
      <c r="O19" t="s">
        <v>29</v>
      </c>
      <c r="P19" t="str">
        <f>IF(TRIM(O19)="","Unknown",PROPER(TRIM(O19)))</f>
        <v>Office Supplies</v>
      </c>
      <c r="Q19" t="s">
        <v>105</v>
      </c>
      <c r="R19" t="s">
        <v>232</v>
      </c>
      <c r="S19" t="s">
        <v>55</v>
      </c>
      <c r="T19" t="str">
        <f>IF(TRIM(S19)="","Unknown",PROPER(TRIM(S19)))</f>
        <v>First Class</v>
      </c>
      <c r="U19">
        <v>1</v>
      </c>
      <c r="V19">
        <v>3421.77</v>
      </c>
      <c r="W19">
        <v>0.1</v>
      </c>
      <c r="Y19">
        <v>0.1</v>
      </c>
      <c r="Z19">
        <v>3079.59</v>
      </c>
      <c r="AA19">
        <v>2001.89</v>
      </c>
      <c r="AB19">
        <v>1077.7</v>
      </c>
      <c r="AC19" t="s">
        <v>33</v>
      </c>
      <c r="AD19" t="s">
        <v>34</v>
      </c>
      <c r="AE19">
        <f>ROUND((U19*V19)-(U19*V19*Y19),2)</f>
        <v>3079.59</v>
      </c>
      <c r="AF19">
        <f>AE19-AA19</f>
        <v>1077.7</v>
      </c>
      <c r="AG19" s="7">
        <f>ROUND((AF19/AE19),4)</f>
        <v>0.34989999999999999</v>
      </c>
      <c r="AH19">
        <f>IF(AND(C19&lt;&gt;"",E19&lt;&gt;""),E19 - C19,"")</f>
        <v>3</v>
      </c>
      <c r="AI19" t="str">
        <f>IF(C19="","",TEXT(C19, "mmmm"))</f>
        <v>February</v>
      </c>
      <c r="AJ19">
        <f>IF(C19="","",YEAR(C19))</f>
        <v>2024</v>
      </c>
      <c r="AM19" t="str">
        <f>IF(AN19="","clean","")</f>
        <v>clean</v>
      </c>
      <c r="AN19" t="s">
        <v>3595</v>
      </c>
    </row>
    <row r="20" spans="1:40">
      <c r="A20" t="s">
        <v>237</v>
      </c>
      <c r="B20" t="s">
        <v>3623</v>
      </c>
      <c r="D20" t="s">
        <v>238</v>
      </c>
      <c r="E20" s="6">
        <v>45622</v>
      </c>
      <c r="F20" t="s">
        <v>239</v>
      </c>
      <c r="G20" t="s">
        <v>153</v>
      </c>
      <c r="H20" t="s">
        <v>153</v>
      </c>
      <c r="I20" t="s">
        <v>104</v>
      </c>
      <c r="J20" t="s">
        <v>104</v>
      </c>
      <c r="K20" t="s">
        <v>60</v>
      </c>
      <c r="L20" t="str">
        <f>IF(TRIM(K20)="","Unknown",PROPER(TRIM(K20)))</f>
        <v>South</v>
      </c>
      <c r="M20" t="s">
        <v>97</v>
      </c>
      <c r="N20" t="s">
        <v>98</v>
      </c>
      <c r="O20" t="s">
        <v>83</v>
      </c>
      <c r="P20" t="str">
        <f>IF(TRIM(O20)="","Unknown",PROPER(TRIM(O20)))</f>
        <v>Technology</v>
      </c>
      <c r="Q20" t="s">
        <v>207</v>
      </c>
      <c r="R20" t="s">
        <v>240</v>
      </c>
      <c r="S20" t="s">
        <v>32</v>
      </c>
      <c r="T20" t="str">
        <f>IF(TRIM(S20)="","Unknown",PROPER(TRIM(S20)))</f>
        <v>Second Class</v>
      </c>
      <c r="U20">
        <v>3</v>
      </c>
      <c r="V20">
        <v>4001.25</v>
      </c>
      <c r="Y20">
        <v>0.25</v>
      </c>
      <c r="Z20">
        <v>9002.81</v>
      </c>
      <c r="AA20">
        <v>7529.92</v>
      </c>
      <c r="AB20">
        <v>1472.89</v>
      </c>
      <c r="AC20" t="s">
        <v>33</v>
      </c>
      <c r="AD20" t="s">
        <v>34</v>
      </c>
      <c r="AE20">
        <f>ROUND((U20*V20)-(U20*V20*Y20),2)</f>
        <v>9002.81</v>
      </c>
      <c r="AF20">
        <f>AE20-AA20</f>
        <v>1472.8899999999994</v>
      </c>
      <c r="AG20" s="7">
        <f>ROUND((AF20/AE20),4)</f>
        <v>0.1636</v>
      </c>
      <c r="AH20" t="str">
        <f>IF(AND(C20&lt;&gt;"",E20&lt;&gt;""),E20 - C20,"")</f>
        <v/>
      </c>
      <c r="AI20" t="str">
        <f>IF(C20="","",TEXT(C20, "mmmm"))</f>
        <v/>
      </c>
      <c r="AJ20" t="str">
        <f>IF(C20="","",YEAR(C20))</f>
        <v/>
      </c>
      <c r="AM20" t="s">
        <v>4144</v>
      </c>
      <c r="AN20" t="s">
        <v>4126</v>
      </c>
    </row>
    <row r="21" spans="1:40">
      <c r="A21" t="s">
        <v>241</v>
      </c>
      <c r="B21" t="s">
        <v>242</v>
      </c>
      <c r="C21" s="6">
        <v>45495</v>
      </c>
      <c r="D21" t="s">
        <v>243</v>
      </c>
      <c r="F21" t="s">
        <v>244</v>
      </c>
      <c r="G21" t="s">
        <v>136</v>
      </c>
      <c r="H21" t="s">
        <v>136</v>
      </c>
      <c r="I21" t="s">
        <v>110</v>
      </c>
      <c r="J21" t="s">
        <v>110</v>
      </c>
      <c r="K21" t="s">
        <v>71</v>
      </c>
      <c r="L21" t="str">
        <f>IF(TRIM(K21)="","Unknown",PROPER(TRIM(K21)))</f>
        <v>West</v>
      </c>
      <c r="M21" t="s">
        <v>230</v>
      </c>
      <c r="N21" t="s">
        <v>231</v>
      </c>
      <c r="O21" t="s">
        <v>44</v>
      </c>
      <c r="P21" t="str">
        <f>IF(TRIM(O21)="","Unknown",PROPER(TRIM(O21)))</f>
        <v>Furniture</v>
      </c>
      <c r="Q21" t="s">
        <v>45</v>
      </c>
      <c r="R21" t="s">
        <v>245</v>
      </c>
      <c r="S21" t="s">
        <v>47</v>
      </c>
      <c r="T21" t="str">
        <f>IF(TRIM(S21)="","Unknown",PROPER(TRIM(S21)))</f>
        <v>Same Day</v>
      </c>
      <c r="U21">
        <v>7</v>
      </c>
      <c r="V21">
        <v>492.41</v>
      </c>
      <c r="W21">
        <v>0.25</v>
      </c>
      <c r="Y21">
        <v>0.25</v>
      </c>
      <c r="Z21">
        <v>2585.15</v>
      </c>
      <c r="AA21">
        <v>2070.73</v>
      </c>
      <c r="AB21">
        <v>514.41999999999996</v>
      </c>
      <c r="AC21" t="s">
        <v>33</v>
      </c>
      <c r="AD21" t="s">
        <v>34</v>
      </c>
      <c r="AE21">
        <f>ROUND((U21*V21)-(U21*V21*Y21),2)</f>
        <v>2585.15</v>
      </c>
      <c r="AF21">
        <f>AE21-AA21</f>
        <v>514.42000000000007</v>
      </c>
      <c r="AG21" s="7">
        <f>ROUND((AF21/AE21),4)</f>
        <v>0.19900000000000001</v>
      </c>
      <c r="AH21" t="str">
        <f>IF(AND(C21&lt;&gt;"",E21&lt;&gt;""),E21 - C21,"")</f>
        <v/>
      </c>
      <c r="AI21" t="str">
        <f>IF(C21="","",TEXT(C21, "mmmm"))</f>
        <v>July</v>
      </c>
      <c r="AJ21">
        <f>IF(C21="","",YEAR(C21))</f>
        <v>2024</v>
      </c>
      <c r="AM21" t="s">
        <v>4144</v>
      </c>
      <c r="AN21" t="s">
        <v>4136</v>
      </c>
    </row>
    <row r="22" spans="1:40">
      <c r="A22" t="s">
        <v>250</v>
      </c>
      <c r="B22" t="s">
        <v>251</v>
      </c>
      <c r="D22" t="s">
        <v>252</v>
      </c>
      <c r="E22" s="6">
        <v>45441</v>
      </c>
      <c r="F22" t="s">
        <v>253</v>
      </c>
      <c r="G22" t="s">
        <v>158</v>
      </c>
      <c r="H22" t="s">
        <v>158</v>
      </c>
      <c r="I22" t="s">
        <v>40</v>
      </c>
      <c r="J22" t="s">
        <v>40</v>
      </c>
      <c r="K22" t="s">
        <v>71</v>
      </c>
      <c r="L22" t="str">
        <f>IF(TRIM(K22)="","Unknown",PROPER(TRIM(K22)))</f>
        <v>West</v>
      </c>
      <c r="M22" t="s">
        <v>218</v>
      </c>
      <c r="N22" t="s">
        <v>219</v>
      </c>
      <c r="O22" t="s">
        <v>44</v>
      </c>
      <c r="P22" t="str">
        <f>IF(TRIM(O22)="","Unknown",PROPER(TRIM(O22)))</f>
        <v>Furniture</v>
      </c>
      <c r="Q22" t="s">
        <v>190</v>
      </c>
      <c r="R22" t="s">
        <v>254</v>
      </c>
      <c r="S22" t="s">
        <v>32</v>
      </c>
      <c r="T22" t="str">
        <f>IF(TRIM(S22)="","Unknown",PROPER(TRIM(S22)))</f>
        <v>Second Class</v>
      </c>
      <c r="U22">
        <v>8</v>
      </c>
      <c r="V22">
        <v>2507.12</v>
      </c>
      <c r="W22">
        <v>0.05</v>
      </c>
      <c r="Y22">
        <v>0.05</v>
      </c>
      <c r="Z22">
        <v>19054.11</v>
      </c>
      <c r="AA22">
        <v>15313.83</v>
      </c>
      <c r="AB22">
        <v>3740.28</v>
      </c>
      <c r="AC22" t="s">
        <v>131</v>
      </c>
      <c r="AD22" t="s">
        <v>120</v>
      </c>
      <c r="AE22">
        <f>ROUND((U22*V22)-(U22*V22*Y22),2)</f>
        <v>19054.11</v>
      </c>
      <c r="AF22">
        <f>AE22-AA22</f>
        <v>3740.2800000000007</v>
      </c>
      <c r="AG22" s="7">
        <f>ROUND((AF22/AE22),4)</f>
        <v>0.1963</v>
      </c>
      <c r="AH22" t="str">
        <f>IF(AND(C22&lt;&gt;"",E22&lt;&gt;""),E22 - C22,"")</f>
        <v/>
      </c>
      <c r="AI22" t="str">
        <f>IF(C22="","",TEXT(C22, "mmmm"))</f>
        <v/>
      </c>
      <c r="AJ22" t="str">
        <f>IF(C22="","",YEAR(C22))</f>
        <v/>
      </c>
      <c r="AM22" t="s">
        <v>4144</v>
      </c>
      <c r="AN22" t="s">
        <v>4128</v>
      </c>
    </row>
    <row r="23" spans="1:40">
      <c r="A23" t="s">
        <v>255</v>
      </c>
      <c r="B23" t="s">
        <v>3625</v>
      </c>
      <c r="C23" s="6">
        <v>45590</v>
      </c>
      <c r="D23" t="s">
        <v>256</v>
      </c>
      <c r="E23" s="6">
        <v>45593</v>
      </c>
      <c r="F23" t="s">
        <v>257</v>
      </c>
      <c r="G23" t="s">
        <v>169</v>
      </c>
      <c r="H23" t="s">
        <v>169</v>
      </c>
      <c r="I23" t="s">
        <v>104</v>
      </c>
      <c r="J23" t="s">
        <v>104</v>
      </c>
      <c r="K23" t="s">
        <v>71</v>
      </c>
      <c r="L23" t="str">
        <f>IF(TRIM(K23)="","Unknown",PROPER(TRIM(K23)))</f>
        <v>West</v>
      </c>
      <c r="M23" t="s">
        <v>72</v>
      </c>
      <c r="N23" t="s">
        <v>73</v>
      </c>
      <c r="O23" t="s">
        <v>44</v>
      </c>
      <c r="P23" t="str">
        <f>IF(TRIM(O23)="","Unknown",PROPER(TRIM(O23)))</f>
        <v>Furniture</v>
      </c>
      <c r="Q23" t="s">
        <v>190</v>
      </c>
      <c r="R23" t="s">
        <v>258</v>
      </c>
      <c r="S23" t="s">
        <v>32</v>
      </c>
      <c r="T23" t="str">
        <f>IF(TRIM(S23)="","Unknown",PROPER(TRIM(S23)))</f>
        <v>Second Class</v>
      </c>
      <c r="U23">
        <v>3</v>
      </c>
      <c r="V23">
        <v>3126.47</v>
      </c>
      <c r="W23">
        <v>0</v>
      </c>
      <c r="Y23">
        <v>0</v>
      </c>
      <c r="Z23">
        <v>9379.41</v>
      </c>
      <c r="AA23">
        <v>6670.85</v>
      </c>
      <c r="AB23">
        <v>2708.56</v>
      </c>
      <c r="AC23" t="s">
        <v>33</v>
      </c>
      <c r="AD23" t="s">
        <v>120</v>
      </c>
      <c r="AE23">
        <f>ROUND((U23*V23)-(U23*V23*Y23),2)</f>
        <v>9379.41</v>
      </c>
      <c r="AF23">
        <f>AE23-AA23</f>
        <v>2708.5599999999995</v>
      </c>
      <c r="AG23" s="7">
        <f>ROUND((AF23/AE23),4)</f>
        <v>0.2888</v>
      </c>
      <c r="AH23">
        <f>IF(AND(C23&lt;&gt;"",E23&lt;&gt;""),E23 - C23,"")</f>
        <v>3</v>
      </c>
      <c r="AI23" t="str">
        <f>IF(C23="","",TEXT(C23, "mmmm"))</f>
        <v>October</v>
      </c>
      <c r="AJ23">
        <f>IF(C23="","",YEAR(C23))</f>
        <v>2024</v>
      </c>
      <c r="AM23" t="s">
        <v>4145</v>
      </c>
      <c r="AN23" t="s">
        <v>3600</v>
      </c>
    </row>
    <row r="24" spans="1:40">
      <c r="A24" t="s">
        <v>264</v>
      </c>
      <c r="B24" t="s">
        <v>3626</v>
      </c>
      <c r="C24" s="6">
        <v>45460</v>
      </c>
      <c r="D24" t="s">
        <v>265</v>
      </c>
      <c r="F24" t="s">
        <v>266</v>
      </c>
      <c r="G24" t="s">
        <v>153</v>
      </c>
      <c r="H24" t="s">
        <v>153</v>
      </c>
      <c r="I24" t="s">
        <v>104</v>
      </c>
      <c r="J24" t="s">
        <v>104</v>
      </c>
      <c r="K24" t="s">
        <v>71</v>
      </c>
      <c r="L24" t="str">
        <f>IF(TRIM(K24)="","Unknown",PROPER(TRIM(K24)))</f>
        <v>West</v>
      </c>
      <c r="M24" t="s">
        <v>218</v>
      </c>
      <c r="N24" t="s">
        <v>219</v>
      </c>
      <c r="O24" t="s">
        <v>83</v>
      </c>
      <c r="P24" t="str">
        <f>IF(TRIM(O24)="","Unknown",PROPER(TRIM(O24)))</f>
        <v>Technology</v>
      </c>
      <c r="Q24" t="s">
        <v>207</v>
      </c>
      <c r="R24" t="s">
        <v>267</v>
      </c>
      <c r="S24" t="s">
        <v>55</v>
      </c>
      <c r="T24" t="str">
        <f>IF(TRIM(S24)="","Unknown",PROPER(TRIM(S24)))</f>
        <v>First Class</v>
      </c>
      <c r="U24">
        <v>7</v>
      </c>
      <c r="V24">
        <v>2210.6799999999998</v>
      </c>
      <c r="W24">
        <v>0.1</v>
      </c>
      <c r="Y24">
        <v>0.1</v>
      </c>
      <c r="Z24">
        <v>13927.28</v>
      </c>
      <c r="AA24">
        <v>10504.87</v>
      </c>
      <c r="AB24">
        <v>3422.41</v>
      </c>
      <c r="AC24" t="s">
        <v>33</v>
      </c>
      <c r="AD24" t="s">
        <v>34</v>
      </c>
      <c r="AE24">
        <f>ROUND((U24*V24)-(U24*V24*Y24),2)</f>
        <v>13927.28</v>
      </c>
      <c r="AF24">
        <f>AE24-AA24</f>
        <v>3422.41</v>
      </c>
      <c r="AG24" s="7">
        <f>ROUND((AF24/AE24),4)</f>
        <v>0.2457</v>
      </c>
      <c r="AH24" t="str">
        <f>IF(AND(C24&lt;&gt;"",E24&lt;&gt;""),E24 - C24,"")</f>
        <v/>
      </c>
      <c r="AI24" t="str">
        <f>IF(C24="","",TEXT(C24, "mmmm"))</f>
        <v>June</v>
      </c>
      <c r="AJ24">
        <f>IF(C24="","",YEAR(C24))</f>
        <v>2024</v>
      </c>
      <c r="AM24" t="s">
        <v>4144</v>
      </c>
      <c r="AN24" t="s">
        <v>4137</v>
      </c>
    </row>
    <row r="25" spans="1:40">
      <c r="A25" t="s">
        <v>268</v>
      </c>
      <c r="B25" t="s">
        <v>3627</v>
      </c>
      <c r="C25" s="6">
        <v>45637</v>
      </c>
      <c r="D25" t="s">
        <v>269</v>
      </c>
      <c r="E25" s="6">
        <v>45637</v>
      </c>
      <c r="F25" t="s">
        <v>270</v>
      </c>
      <c r="G25" t="s">
        <v>39</v>
      </c>
      <c r="H25" t="s">
        <v>39</v>
      </c>
      <c r="I25" t="s">
        <v>40</v>
      </c>
      <c r="J25" t="s">
        <v>40</v>
      </c>
      <c r="K25" t="s">
        <v>71</v>
      </c>
      <c r="L25" t="str">
        <f>IF(TRIM(K25)="","Unknown",PROPER(TRIM(K25)))</f>
        <v>West</v>
      </c>
      <c r="M25" t="s">
        <v>81</v>
      </c>
      <c r="N25" t="s">
        <v>82</v>
      </c>
      <c r="O25" t="s">
        <v>83</v>
      </c>
      <c r="P25" t="str">
        <f>IF(TRIM(O25)="","Unknown",PROPER(TRIM(O25)))</f>
        <v>Technology</v>
      </c>
      <c r="Q25" t="s">
        <v>91</v>
      </c>
      <c r="R25" t="s">
        <v>271</v>
      </c>
      <c r="S25" t="s">
        <v>55</v>
      </c>
      <c r="T25" t="str">
        <f>IF(TRIM(S25)="","Unknown",PROPER(TRIM(S25)))</f>
        <v>First Class</v>
      </c>
      <c r="U25">
        <v>4</v>
      </c>
      <c r="V25">
        <v>1370.92</v>
      </c>
      <c r="W25">
        <v>0.1</v>
      </c>
      <c r="Y25">
        <v>0.1</v>
      </c>
      <c r="Z25">
        <v>4935.3100000000004</v>
      </c>
      <c r="AA25">
        <v>3374.77</v>
      </c>
      <c r="AB25">
        <v>1560.54</v>
      </c>
      <c r="AC25" t="s">
        <v>131</v>
      </c>
      <c r="AD25" t="s">
        <v>120</v>
      </c>
      <c r="AE25">
        <f>ROUND((U25*V25)-(U25*V25*Y25),2)</f>
        <v>4935.3100000000004</v>
      </c>
      <c r="AF25">
        <f>AE25-AA25</f>
        <v>1560.5400000000004</v>
      </c>
      <c r="AG25" s="7">
        <f>ROUND((AF25/AE25),4)</f>
        <v>0.31619999999999998</v>
      </c>
      <c r="AH25">
        <f>IF(AND(C25&lt;&gt;"",E25&lt;&gt;""),E25 - C25,"")</f>
        <v>0</v>
      </c>
      <c r="AI25" t="str">
        <f>IF(C25="","",TEXT(C25, "mmmm"))</f>
        <v>December</v>
      </c>
      <c r="AJ25">
        <f>IF(C25="","",YEAR(C25))</f>
        <v>2024</v>
      </c>
      <c r="AM25" t="s">
        <v>4145</v>
      </c>
      <c r="AN25" t="s">
        <v>3600</v>
      </c>
    </row>
    <row r="26" spans="1:40">
      <c r="A26" t="s">
        <v>272</v>
      </c>
      <c r="B26" t="s">
        <v>3628</v>
      </c>
      <c r="C26" s="6">
        <v>45575</v>
      </c>
      <c r="D26" t="s">
        <v>273</v>
      </c>
      <c r="E26" s="6">
        <v>45581</v>
      </c>
      <c r="F26" t="s">
        <v>274</v>
      </c>
      <c r="G26" t="s">
        <v>52</v>
      </c>
      <c r="H26" t="s">
        <v>52</v>
      </c>
      <c r="I26" t="s">
        <v>110</v>
      </c>
      <c r="J26" t="s">
        <v>110</v>
      </c>
      <c r="K26" t="s">
        <v>71</v>
      </c>
      <c r="L26" t="str">
        <f>IF(TRIM(K26)="","Unknown",PROPER(TRIM(K26)))</f>
        <v>West</v>
      </c>
      <c r="M26" t="s">
        <v>27</v>
      </c>
      <c r="N26" t="s">
        <v>129</v>
      </c>
      <c r="O26" t="s">
        <v>83</v>
      </c>
      <c r="P26" t="str">
        <f>IF(TRIM(O26)="","Unknown",PROPER(TRIM(O26)))</f>
        <v>Technology</v>
      </c>
      <c r="Q26" t="s">
        <v>91</v>
      </c>
      <c r="R26" t="s">
        <v>275</v>
      </c>
      <c r="S26" t="s">
        <v>65</v>
      </c>
      <c r="T26" t="str">
        <f>IF(TRIM(S26)="","Unknown",PROPER(TRIM(S26)))</f>
        <v>Standard Class</v>
      </c>
      <c r="U26">
        <v>7</v>
      </c>
      <c r="V26">
        <v>2509.27</v>
      </c>
      <c r="W26">
        <v>0.2</v>
      </c>
      <c r="Y26">
        <v>0.2</v>
      </c>
      <c r="Z26">
        <v>14051.91</v>
      </c>
      <c r="AA26">
        <v>11990.37</v>
      </c>
      <c r="AB26">
        <v>2061.54</v>
      </c>
      <c r="AC26" t="s">
        <v>33</v>
      </c>
      <c r="AD26" t="s">
        <v>34</v>
      </c>
      <c r="AE26">
        <f>ROUND((U26*V26)-(U26*V26*Y26),2)</f>
        <v>14051.91</v>
      </c>
      <c r="AF26">
        <f>AE26-AA26</f>
        <v>2061.5399999999991</v>
      </c>
      <c r="AG26" s="7">
        <f>ROUND((AF26/AE26),4)</f>
        <v>0.1467</v>
      </c>
      <c r="AH26">
        <f>IF(AND(C26&lt;&gt;"",E26&lt;&gt;""),E26 - C26,"")</f>
        <v>6</v>
      </c>
      <c r="AI26" t="str">
        <f>IF(C26="","",TEXT(C26, "mmmm"))</f>
        <v>October</v>
      </c>
      <c r="AJ26">
        <f>IF(C26="","",YEAR(C26))</f>
        <v>2024</v>
      </c>
      <c r="AM26" t="s">
        <v>4145</v>
      </c>
      <c r="AN26" t="s">
        <v>3600</v>
      </c>
    </row>
    <row r="27" spans="1:40">
      <c r="A27" t="s">
        <v>276</v>
      </c>
      <c r="B27" t="s">
        <v>3629</v>
      </c>
      <c r="C27" s="6">
        <v>45363</v>
      </c>
      <c r="D27" t="s">
        <v>277</v>
      </c>
      <c r="E27" s="6">
        <v>45368</v>
      </c>
      <c r="F27" t="s">
        <v>278</v>
      </c>
      <c r="G27" t="s">
        <v>153</v>
      </c>
      <c r="H27" t="s">
        <v>153</v>
      </c>
      <c r="I27" t="s">
        <v>40</v>
      </c>
      <c r="J27" t="s">
        <v>40</v>
      </c>
      <c r="K27" t="s">
        <v>41</v>
      </c>
      <c r="L27" t="str">
        <f>IF(TRIM(K27)="","Unknown",PROPER(TRIM(K27)))</f>
        <v>East</v>
      </c>
      <c r="M27" t="s">
        <v>42</v>
      </c>
      <c r="N27" t="s">
        <v>43</v>
      </c>
      <c r="O27" t="s">
        <v>44</v>
      </c>
      <c r="P27" t="str">
        <f>IF(TRIM(O27)="","Unknown",PROPER(TRIM(O27)))</f>
        <v>Furniture</v>
      </c>
      <c r="Q27" t="s">
        <v>190</v>
      </c>
      <c r="R27" t="s">
        <v>279</v>
      </c>
      <c r="S27" t="s">
        <v>47</v>
      </c>
      <c r="T27" t="str">
        <f>IF(TRIM(S27)="","Unknown",PROPER(TRIM(S27)))</f>
        <v>Same Day</v>
      </c>
      <c r="U27">
        <v>8</v>
      </c>
      <c r="V27">
        <v>855.81</v>
      </c>
      <c r="W27">
        <v>0</v>
      </c>
      <c r="Y27">
        <v>0</v>
      </c>
      <c r="Z27">
        <v>6846.48</v>
      </c>
      <c r="AA27">
        <v>4239.8900000000003</v>
      </c>
      <c r="AB27">
        <v>2606.59</v>
      </c>
      <c r="AC27" t="s">
        <v>131</v>
      </c>
      <c r="AD27" t="s">
        <v>76</v>
      </c>
      <c r="AE27">
        <f>ROUND((U27*V27)-(U27*V27*Y27),2)</f>
        <v>6846.48</v>
      </c>
      <c r="AF27">
        <f>AE27-AA27</f>
        <v>2606.5899999999992</v>
      </c>
      <c r="AG27" s="7">
        <f>ROUND((AF27/AE27),4)</f>
        <v>0.38069999999999998</v>
      </c>
      <c r="AH27">
        <f>IF(AND(C27&lt;&gt;"",E27&lt;&gt;""),E27 - C27,"")</f>
        <v>5</v>
      </c>
      <c r="AI27" t="str">
        <f>IF(C27="","",TEXT(C27, "mmmm"))</f>
        <v>March</v>
      </c>
      <c r="AJ27">
        <f>IF(C27="","",YEAR(C27))</f>
        <v>2024</v>
      </c>
      <c r="AM27" t="s">
        <v>4145</v>
      </c>
      <c r="AN27" t="s">
        <v>3600</v>
      </c>
    </row>
    <row r="28" spans="1:40">
      <c r="A28" t="s">
        <v>287</v>
      </c>
      <c r="B28" t="s">
        <v>3630</v>
      </c>
      <c r="C28" s="6">
        <v>45481</v>
      </c>
      <c r="D28" t="s">
        <v>288</v>
      </c>
      <c r="E28" s="6">
        <v>45487</v>
      </c>
      <c r="F28" t="s">
        <v>289</v>
      </c>
      <c r="G28" t="s">
        <v>136</v>
      </c>
      <c r="H28" t="s">
        <v>136</v>
      </c>
      <c r="I28" t="s">
        <v>40</v>
      </c>
      <c r="J28" t="s">
        <v>40</v>
      </c>
      <c r="K28" t="s">
        <v>41</v>
      </c>
      <c r="L28" t="str">
        <f>IF(TRIM(K28)="","Unknown",PROPER(TRIM(K28)))</f>
        <v>East</v>
      </c>
      <c r="M28" t="s">
        <v>42</v>
      </c>
      <c r="N28" t="s">
        <v>43</v>
      </c>
      <c r="O28" t="s">
        <v>44</v>
      </c>
      <c r="P28" t="str">
        <f>IF(TRIM(O28)="","Unknown",PROPER(TRIM(O28)))</f>
        <v>Furniture</v>
      </c>
      <c r="Q28" t="s">
        <v>63</v>
      </c>
      <c r="R28" t="s">
        <v>290</v>
      </c>
      <c r="S28" t="s">
        <v>47</v>
      </c>
      <c r="T28" t="str">
        <f>IF(TRIM(S28)="","Unknown",PROPER(TRIM(S28)))</f>
        <v>Same Day</v>
      </c>
      <c r="U28">
        <v>3</v>
      </c>
      <c r="V28">
        <v>1010.23</v>
      </c>
      <c r="W28">
        <v>0</v>
      </c>
      <c r="Y28">
        <v>0</v>
      </c>
      <c r="Z28">
        <v>3030.69</v>
      </c>
      <c r="AA28">
        <v>1721.08</v>
      </c>
      <c r="AB28">
        <v>1309.6099999999999</v>
      </c>
      <c r="AC28" t="s">
        <v>33</v>
      </c>
      <c r="AD28" t="s">
        <v>34</v>
      </c>
      <c r="AE28">
        <f>ROUND((U28*V28)-(U28*V28*Y28),2)</f>
        <v>3030.69</v>
      </c>
      <c r="AF28">
        <f>AE28-AA28</f>
        <v>1309.6100000000001</v>
      </c>
      <c r="AG28" s="7">
        <f>ROUND((AF28/AE28),4)</f>
        <v>0.43209999999999998</v>
      </c>
      <c r="AH28">
        <f>IF(AND(C28&lt;&gt;"",E28&lt;&gt;""),E28 - C28,"")</f>
        <v>6</v>
      </c>
      <c r="AI28" t="str">
        <f>IF(C28="","",TEXT(C28, "mmmm"))</f>
        <v>July</v>
      </c>
      <c r="AJ28">
        <f>IF(C28="","",YEAR(C28))</f>
        <v>2024</v>
      </c>
      <c r="AM28" t="s">
        <v>4145</v>
      </c>
      <c r="AN28" t="s">
        <v>3600</v>
      </c>
    </row>
    <row r="29" spans="1:40">
      <c r="A29" t="s">
        <v>291</v>
      </c>
      <c r="B29" t="s">
        <v>3631</v>
      </c>
      <c r="C29" s="6">
        <v>45465</v>
      </c>
      <c r="D29" t="s">
        <v>292</v>
      </c>
      <c r="F29" t="s">
        <v>293</v>
      </c>
      <c r="G29" t="s">
        <v>169</v>
      </c>
      <c r="H29" t="s">
        <v>169</v>
      </c>
      <c r="I29" t="s">
        <v>40</v>
      </c>
      <c r="J29" t="s">
        <v>40</v>
      </c>
      <c r="K29" t="s">
        <v>26</v>
      </c>
      <c r="L29" t="str">
        <f>IF(TRIM(K29)="","Unknown",PROPER(TRIM(K29)))</f>
        <v>North</v>
      </c>
      <c r="M29" t="s">
        <v>294</v>
      </c>
      <c r="N29" t="s">
        <v>295</v>
      </c>
      <c r="O29" t="s">
        <v>44</v>
      </c>
      <c r="P29" t="str">
        <f>IF(TRIM(O29)="","Unknown",PROPER(TRIM(O29)))</f>
        <v>Furniture</v>
      </c>
      <c r="Q29" t="s">
        <v>74</v>
      </c>
      <c r="R29" t="s">
        <v>296</v>
      </c>
      <c r="S29" t="s">
        <v>65</v>
      </c>
      <c r="T29" t="str">
        <f>IF(TRIM(S29)="","Unknown",PROPER(TRIM(S29)))</f>
        <v>Standard Class</v>
      </c>
      <c r="U29">
        <v>9</v>
      </c>
      <c r="V29">
        <v>3329.77</v>
      </c>
      <c r="W29">
        <v>0.1</v>
      </c>
      <c r="Y29">
        <v>0.1</v>
      </c>
      <c r="Z29">
        <v>26971.14</v>
      </c>
      <c r="AA29">
        <v>17376.2</v>
      </c>
      <c r="AB29">
        <v>9594.94</v>
      </c>
      <c r="AC29" t="s">
        <v>33</v>
      </c>
      <c r="AD29" t="s">
        <v>34</v>
      </c>
      <c r="AE29">
        <f>ROUND((U29*V29)-(U29*V29*Y29),2)</f>
        <v>26971.14</v>
      </c>
      <c r="AF29">
        <f>AE29-AA29</f>
        <v>9594.9399999999987</v>
      </c>
      <c r="AG29" s="7">
        <f>ROUND((AF29/AE29),4)</f>
        <v>0.35570000000000002</v>
      </c>
      <c r="AH29" t="str">
        <f>IF(AND(C29&lt;&gt;"",E29&lt;&gt;""),E29 - C29,"")</f>
        <v/>
      </c>
      <c r="AI29" t="str">
        <f>IF(C29="","",TEXT(C29, "mmmm"))</f>
        <v>June</v>
      </c>
      <c r="AJ29">
        <f>IF(C29="","",YEAR(C29))</f>
        <v>2024</v>
      </c>
      <c r="AM29" t="s">
        <v>4144</v>
      </c>
      <c r="AN29" t="s">
        <v>4137</v>
      </c>
    </row>
    <row r="30" spans="1:40">
      <c r="A30" t="s">
        <v>297</v>
      </c>
      <c r="B30" t="s">
        <v>298</v>
      </c>
      <c r="C30" s="6">
        <v>45309</v>
      </c>
      <c r="D30" t="s">
        <v>299</v>
      </c>
      <c r="F30" t="s">
        <v>300</v>
      </c>
      <c r="G30" t="s">
        <v>52</v>
      </c>
      <c r="H30" t="s">
        <v>52</v>
      </c>
      <c r="I30" t="s">
        <v>110</v>
      </c>
      <c r="J30" t="s">
        <v>110</v>
      </c>
      <c r="K30" t="s">
        <v>41</v>
      </c>
      <c r="L30" t="str">
        <f>IF(TRIM(K30)="","Unknown",PROPER(TRIM(K30)))</f>
        <v>East</v>
      </c>
      <c r="M30" t="s">
        <v>174</v>
      </c>
      <c r="N30" t="s">
        <v>175</v>
      </c>
      <c r="O30" t="s">
        <v>29</v>
      </c>
      <c r="P30" t="str">
        <f>IF(TRIM(O30)="","Unknown",PROPER(TRIM(O30)))</f>
        <v>Office Supplies</v>
      </c>
      <c r="Q30" t="s">
        <v>53</v>
      </c>
      <c r="R30" t="s">
        <v>301</v>
      </c>
      <c r="S30" t="s">
        <v>32</v>
      </c>
      <c r="T30" t="str">
        <f>IF(TRIM(S30)="","Unknown",PROPER(TRIM(S30)))</f>
        <v>Second Class</v>
      </c>
      <c r="U30">
        <v>8</v>
      </c>
      <c r="V30">
        <v>3927.82</v>
      </c>
      <c r="W30">
        <v>0.05</v>
      </c>
      <c r="Y30">
        <v>0.05</v>
      </c>
      <c r="Z30">
        <v>29851.43</v>
      </c>
      <c r="AA30">
        <v>17487.48</v>
      </c>
      <c r="AB30">
        <v>12363.95</v>
      </c>
      <c r="AC30" t="s">
        <v>131</v>
      </c>
      <c r="AD30" t="s">
        <v>120</v>
      </c>
      <c r="AE30">
        <f>ROUND((U30*V30)-(U30*V30*Y30),2)</f>
        <v>29851.43</v>
      </c>
      <c r="AF30">
        <f>AE30-AA30</f>
        <v>12363.95</v>
      </c>
      <c r="AG30" s="7">
        <f>ROUND((AF30/AE30),4)</f>
        <v>0.41420000000000001</v>
      </c>
      <c r="AH30" t="str">
        <f>IF(AND(C30&lt;&gt;"",E30&lt;&gt;""),E30 - C30,"")</f>
        <v/>
      </c>
      <c r="AI30" t="str">
        <f>IF(C30="","",TEXT(C30, "mmmm"))</f>
        <v>January</v>
      </c>
      <c r="AJ30">
        <f>IF(C30="","",YEAR(C30))</f>
        <v>2024</v>
      </c>
      <c r="AM30" t="s">
        <v>4144</v>
      </c>
      <c r="AN30" t="s">
        <v>4137</v>
      </c>
    </row>
    <row r="31" spans="1:40">
      <c r="A31" t="s">
        <v>302</v>
      </c>
      <c r="B31" t="s">
        <v>303</v>
      </c>
      <c r="C31" s="6">
        <v>45492</v>
      </c>
      <c r="D31" t="s">
        <v>303</v>
      </c>
      <c r="E31" s="6">
        <v>45492</v>
      </c>
      <c r="F31" t="s">
        <v>304</v>
      </c>
      <c r="G31" t="s">
        <v>70</v>
      </c>
      <c r="H31" t="s">
        <v>70</v>
      </c>
      <c r="I31" t="s">
        <v>40</v>
      </c>
      <c r="J31" t="s">
        <v>40</v>
      </c>
      <c r="K31" t="s">
        <v>60</v>
      </c>
      <c r="L31" t="str">
        <f>IF(TRIM(K31)="","Unknown",PROPER(TRIM(K31)))</f>
        <v>South</v>
      </c>
      <c r="M31" t="s">
        <v>224</v>
      </c>
      <c r="N31" t="s">
        <v>225</v>
      </c>
      <c r="O31" t="s">
        <v>44</v>
      </c>
      <c r="P31" t="str">
        <f>IF(TRIM(O31)="","Unknown",PROPER(TRIM(O31)))</f>
        <v>Furniture</v>
      </c>
      <c r="Q31" t="s">
        <v>190</v>
      </c>
      <c r="R31" t="s">
        <v>305</v>
      </c>
      <c r="S31" t="s">
        <v>65</v>
      </c>
      <c r="T31" t="str">
        <f>IF(TRIM(S31)="","Unknown",PROPER(TRIM(S31)))</f>
        <v>Standard Class</v>
      </c>
      <c r="U31">
        <v>9</v>
      </c>
      <c r="V31">
        <v>2386.79</v>
      </c>
      <c r="W31">
        <v>0.25</v>
      </c>
      <c r="Y31">
        <v>0.25</v>
      </c>
      <c r="Z31">
        <v>16110.83</v>
      </c>
      <c r="AA31">
        <v>10680.03</v>
      </c>
      <c r="AB31">
        <v>5430.8</v>
      </c>
      <c r="AC31" t="s">
        <v>119</v>
      </c>
      <c r="AD31" t="s">
        <v>120</v>
      </c>
      <c r="AE31">
        <f>ROUND((U31*V31)-(U31*V31*Y31),2)</f>
        <v>16110.83</v>
      </c>
      <c r="AF31">
        <f>AE31-AA31</f>
        <v>5430.7999999999993</v>
      </c>
      <c r="AG31" s="7">
        <f>ROUND((AF31/AE31),4)</f>
        <v>0.33710000000000001</v>
      </c>
      <c r="AH31">
        <f>IF(AND(C31&lt;&gt;"",E31&lt;&gt;""),E31 - C31,"")</f>
        <v>0</v>
      </c>
      <c r="AI31" t="str">
        <f>IF(C31="","",TEXT(C31, "mmmm"))</f>
        <v>July</v>
      </c>
      <c r="AJ31">
        <f>IF(C31="","",YEAR(C31))</f>
        <v>2024</v>
      </c>
      <c r="AM31" t="s">
        <v>4145</v>
      </c>
      <c r="AN31" t="s">
        <v>3600</v>
      </c>
    </row>
    <row r="32" spans="1:40">
      <c r="A32" t="s">
        <v>306</v>
      </c>
      <c r="B32" t="s">
        <v>3632</v>
      </c>
      <c r="C32" s="6">
        <v>45516</v>
      </c>
      <c r="D32" t="s">
        <v>307</v>
      </c>
      <c r="E32" s="6">
        <v>45516</v>
      </c>
      <c r="F32" t="s">
        <v>308</v>
      </c>
      <c r="G32" t="s">
        <v>141</v>
      </c>
      <c r="H32" t="s">
        <v>141</v>
      </c>
      <c r="I32" t="s">
        <v>104</v>
      </c>
      <c r="J32" t="s">
        <v>104</v>
      </c>
      <c r="K32" t="s">
        <v>60</v>
      </c>
      <c r="L32" t="str">
        <f>IF(TRIM(K32)="","Unknown",PROPER(TRIM(K32)))</f>
        <v>South</v>
      </c>
      <c r="M32" t="s">
        <v>309</v>
      </c>
      <c r="N32" t="s">
        <v>310</v>
      </c>
      <c r="O32" t="s">
        <v>29</v>
      </c>
      <c r="P32" t="str">
        <f>IF(TRIM(O32)="","Unknown",PROPER(TRIM(O32)))</f>
        <v>Office Supplies</v>
      </c>
      <c r="Q32" t="s">
        <v>148</v>
      </c>
      <c r="R32" t="s">
        <v>311</v>
      </c>
      <c r="S32" t="s">
        <v>65</v>
      </c>
      <c r="T32" t="str">
        <f>IF(TRIM(S32)="","Unknown",PROPER(TRIM(S32)))</f>
        <v>Standard Class</v>
      </c>
      <c r="U32">
        <v>8</v>
      </c>
      <c r="V32">
        <v>2445.31</v>
      </c>
      <c r="W32">
        <v>0.1</v>
      </c>
      <c r="Y32">
        <v>0.1</v>
      </c>
      <c r="Z32">
        <v>17606.23</v>
      </c>
      <c r="AA32">
        <v>12438.96</v>
      </c>
      <c r="AB32">
        <v>5167.2700000000004</v>
      </c>
      <c r="AC32" t="s">
        <v>33</v>
      </c>
      <c r="AD32" t="s">
        <v>34</v>
      </c>
      <c r="AE32">
        <f>ROUND((U32*V32)-(U32*V32*Y32),2)</f>
        <v>17606.23</v>
      </c>
      <c r="AF32">
        <f>AE32-AA32</f>
        <v>5167.2700000000004</v>
      </c>
      <c r="AG32" s="7">
        <f>ROUND((AF32/AE32),4)</f>
        <v>0.29349999999999998</v>
      </c>
      <c r="AH32">
        <f>IF(AND(C32&lt;&gt;"",E32&lt;&gt;""),E32 - C32,"")</f>
        <v>0</v>
      </c>
      <c r="AI32" t="str">
        <f>IF(C32="","",TEXT(C32, "mmmm"))</f>
        <v>August</v>
      </c>
      <c r="AJ32">
        <f>IF(C32="","",YEAR(C32))</f>
        <v>2024</v>
      </c>
      <c r="AM32" t="s">
        <v>4145</v>
      </c>
      <c r="AN32" t="s">
        <v>3600</v>
      </c>
    </row>
    <row r="33" spans="1:40">
      <c r="A33" t="s">
        <v>317</v>
      </c>
      <c r="B33" t="s">
        <v>318</v>
      </c>
      <c r="C33" s="6">
        <v>45388</v>
      </c>
      <c r="D33" t="s">
        <v>319</v>
      </c>
      <c r="E33" s="6">
        <v>45395</v>
      </c>
      <c r="F33" t="s">
        <v>320</v>
      </c>
      <c r="G33" t="s">
        <v>153</v>
      </c>
      <c r="H33" t="s">
        <v>153</v>
      </c>
      <c r="I33" t="s">
        <v>110</v>
      </c>
      <c r="J33" t="s">
        <v>110</v>
      </c>
      <c r="K33" t="s">
        <v>26</v>
      </c>
      <c r="L33" t="str">
        <f>IF(TRIM(K33)="","Unknown",PROPER(TRIM(K33)))</f>
        <v>North</v>
      </c>
      <c r="M33" t="s">
        <v>163</v>
      </c>
      <c r="N33" t="s">
        <v>164</v>
      </c>
      <c r="O33" t="s">
        <v>83</v>
      </c>
      <c r="P33" t="str">
        <f>IF(TRIM(O33)="","Unknown",PROPER(TRIM(O33)))</f>
        <v>Technology</v>
      </c>
      <c r="Q33" t="s">
        <v>91</v>
      </c>
      <c r="R33" t="s">
        <v>321</v>
      </c>
      <c r="S33" t="s">
        <v>32</v>
      </c>
      <c r="T33" t="str">
        <f>IF(TRIM(S33)="","Unknown",PROPER(TRIM(S33)))</f>
        <v>Second Class</v>
      </c>
      <c r="U33">
        <v>9</v>
      </c>
      <c r="V33">
        <v>792.11</v>
      </c>
      <c r="W33">
        <v>0.05</v>
      </c>
      <c r="Y33">
        <v>0.05</v>
      </c>
      <c r="Z33">
        <v>6772.54</v>
      </c>
      <c r="AA33">
        <v>5755.46</v>
      </c>
      <c r="AB33">
        <v>1017.08</v>
      </c>
      <c r="AC33" t="s">
        <v>33</v>
      </c>
      <c r="AD33" t="s">
        <v>34</v>
      </c>
      <c r="AE33">
        <f>ROUND((U33*V33)-(U33*V33*Y33),2)</f>
        <v>6772.54</v>
      </c>
      <c r="AF33">
        <f>AE33-AA33</f>
        <v>1017.0799999999999</v>
      </c>
      <c r="AG33" s="7">
        <f>ROUND((AF33/AE33),4)</f>
        <v>0.1502</v>
      </c>
      <c r="AH33">
        <f>IF(AND(C33&lt;&gt;"",E33&lt;&gt;""),E33 - C33,"")</f>
        <v>7</v>
      </c>
      <c r="AI33" t="str">
        <f>IF(C33="","",TEXT(C33, "mmmm"))</f>
        <v>April</v>
      </c>
      <c r="AJ33">
        <f>IF(C33="","",YEAR(C33))</f>
        <v>2024</v>
      </c>
      <c r="AM33" t="s">
        <v>4145</v>
      </c>
      <c r="AN33" t="s">
        <v>3600</v>
      </c>
    </row>
    <row r="34" spans="1:40">
      <c r="A34" t="s">
        <v>326</v>
      </c>
      <c r="B34" t="s">
        <v>327</v>
      </c>
      <c r="C34" s="6">
        <v>45406</v>
      </c>
      <c r="D34" t="s">
        <v>328</v>
      </c>
      <c r="E34" s="6">
        <v>45411</v>
      </c>
      <c r="F34" t="s">
        <v>329</v>
      </c>
      <c r="G34" t="s">
        <v>70</v>
      </c>
      <c r="H34" t="s">
        <v>70</v>
      </c>
      <c r="I34" t="s">
        <v>104</v>
      </c>
      <c r="J34" t="s">
        <v>104</v>
      </c>
      <c r="K34" t="s">
        <v>60</v>
      </c>
      <c r="L34" t="str">
        <f>IF(TRIM(K34)="","Unknown",PROPER(TRIM(K34)))</f>
        <v>South</v>
      </c>
      <c r="M34" t="s">
        <v>61</v>
      </c>
      <c r="N34" t="s">
        <v>62</v>
      </c>
      <c r="O34" t="s">
        <v>29</v>
      </c>
      <c r="P34" t="str">
        <f>IF(TRIM(O34)="","Unknown",PROPER(TRIM(O34)))</f>
        <v>Office Supplies</v>
      </c>
      <c r="Q34" t="s">
        <v>53</v>
      </c>
      <c r="R34" t="s">
        <v>330</v>
      </c>
      <c r="S34" t="s">
        <v>65</v>
      </c>
      <c r="T34" t="str">
        <f>IF(TRIM(S34)="","Unknown",PROPER(TRIM(S34)))</f>
        <v>Standard Class</v>
      </c>
      <c r="U34">
        <v>6</v>
      </c>
      <c r="V34">
        <v>1528.08</v>
      </c>
      <c r="W34">
        <v>0</v>
      </c>
      <c r="Y34">
        <v>0</v>
      </c>
      <c r="Z34">
        <v>9168.48</v>
      </c>
      <c r="AA34">
        <v>7439.77</v>
      </c>
      <c r="AB34">
        <v>1728.71</v>
      </c>
      <c r="AC34" t="s">
        <v>33</v>
      </c>
      <c r="AD34" t="s">
        <v>34</v>
      </c>
      <c r="AE34">
        <f>ROUND((U34*V34)-(U34*V34*Y34),2)</f>
        <v>9168.48</v>
      </c>
      <c r="AF34">
        <f>AE34-AA34</f>
        <v>1728.7099999999991</v>
      </c>
      <c r="AG34" s="7">
        <f>ROUND((AF34/AE34),4)</f>
        <v>0.1885</v>
      </c>
      <c r="AH34">
        <f>IF(AND(C34&lt;&gt;"",E34&lt;&gt;""),E34 - C34,"")</f>
        <v>5</v>
      </c>
      <c r="AI34" t="str">
        <f>IF(C34="","",TEXT(C34, "mmmm"))</f>
        <v>April</v>
      </c>
      <c r="AJ34">
        <f>IF(C34="","",YEAR(C34))</f>
        <v>2024</v>
      </c>
      <c r="AM34" t="s">
        <v>4145</v>
      </c>
      <c r="AN34" t="s">
        <v>3600</v>
      </c>
    </row>
    <row r="35" spans="1:40">
      <c r="A35" t="s">
        <v>331</v>
      </c>
      <c r="B35" t="s">
        <v>3634</v>
      </c>
      <c r="D35" t="s">
        <v>332</v>
      </c>
      <c r="E35" s="6">
        <v>45593</v>
      </c>
      <c r="F35" t="s">
        <v>333</v>
      </c>
      <c r="G35" t="s">
        <v>334</v>
      </c>
      <c r="H35" t="s">
        <v>334</v>
      </c>
      <c r="I35" t="s">
        <v>40</v>
      </c>
      <c r="J35" t="s">
        <v>40</v>
      </c>
      <c r="K35" t="s">
        <v>26</v>
      </c>
      <c r="L35" t="str">
        <f>IF(TRIM(K35)="","Unknown",PROPER(TRIM(K35)))</f>
        <v>North</v>
      </c>
      <c r="M35" t="s">
        <v>27</v>
      </c>
      <c r="N35" t="s">
        <v>28</v>
      </c>
      <c r="O35" t="s">
        <v>44</v>
      </c>
      <c r="P35" t="str">
        <f>IF(TRIM(O35)="","Unknown",PROPER(TRIM(O35)))</f>
        <v>Furniture</v>
      </c>
      <c r="Q35" t="s">
        <v>74</v>
      </c>
      <c r="R35" t="s">
        <v>335</v>
      </c>
      <c r="S35" t="s">
        <v>55</v>
      </c>
      <c r="T35" t="str">
        <f>IF(TRIM(S35)="","Unknown",PROPER(TRIM(S35)))</f>
        <v>First Class</v>
      </c>
      <c r="U35">
        <v>9</v>
      </c>
      <c r="V35">
        <v>1399.63</v>
      </c>
      <c r="W35">
        <v>0</v>
      </c>
      <c r="Y35">
        <v>0</v>
      </c>
      <c r="Z35">
        <v>12596.67</v>
      </c>
      <c r="AA35">
        <v>10603.29</v>
      </c>
      <c r="AB35">
        <v>1993.38</v>
      </c>
      <c r="AC35" t="s">
        <v>186</v>
      </c>
      <c r="AD35" t="s">
        <v>76</v>
      </c>
      <c r="AE35">
        <f>ROUND((U35*V35)-(U35*V35*Y35),2)</f>
        <v>12596.67</v>
      </c>
      <c r="AF35">
        <f>AE35-AA35</f>
        <v>1993.3799999999992</v>
      </c>
      <c r="AG35" s="7">
        <f>ROUND((AF35/AE35),4)</f>
        <v>0.15820000000000001</v>
      </c>
      <c r="AH35" t="str">
        <f>IF(AND(C35&lt;&gt;"",E35&lt;&gt;""),E35 - C35,"")</f>
        <v/>
      </c>
      <c r="AI35" t="str">
        <f>IF(C35="","",TEXT(C35, "mmmm"))</f>
        <v/>
      </c>
      <c r="AJ35" t="str">
        <f>IF(C35="","",YEAR(C35))</f>
        <v/>
      </c>
      <c r="AM35" t="s">
        <v>4144</v>
      </c>
      <c r="AN35" t="s">
        <v>4128</v>
      </c>
    </row>
    <row r="36" spans="1:40">
      <c r="A36" t="s">
        <v>353</v>
      </c>
      <c r="B36" t="s">
        <v>3639</v>
      </c>
      <c r="C36" s="6">
        <v>45329</v>
      </c>
      <c r="D36" t="s">
        <v>354</v>
      </c>
      <c r="E36" s="6">
        <v>45337</v>
      </c>
      <c r="F36" t="s">
        <v>355</v>
      </c>
      <c r="G36" t="s">
        <v>136</v>
      </c>
      <c r="H36" t="s">
        <v>136</v>
      </c>
      <c r="I36" t="s">
        <v>25</v>
      </c>
      <c r="J36" t="s">
        <v>25</v>
      </c>
      <c r="K36" t="s">
        <v>71</v>
      </c>
      <c r="L36" t="str">
        <f>IF(TRIM(K36)="","Unknown",PROPER(TRIM(K36)))</f>
        <v>West</v>
      </c>
      <c r="M36" t="s">
        <v>230</v>
      </c>
      <c r="N36" t="s">
        <v>231</v>
      </c>
      <c r="O36" t="s">
        <v>44</v>
      </c>
      <c r="P36" t="str">
        <f>IF(TRIM(O36)="","Unknown",PROPER(TRIM(O36)))</f>
        <v>Furniture</v>
      </c>
      <c r="Q36" t="s">
        <v>74</v>
      </c>
      <c r="R36" t="s">
        <v>356</v>
      </c>
      <c r="S36" t="s">
        <v>47</v>
      </c>
      <c r="T36" t="str">
        <f>IF(TRIM(S36)="","Unknown",PROPER(TRIM(S36)))</f>
        <v>Same Day</v>
      </c>
      <c r="U36">
        <v>5</v>
      </c>
      <c r="V36">
        <v>255.87</v>
      </c>
      <c r="W36">
        <v>0</v>
      </c>
      <c r="Y36">
        <v>0</v>
      </c>
      <c r="Z36">
        <v>1279.3499999999999</v>
      </c>
      <c r="AA36">
        <v>1091.54</v>
      </c>
      <c r="AB36">
        <v>187.81</v>
      </c>
      <c r="AC36" t="s">
        <v>33</v>
      </c>
      <c r="AD36" t="s">
        <v>34</v>
      </c>
      <c r="AE36">
        <f>ROUND((U36*V36)-(U36*V36*Y36),2)</f>
        <v>1279.3499999999999</v>
      </c>
      <c r="AF36">
        <f>AE36-AA36</f>
        <v>187.80999999999995</v>
      </c>
      <c r="AG36" s="7">
        <f>ROUND((AF36/AE36),4)</f>
        <v>0.14680000000000001</v>
      </c>
      <c r="AH36">
        <f>IF(AND(C36&lt;&gt;"",E36&lt;&gt;""),E36 - C36,"")</f>
        <v>8</v>
      </c>
      <c r="AI36" t="str">
        <f>IF(C36="","",TEXT(C36, "mmmm"))</f>
        <v>February</v>
      </c>
      <c r="AJ36">
        <f>IF(C36="","",YEAR(C36))</f>
        <v>2024</v>
      </c>
      <c r="AM36" t="str">
        <f>IF(AN36="","clean","")</f>
        <v>clean</v>
      </c>
      <c r="AN36" t="s">
        <v>3595</v>
      </c>
    </row>
    <row r="37" spans="1:40">
      <c r="A37" t="s">
        <v>357</v>
      </c>
      <c r="B37" t="s">
        <v>358</v>
      </c>
      <c r="C37" s="6">
        <v>45536</v>
      </c>
      <c r="D37" t="s">
        <v>359</v>
      </c>
      <c r="E37" s="6">
        <v>45542</v>
      </c>
      <c r="F37" t="s">
        <v>360</v>
      </c>
      <c r="G37" t="s">
        <v>52</v>
      </c>
      <c r="H37" t="s">
        <v>52</v>
      </c>
      <c r="I37" t="s">
        <v>110</v>
      </c>
      <c r="J37" t="s">
        <v>110</v>
      </c>
      <c r="K37" t="s">
        <v>26</v>
      </c>
      <c r="L37" t="str">
        <f>IF(TRIM(K37)="","Unknown",PROPER(TRIM(K37)))</f>
        <v>North</v>
      </c>
      <c r="M37" t="s">
        <v>27</v>
      </c>
      <c r="N37" t="s">
        <v>28</v>
      </c>
      <c r="O37" t="s">
        <v>29</v>
      </c>
      <c r="P37" t="str">
        <f>IF(TRIM(O37)="","Unknown",PROPER(TRIM(O37)))</f>
        <v>Office Supplies</v>
      </c>
      <c r="Q37" t="s">
        <v>148</v>
      </c>
      <c r="R37" t="s">
        <v>361</v>
      </c>
      <c r="T37" t="str">
        <f>IF(TRIM(S37)="","Unknown",PROPER(TRIM(S37)))</f>
        <v>Unknown</v>
      </c>
      <c r="U37">
        <v>9</v>
      </c>
      <c r="V37">
        <v>1389.48</v>
      </c>
      <c r="W37">
        <v>0.1</v>
      </c>
      <c r="Y37">
        <v>0.1</v>
      </c>
      <c r="Z37">
        <v>11254.79</v>
      </c>
      <c r="AA37">
        <v>6578.06</v>
      </c>
      <c r="AB37">
        <v>4676.7299999999996</v>
      </c>
      <c r="AC37" t="s">
        <v>131</v>
      </c>
      <c r="AD37" t="s">
        <v>120</v>
      </c>
      <c r="AE37">
        <f>ROUND((U37*V37)-(U37*V37*Y37),2)</f>
        <v>11254.79</v>
      </c>
      <c r="AF37">
        <f>AE37-AA37</f>
        <v>4676.7300000000005</v>
      </c>
      <c r="AG37" s="7">
        <f>ROUND((AF37/AE37),4)</f>
        <v>0.41549999999999998</v>
      </c>
      <c r="AH37">
        <f>IF(AND(C37&lt;&gt;"",E37&lt;&gt;""),E37 - C37,"")</f>
        <v>6</v>
      </c>
      <c r="AI37" t="str">
        <f>IF(C37="","",TEXT(C37, "mmmm"))</f>
        <v>September</v>
      </c>
      <c r="AJ37">
        <f>IF(C37="","",YEAR(C37))</f>
        <v>2024</v>
      </c>
      <c r="AM37" t="s">
        <v>4145</v>
      </c>
      <c r="AN37" t="s">
        <v>3600</v>
      </c>
    </row>
    <row r="38" spans="1:40">
      <c r="A38" t="s">
        <v>362</v>
      </c>
      <c r="B38" t="s">
        <v>363</v>
      </c>
      <c r="D38" t="s">
        <v>364</v>
      </c>
      <c r="E38" s="6">
        <v>45498</v>
      </c>
      <c r="F38" t="s">
        <v>365</v>
      </c>
      <c r="G38" t="s">
        <v>136</v>
      </c>
      <c r="H38" t="s">
        <v>136</v>
      </c>
      <c r="I38" t="s">
        <v>104</v>
      </c>
      <c r="J38" t="s">
        <v>104</v>
      </c>
      <c r="K38" t="s">
        <v>41</v>
      </c>
      <c r="L38" t="str">
        <f>IF(TRIM(K38)="","Unknown",PROPER(TRIM(K38)))</f>
        <v>East</v>
      </c>
      <c r="M38" t="s">
        <v>201</v>
      </c>
      <c r="N38" t="s">
        <v>202</v>
      </c>
      <c r="O38" t="s">
        <v>29</v>
      </c>
      <c r="P38" t="str">
        <f>IF(TRIM(O38)="","Unknown",PROPER(TRIM(O38)))</f>
        <v>Office Supplies</v>
      </c>
      <c r="Q38" t="s">
        <v>105</v>
      </c>
      <c r="R38" t="s">
        <v>366</v>
      </c>
      <c r="S38" t="s">
        <v>47</v>
      </c>
      <c r="T38" t="str">
        <f>IF(TRIM(S38)="","Unknown",PROPER(TRIM(S38)))</f>
        <v>Same Day</v>
      </c>
      <c r="U38">
        <v>5</v>
      </c>
      <c r="V38">
        <v>4133.8500000000004</v>
      </c>
      <c r="W38">
        <v>0.2</v>
      </c>
      <c r="Y38">
        <v>0.2</v>
      </c>
      <c r="Z38">
        <v>16535.400000000001</v>
      </c>
      <c r="AA38">
        <v>12990.21</v>
      </c>
      <c r="AB38">
        <v>3545.19</v>
      </c>
      <c r="AC38" t="s">
        <v>33</v>
      </c>
      <c r="AD38" t="s">
        <v>76</v>
      </c>
      <c r="AE38">
        <f>ROUND((U38*V38)-(U38*V38*Y38),2)</f>
        <v>16535.400000000001</v>
      </c>
      <c r="AF38">
        <f>AE38-AA38</f>
        <v>3545.1900000000023</v>
      </c>
      <c r="AG38" s="7">
        <f>ROUND((AF38/AE38),4)</f>
        <v>0.21440000000000001</v>
      </c>
      <c r="AH38" t="str">
        <f>IF(AND(C38&lt;&gt;"",E38&lt;&gt;""),E38 - C38,"")</f>
        <v/>
      </c>
      <c r="AI38" t="str">
        <f>IF(C38="","",TEXT(C38, "mmmm"))</f>
        <v/>
      </c>
      <c r="AJ38" t="str">
        <f>IF(C38="","",YEAR(C38))</f>
        <v/>
      </c>
      <c r="AM38" t="s">
        <v>4144</v>
      </c>
      <c r="AN38" t="s">
        <v>4127</v>
      </c>
    </row>
    <row r="39" spans="1:40">
      <c r="A39" t="s">
        <v>367</v>
      </c>
      <c r="B39" t="s">
        <v>3640</v>
      </c>
      <c r="C39" s="6">
        <v>45486</v>
      </c>
      <c r="D39" t="s">
        <v>368</v>
      </c>
      <c r="E39" s="6">
        <v>45492</v>
      </c>
      <c r="F39" t="s">
        <v>369</v>
      </c>
      <c r="G39" t="s">
        <v>70</v>
      </c>
      <c r="H39" t="s">
        <v>70</v>
      </c>
      <c r="I39" t="s">
        <v>104</v>
      </c>
      <c r="J39" t="s">
        <v>104</v>
      </c>
      <c r="K39" t="s">
        <v>41</v>
      </c>
      <c r="L39" t="str">
        <f>IF(TRIM(K39)="","Unknown",PROPER(TRIM(K39)))</f>
        <v>East</v>
      </c>
      <c r="M39" t="s">
        <v>201</v>
      </c>
      <c r="N39" t="s">
        <v>202</v>
      </c>
      <c r="O39" t="s">
        <v>29</v>
      </c>
      <c r="P39" t="str">
        <f>IF(TRIM(O39)="","Unknown",PROPER(TRIM(O39)))</f>
        <v>Office Supplies</v>
      </c>
      <c r="Q39" t="s">
        <v>105</v>
      </c>
      <c r="R39" t="s">
        <v>370</v>
      </c>
      <c r="S39" t="s">
        <v>47</v>
      </c>
      <c r="T39" t="str">
        <f>IF(TRIM(S39)="","Unknown",PROPER(TRIM(S39)))</f>
        <v>Same Day</v>
      </c>
      <c r="U39">
        <v>3</v>
      </c>
      <c r="V39">
        <v>275.76</v>
      </c>
      <c r="W39">
        <v>0.2</v>
      </c>
      <c r="Y39">
        <v>0.2</v>
      </c>
      <c r="Z39">
        <v>661.82</v>
      </c>
      <c r="AA39">
        <v>481.47</v>
      </c>
      <c r="AB39">
        <v>180.35</v>
      </c>
      <c r="AC39" t="s">
        <v>119</v>
      </c>
      <c r="AD39" t="s">
        <v>76</v>
      </c>
      <c r="AE39">
        <f>ROUND((U39*V39)-(U39*V39*Y39),2)</f>
        <v>661.82</v>
      </c>
      <c r="AF39">
        <f>AE39-AA39</f>
        <v>180.35000000000002</v>
      </c>
      <c r="AG39" s="7">
        <f>ROUND((AF39/AE39),4)</f>
        <v>0.27250000000000002</v>
      </c>
      <c r="AH39">
        <f>IF(AND(C39&lt;&gt;"",E39&lt;&gt;""),E39 - C39,"")</f>
        <v>6</v>
      </c>
      <c r="AI39" t="str">
        <f>IF(C39="","",TEXT(C39, "mmmm"))</f>
        <v>July</v>
      </c>
      <c r="AJ39">
        <f>IF(C39="","",YEAR(C39))</f>
        <v>2024</v>
      </c>
      <c r="AM39" t="str">
        <f>IF(AN39="","clean","")</f>
        <v>clean</v>
      </c>
      <c r="AN39" t="s">
        <v>3595</v>
      </c>
    </row>
    <row r="40" spans="1:40">
      <c r="A40" t="s">
        <v>371</v>
      </c>
      <c r="B40" t="s">
        <v>3641</v>
      </c>
      <c r="C40" s="6">
        <v>45398</v>
      </c>
      <c r="D40" t="s">
        <v>372</v>
      </c>
      <c r="E40" s="6">
        <v>45398</v>
      </c>
      <c r="F40" t="s">
        <v>373</v>
      </c>
      <c r="G40" t="s">
        <v>80</v>
      </c>
      <c r="H40" t="s">
        <v>80</v>
      </c>
      <c r="I40" t="s">
        <v>110</v>
      </c>
      <c r="J40" t="s">
        <v>110</v>
      </c>
      <c r="K40" t="s">
        <v>41</v>
      </c>
      <c r="L40" t="str">
        <f>IF(TRIM(K40)="","Unknown",PROPER(TRIM(K40)))</f>
        <v>East</v>
      </c>
      <c r="M40" t="s">
        <v>174</v>
      </c>
      <c r="N40" t="s">
        <v>175</v>
      </c>
      <c r="O40" t="s">
        <v>44</v>
      </c>
      <c r="P40" t="str">
        <f>IF(TRIM(O40)="","Unknown",PROPER(TRIM(O40)))</f>
        <v>Furniture</v>
      </c>
      <c r="Q40" t="s">
        <v>190</v>
      </c>
      <c r="R40" t="s">
        <v>374</v>
      </c>
      <c r="S40" t="s">
        <v>65</v>
      </c>
      <c r="T40" t="str">
        <f>IF(TRIM(S40)="","Unknown",PROPER(TRIM(S40)))</f>
        <v>Standard Class</v>
      </c>
      <c r="U40">
        <v>1</v>
      </c>
      <c r="V40">
        <v>949.59</v>
      </c>
      <c r="W40">
        <v>0</v>
      </c>
      <c r="Y40">
        <v>0</v>
      </c>
      <c r="Z40">
        <v>949.59</v>
      </c>
      <c r="AA40">
        <v>751.25</v>
      </c>
      <c r="AB40">
        <v>198.34</v>
      </c>
      <c r="AC40" t="s">
        <v>33</v>
      </c>
      <c r="AD40" t="s">
        <v>34</v>
      </c>
      <c r="AE40">
        <f>ROUND((U40*V40)-(U40*V40*Y40),2)</f>
        <v>949.59</v>
      </c>
      <c r="AF40">
        <f>AE40-AA40</f>
        <v>198.34000000000003</v>
      </c>
      <c r="AG40" s="7">
        <f>ROUND((AF40/AE40),4)</f>
        <v>0.2089</v>
      </c>
      <c r="AH40">
        <f>IF(AND(C40&lt;&gt;"",E40&lt;&gt;""),E40 - C40,"")</f>
        <v>0</v>
      </c>
      <c r="AI40" t="str">
        <f>IF(C40="","",TEXT(C40, "mmmm"))</f>
        <v>April</v>
      </c>
      <c r="AJ40">
        <f>IF(C40="","",YEAR(C40))</f>
        <v>2024</v>
      </c>
      <c r="AM40" t="str">
        <f>IF(AN40="","clean","")</f>
        <v>clean</v>
      </c>
      <c r="AN40" t="s">
        <v>3595</v>
      </c>
    </row>
    <row r="41" spans="1:40">
      <c r="A41" t="s">
        <v>375</v>
      </c>
      <c r="B41" t="s">
        <v>3642</v>
      </c>
      <c r="C41" s="6">
        <v>45595</v>
      </c>
      <c r="D41" t="s">
        <v>376</v>
      </c>
      <c r="E41" s="6">
        <v>45598</v>
      </c>
      <c r="F41" t="s">
        <v>377</v>
      </c>
      <c r="G41" t="s">
        <v>158</v>
      </c>
      <c r="H41" t="s">
        <v>158</v>
      </c>
      <c r="I41" t="s">
        <v>110</v>
      </c>
      <c r="J41" t="s">
        <v>110</v>
      </c>
      <c r="K41" t="s">
        <v>26</v>
      </c>
      <c r="L41" t="str">
        <f>IF(TRIM(K41)="","Unknown",PROPER(TRIM(K41)))</f>
        <v>North</v>
      </c>
      <c r="M41" t="s">
        <v>27</v>
      </c>
      <c r="N41" t="s">
        <v>28</v>
      </c>
      <c r="O41" t="s">
        <v>83</v>
      </c>
      <c r="P41" t="str">
        <f>IF(TRIM(O41)="","Unknown",PROPER(TRIM(O41)))</f>
        <v>Technology</v>
      </c>
      <c r="Q41" t="s">
        <v>207</v>
      </c>
      <c r="R41" t="s">
        <v>378</v>
      </c>
      <c r="S41" t="s">
        <v>65</v>
      </c>
      <c r="T41" t="str">
        <f>IF(TRIM(S41)="","Unknown",PROPER(TRIM(S41)))</f>
        <v>Standard Class</v>
      </c>
      <c r="U41">
        <v>9</v>
      </c>
      <c r="V41">
        <v>3042.29</v>
      </c>
      <c r="W41">
        <v>0.2</v>
      </c>
      <c r="Y41">
        <v>0.2</v>
      </c>
      <c r="Z41">
        <v>21904.49</v>
      </c>
      <c r="AA41">
        <v>13570.55</v>
      </c>
      <c r="AB41">
        <v>8333.94</v>
      </c>
      <c r="AC41" t="s">
        <v>33</v>
      </c>
      <c r="AD41" t="s">
        <v>34</v>
      </c>
      <c r="AE41">
        <f>ROUND((U41*V41)-(U41*V41*Y41),2)</f>
        <v>21904.49</v>
      </c>
      <c r="AF41">
        <f>AE41-AA41</f>
        <v>8333.9400000000023</v>
      </c>
      <c r="AG41" s="7">
        <f>ROUND((AF41/AE41),4)</f>
        <v>0.3805</v>
      </c>
      <c r="AH41">
        <f>IF(AND(C41&lt;&gt;"",E41&lt;&gt;""),E41 - C41,"")</f>
        <v>3</v>
      </c>
      <c r="AI41" t="str">
        <f>IF(C41="","",TEXT(C41, "mmmm"))</f>
        <v>October</v>
      </c>
      <c r="AJ41">
        <f>IF(C41="","",YEAR(C41))</f>
        <v>2024</v>
      </c>
      <c r="AM41" t="str">
        <f>IF(AN41="","clean","")</f>
        <v>clean</v>
      </c>
      <c r="AN41" t="s">
        <v>3595</v>
      </c>
    </row>
    <row r="42" spans="1:40">
      <c r="A42" t="s">
        <v>379</v>
      </c>
      <c r="B42" t="s">
        <v>3643</v>
      </c>
      <c r="C42" s="6">
        <v>45316</v>
      </c>
      <c r="D42" t="s">
        <v>380</v>
      </c>
      <c r="E42" s="6">
        <v>45323</v>
      </c>
      <c r="F42" t="s">
        <v>381</v>
      </c>
      <c r="G42" t="s">
        <v>158</v>
      </c>
      <c r="H42" t="s">
        <v>158</v>
      </c>
      <c r="I42" t="s">
        <v>110</v>
      </c>
      <c r="J42" t="s">
        <v>110</v>
      </c>
      <c r="K42" t="s">
        <v>26</v>
      </c>
      <c r="L42" t="str">
        <f>IF(TRIM(K42)="","Unknown",PROPER(TRIM(K42)))</f>
        <v>North</v>
      </c>
      <c r="M42" t="s">
        <v>294</v>
      </c>
      <c r="N42" t="s">
        <v>295</v>
      </c>
      <c r="O42" t="s">
        <v>29</v>
      </c>
      <c r="P42" t="str">
        <f>IF(TRIM(O42)="","Unknown",PROPER(TRIM(O42)))</f>
        <v>Office Supplies</v>
      </c>
      <c r="Q42" t="s">
        <v>184</v>
      </c>
      <c r="R42" t="s">
        <v>382</v>
      </c>
      <c r="S42" t="s">
        <v>47</v>
      </c>
      <c r="T42" t="str">
        <f>IF(TRIM(S42)="","Unknown",PROPER(TRIM(S42)))</f>
        <v>Same Day</v>
      </c>
      <c r="U42">
        <v>2</v>
      </c>
      <c r="V42">
        <v>2832.77</v>
      </c>
      <c r="W42">
        <v>0.15</v>
      </c>
      <c r="Y42">
        <v>0.15</v>
      </c>
      <c r="Z42">
        <v>4815.71</v>
      </c>
      <c r="AA42">
        <v>3027.75</v>
      </c>
      <c r="AB42">
        <v>1917.47</v>
      </c>
      <c r="AC42" t="s">
        <v>33</v>
      </c>
      <c r="AD42" t="s">
        <v>34</v>
      </c>
      <c r="AE42">
        <f>ROUND((U42*V42)-(U42*V42*Y42),2)</f>
        <v>4815.71</v>
      </c>
      <c r="AF42">
        <f>AE42-AA42</f>
        <v>1787.96</v>
      </c>
      <c r="AG42" s="7">
        <f>ROUND((AF42/AE42),4)</f>
        <v>0.37130000000000002</v>
      </c>
      <c r="AH42">
        <f>IF(AND(C42&lt;&gt;"",E42&lt;&gt;""),E42 - C42,"")</f>
        <v>7</v>
      </c>
      <c r="AI42" t="str">
        <f>IF(C42="","",TEXT(C42, "mmmm"))</f>
        <v>January</v>
      </c>
      <c r="AJ42">
        <f>IF(C42="","",YEAR(C42))</f>
        <v>2024</v>
      </c>
      <c r="AM42" t="str">
        <f>IF(AN42="","clean","")</f>
        <v>clean</v>
      </c>
      <c r="AN42" t="s">
        <v>3595</v>
      </c>
    </row>
    <row r="43" spans="1:40">
      <c r="A43" t="s">
        <v>383</v>
      </c>
      <c r="B43" t="s">
        <v>3644</v>
      </c>
      <c r="C43" s="6">
        <v>45649</v>
      </c>
      <c r="D43" t="s">
        <v>384</v>
      </c>
      <c r="E43" s="6">
        <v>45655</v>
      </c>
      <c r="F43" t="s">
        <v>385</v>
      </c>
      <c r="G43" t="s">
        <v>153</v>
      </c>
      <c r="H43" t="s">
        <v>153</v>
      </c>
      <c r="I43" t="s">
        <v>104</v>
      </c>
      <c r="J43" t="s">
        <v>104</v>
      </c>
      <c r="K43" t="s">
        <v>41</v>
      </c>
      <c r="L43" t="str">
        <f>IF(TRIM(K43)="","Unknown",PROPER(TRIM(K43)))</f>
        <v>East</v>
      </c>
      <c r="M43" t="s">
        <v>284</v>
      </c>
      <c r="N43" t="s">
        <v>285</v>
      </c>
      <c r="O43" t="s">
        <v>29</v>
      </c>
      <c r="P43" t="str">
        <f>IF(TRIM(O43)="","Unknown",PROPER(TRIM(O43)))</f>
        <v>Office Supplies</v>
      </c>
      <c r="Q43" t="s">
        <v>30</v>
      </c>
      <c r="R43" t="s">
        <v>386</v>
      </c>
      <c r="S43" t="s">
        <v>55</v>
      </c>
      <c r="T43" t="str">
        <f>IF(TRIM(S43)="","Unknown",PROPER(TRIM(S43)))</f>
        <v>First Class</v>
      </c>
      <c r="U43">
        <v>7</v>
      </c>
      <c r="V43">
        <v>447.84</v>
      </c>
      <c r="W43">
        <v>0</v>
      </c>
      <c r="Y43">
        <v>0</v>
      </c>
      <c r="Z43">
        <v>3134.88</v>
      </c>
      <c r="AA43">
        <v>2367.63</v>
      </c>
      <c r="AB43">
        <v>767.25</v>
      </c>
      <c r="AC43" t="s">
        <v>119</v>
      </c>
      <c r="AD43" t="s">
        <v>120</v>
      </c>
      <c r="AE43">
        <f>ROUND((U43*V43)-(U43*V43*Y43),2)</f>
        <v>3134.88</v>
      </c>
      <c r="AF43">
        <f>AE43-AA43</f>
        <v>767.25</v>
      </c>
      <c r="AG43" s="7">
        <f>ROUND((AF43/AE43),4)</f>
        <v>0.2447</v>
      </c>
      <c r="AH43">
        <f>IF(AND(C43&lt;&gt;"",E43&lt;&gt;""),E43 - C43,"")</f>
        <v>6</v>
      </c>
      <c r="AI43" t="str">
        <f>IF(C43="","",TEXT(C43, "mmmm"))</f>
        <v>December</v>
      </c>
      <c r="AJ43">
        <f>IF(C43="","",YEAR(C43))</f>
        <v>2024</v>
      </c>
      <c r="AM43" t="str">
        <f>IF(AN43="","clean","")</f>
        <v>clean</v>
      </c>
      <c r="AN43" t="s">
        <v>3595</v>
      </c>
    </row>
    <row r="44" spans="1:40">
      <c r="A44" t="s">
        <v>387</v>
      </c>
      <c r="B44" t="s">
        <v>3645</v>
      </c>
      <c r="C44" s="6">
        <v>45404</v>
      </c>
      <c r="D44" t="s">
        <v>388</v>
      </c>
      <c r="E44" s="6">
        <v>45409</v>
      </c>
      <c r="F44" t="s">
        <v>389</v>
      </c>
      <c r="G44" t="s">
        <v>39</v>
      </c>
      <c r="H44" t="s">
        <v>39</v>
      </c>
      <c r="I44" t="s">
        <v>110</v>
      </c>
      <c r="J44" t="s">
        <v>110</v>
      </c>
      <c r="K44" t="s">
        <v>71</v>
      </c>
      <c r="L44" t="str">
        <f>IF(TRIM(K44)="","Unknown",PROPER(TRIM(K44)))</f>
        <v>West</v>
      </c>
      <c r="M44" t="s">
        <v>72</v>
      </c>
      <c r="N44" t="s">
        <v>73</v>
      </c>
      <c r="O44" t="s">
        <v>29</v>
      </c>
      <c r="P44" t="str">
        <f>IF(TRIM(O44)="","Unknown",PROPER(TRIM(O44)))</f>
        <v>Office Supplies</v>
      </c>
      <c r="Q44" t="s">
        <v>30</v>
      </c>
      <c r="R44" t="s">
        <v>390</v>
      </c>
      <c r="S44" t="s">
        <v>32</v>
      </c>
      <c r="T44" t="str">
        <f>IF(TRIM(S44)="","Unknown",PROPER(TRIM(S44)))</f>
        <v>Second Class</v>
      </c>
      <c r="U44">
        <v>1</v>
      </c>
      <c r="V44">
        <v>4280.1899999999996</v>
      </c>
      <c r="W44">
        <v>0.05</v>
      </c>
      <c r="Y44">
        <v>0.05</v>
      </c>
      <c r="Z44">
        <v>4066.18</v>
      </c>
      <c r="AA44">
        <v>2628.92</v>
      </c>
      <c r="AB44">
        <v>1437.26</v>
      </c>
      <c r="AC44" t="s">
        <v>33</v>
      </c>
      <c r="AD44" t="s">
        <v>34</v>
      </c>
      <c r="AE44">
        <f>ROUND((U44*V44)-(U44*V44*Y44),2)</f>
        <v>4066.18</v>
      </c>
      <c r="AF44">
        <f>AE44-AA44</f>
        <v>1437.2599999999998</v>
      </c>
      <c r="AG44" s="7">
        <f>ROUND((AF44/AE44),4)</f>
        <v>0.35349999999999998</v>
      </c>
      <c r="AH44">
        <f>IF(AND(C44&lt;&gt;"",E44&lt;&gt;""),E44 - C44,"")</f>
        <v>5</v>
      </c>
      <c r="AI44" t="str">
        <f>IF(C44="","",TEXT(C44, "mmmm"))</f>
        <v>April</v>
      </c>
      <c r="AJ44">
        <f>IF(C44="","",YEAR(C44))</f>
        <v>2024</v>
      </c>
      <c r="AM44" t="str">
        <f>IF(AN44="","clean","")</f>
        <v>clean</v>
      </c>
      <c r="AN44" t="s">
        <v>3595</v>
      </c>
    </row>
    <row r="45" spans="1:40">
      <c r="A45" t="s">
        <v>401</v>
      </c>
      <c r="B45" t="s">
        <v>101</v>
      </c>
      <c r="C45" s="6">
        <v>45606</v>
      </c>
      <c r="D45" t="s">
        <v>402</v>
      </c>
      <c r="E45" s="6">
        <v>45609</v>
      </c>
      <c r="F45" t="s">
        <v>403</v>
      </c>
      <c r="G45" t="s">
        <v>52</v>
      </c>
      <c r="H45" t="s">
        <v>52</v>
      </c>
      <c r="I45" t="s">
        <v>104</v>
      </c>
      <c r="J45" t="s">
        <v>104</v>
      </c>
      <c r="K45" t="s">
        <v>41</v>
      </c>
      <c r="L45" t="str">
        <f>IF(TRIM(K45)="","Unknown",PROPER(TRIM(K45)))</f>
        <v>East</v>
      </c>
      <c r="M45" t="s">
        <v>284</v>
      </c>
      <c r="N45" t="s">
        <v>285</v>
      </c>
      <c r="O45" t="s">
        <v>29</v>
      </c>
      <c r="P45" t="str">
        <f>IF(TRIM(O45)="","Unknown",PROPER(TRIM(O45)))</f>
        <v>Office Supplies</v>
      </c>
      <c r="Q45" t="s">
        <v>148</v>
      </c>
      <c r="R45" t="s">
        <v>404</v>
      </c>
      <c r="S45" t="s">
        <v>32</v>
      </c>
      <c r="T45" t="str">
        <f>IF(TRIM(S45)="","Unknown",PROPER(TRIM(S45)))</f>
        <v>Second Class</v>
      </c>
      <c r="U45">
        <v>9</v>
      </c>
      <c r="V45">
        <v>2211.12</v>
      </c>
      <c r="W45">
        <v>0</v>
      </c>
      <c r="Y45">
        <v>0</v>
      </c>
      <c r="Z45">
        <v>19900.080000000002</v>
      </c>
      <c r="AA45">
        <v>10962.66</v>
      </c>
      <c r="AB45">
        <v>8937.42</v>
      </c>
      <c r="AC45" t="s">
        <v>186</v>
      </c>
      <c r="AD45" t="s">
        <v>120</v>
      </c>
      <c r="AE45">
        <f>ROUND((U45*V45)-(U45*V45*Y45),2)</f>
        <v>19900.080000000002</v>
      </c>
      <c r="AF45">
        <f>AE45-AA45</f>
        <v>8937.4200000000019</v>
      </c>
      <c r="AG45" s="7">
        <f>ROUND((AF45/AE45),4)</f>
        <v>0.4491</v>
      </c>
      <c r="AH45">
        <f>IF(AND(C45&lt;&gt;"",E45&lt;&gt;""),E45 - C45,"")</f>
        <v>3</v>
      </c>
      <c r="AI45" t="str">
        <f>IF(C45="","",TEXT(C45, "mmmm"))</f>
        <v>November</v>
      </c>
      <c r="AJ45">
        <f>IF(C45="","",YEAR(C45))</f>
        <v>2024</v>
      </c>
      <c r="AM45" t="str">
        <f>IF(AN45="","clean","")</f>
        <v>clean</v>
      </c>
      <c r="AN45" t="s">
        <v>3595</v>
      </c>
    </row>
    <row r="46" spans="1:40">
      <c r="A46" t="s">
        <v>405</v>
      </c>
      <c r="B46" t="s">
        <v>3646</v>
      </c>
      <c r="C46" s="6">
        <v>45391</v>
      </c>
      <c r="D46" t="s">
        <v>406</v>
      </c>
      <c r="E46" s="6">
        <v>45396</v>
      </c>
      <c r="F46" t="s">
        <v>407</v>
      </c>
      <c r="G46" t="s">
        <v>90</v>
      </c>
      <c r="H46" t="s">
        <v>90</v>
      </c>
      <c r="I46" t="s">
        <v>40</v>
      </c>
      <c r="J46" t="s">
        <v>40</v>
      </c>
      <c r="K46" t="s">
        <v>71</v>
      </c>
      <c r="L46" t="str">
        <f>IF(TRIM(K46)="","Unknown",PROPER(TRIM(K46)))</f>
        <v>West</v>
      </c>
      <c r="M46" t="s">
        <v>218</v>
      </c>
      <c r="N46" t="s">
        <v>219</v>
      </c>
      <c r="O46" t="s">
        <v>83</v>
      </c>
      <c r="P46" t="str">
        <f>IF(TRIM(O46)="","Unknown",PROPER(TRIM(O46)))</f>
        <v>Technology</v>
      </c>
      <c r="Q46" t="s">
        <v>347</v>
      </c>
      <c r="R46" t="s">
        <v>408</v>
      </c>
      <c r="S46" t="s">
        <v>47</v>
      </c>
      <c r="T46" t="str">
        <f>IF(TRIM(S46)="","Unknown",PROPER(TRIM(S46)))</f>
        <v>Same Day</v>
      </c>
      <c r="U46">
        <v>7</v>
      </c>
      <c r="V46">
        <v>3417.09</v>
      </c>
      <c r="W46">
        <v>0.1</v>
      </c>
      <c r="Y46">
        <v>0.1</v>
      </c>
      <c r="Z46">
        <v>21527.67</v>
      </c>
      <c r="AA46">
        <v>18287.580000000002</v>
      </c>
      <c r="AB46">
        <v>3240.09</v>
      </c>
      <c r="AC46" t="s">
        <v>119</v>
      </c>
      <c r="AD46" t="s">
        <v>120</v>
      </c>
      <c r="AE46">
        <f>ROUND((U46*V46)-(U46*V46*Y46),2)</f>
        <v>21527.67</v>
      </c>
      <c r="AF46">
        <f>AE46-AA46</f>
        <v>3240.0899999999965</v>
      </c>
      <c r="AG46" s="7">
        <f>ROUND((AF46/AE46),4)</f>
        <v>0.15049999999999999</v>
      </c>
      <c r="AH46">
        <f>IF(AND(C46&lt;&gt;"",E46&lt;&gt;""),E46 - C46,"")</f>
        <v>5</v>
      </c>
      <c r="AI46" t="str">
        <f>IF(C46="","",TEXT(C46, "mmmm"))</f>
        <v>April</v>
      </c>
      <c r="AJ46">
        <f>IF(C46="","",YEAR(C46))</f>
        <v>2024</v>
      </c>
      <c r="AM46" t="str">
        <f>IF(AN46="","clean","")</f>
        <v>clean</v>
      </c>
      <c r="AN46" t="s">
        <v>3595</v>
      </c>
    </row>
    <row r="47" spans="1:40">
      <c r="A47" t="s">
        <v>417</v>
      </c>
      <c r="B47" t="s">
        <v>3648</v>
      </c>
      <c r="C47" s="6">
        <v>45333</v>
      </c>
      <c r="D47" t="s">
        <v>418</v>
      </c>
      <c r="E47" s="6">
        <v>45329</v>
      </c>
      <c r="F47" t="s">
        <v>419</v>
      </c>
      <c r="G47" t="s">
        <v>24</v>
      </c>
      <c r="H47" t="s">
        <v>24</v>
      </c>
      <c r="I47" t="s">
        <v>110</v>
      </c>
      <c r="J47" t="s">
        <v>110</v>
      </c>
      <c r="K47" t="s">
        <v>60</v>
      </c>
      <c r="L47" t="str">
        <f>IF(TRIM(K47)="","Unknown",PROPER(TRIM(K47)))</f>
        <v>South</v>
      </c>
      <c r="M47" t="s">
        <v>309</v>
      </c>
      <c r="N47" t="s">
        <v>310</v>
      </c>
      <c r="O47" t="s">
        <v>44</v>
      </c>
      <c r="P47" t="str">
        <f>IF(TRIM(O47)="","Unknown",PROPER(TRIM(O47)))</f>
        <v>Furniture</v>
      </c>
      <c r="Q47" t="s">
        <v>45</v>
      </c>
      <c r="R47" t="s">
        <v>420</v>
      </c>
      <c r="S47" t="s">
        <v>55</v>
      </c>
      <c r="T47" t="str">
        <f>IF(TRIM(S47)="","Unknown",PROPER(TRIM(S47)))</f>
        <v>First Class</v>
      </c>
      <c r="U47">
        <v>7</v>
      </c>
      <c r="V47">
        <v>2287.4699999999998</v>
      </c>
      <c r="W47">
        <v>0.15</v>
      </c>
      <c r="Y47">
        <v>0.15</v>
      </c>
      <c r="Z47">
        <v>13610.45</v>
      </c>
      <c r="AA47">
        <v>10039.049999999999</v>
      </c>
      <c r="AB47">
        <v>3571.4</v>
      </c>
      <c r="AC47" t="s">
        <v>33</v>
      </c>
      <c r="AD47" t="s">
        <v>34</v>
      </c>
      <c r="AE47">
        <f>ROUND((U47*V47)-(U47*V47*Y47),2)</f>
        <v>13610.45</v>
      </c>
      <c r="AF47">
        <f>AE47-AA47</f>
        <v>3571.4000000000015</v>
      </c>
      <c r="AG47" s="7">
        <f>ROUND((AF47/AE47),4)</f>
        <v>0.26240000000000002</v>
      </c>
      <c r="AH47">
        <f>IF(AND(C47&lt;&gt;"",E47&lt;&gt;""),E47 - C47,"")</f>
        <v>-4</v>
      </c>
      <c r="AI47" t="str">
        <f>IF(C47="","",TEXT(C47, "mmmm"))</f>
        <v>February</v>
      </c>
      <c r="AJ47">
        <f>IF(C47="","",YEAR(C47))</f>
        <v>2024</v>
      </c>
      <c r="AM47" t="s">
        <v>4145</v>
      </c>
      <c r="AN47" t="s">
        <v>4140</v>
      </c>
    </row>
    <row r="48" spans="1:40">
      <c r="A48" t="s">
        <v>433</v>
      </c>
      <c r="B48" t="s">
        <v>434</v>
      </c>
      <c r="C48" s="6">
        <v>45599</v>
      </c>
      <c r="D48" t="s">
        <v>435</v>
      </c>
      <c r="E48" s="6">
        <v>45607</v>
      </c>
      <c r="F48" t="s">
        <v>436</v>
      </c>
      <c r="G48" t="s">
        <v>70</v>
      </c>
      <c r="H48" t="s">
        <v>70</v>
      </c>
      <c r="I48" t="s">
        <v>104</v>
      </c>
      <c r="J48" t="s">
        <v>104</v>
      </c>
      <c r="K48" t="s">
        <v>41</v>
      </c>
      <c r="L48" t="str">
        <f>IF(TRIM(K48)="","Unknown",PROPER(TRIM(K48)))</f>
        <v>East</v>
      </c>
      <c r="M48" t="s">
        <v>284</v>
      </c>
      <c r="N48" t="s">
        <v>285</v>
      </c>
      <c r="O48" t="s">
        <v>29</v>
      </c>
      <c r="P48" t="str">
        <f>IF(TRIM(O48)="","Unknown",PROPER(TRIM(O48)))</f>
        <v>Office Supplies</v>
      </c>
      <c r="Q48" t="s">
        <v>105</v>
      </c>
      <c r="R48" t="s">
        <v>437</v>
      </c>
      <c r="S48" t="s">
        <v>32</v>
      </c>
      <c r="T48" t="str">
        <f>IF(TRIM(S48)="","Unknown",PROPER(TRIM(S48)))</f>
        <v>Second Class</v>
      </c>
      <c r="U48">
        <v>3</v>
      </c>
      <c r="V48">
        <v>3406.27</v>
      </c>
      <c r="W48">
        <v>0</v>
      </c>
      <c r="Y48">
        <v>0</v>
      </c>
      <c r="Z48">
        <v>10218.81</v>
      </c>
      <c r="AA48">
        <v>7616.97</v>
      </c>
      <c r="AB48">
        <v>2601.84</v>
      </c>
      <c r="AC48" t="s">
        <v>33</v>
      </c>
      <c r="AD48" t="s">
        <v>34</v>
      </c>
      <c r="AE48">
        <f>ROUND((U48*V48)-(U48*V48*Y48),2)</f>
        <v>10218.81</v>
      </c>
      <c r="AF48">
        <f>AE48-AA48</f>
        <v>2601.8399999999992</v>
      </c>
      <c r="AG48" s="7">
        <f>ROUND((AF48/AE48),4)</f>
        <v>0.25459999999999999</v>
      </c>
      <c r="AH48">
        <f>IF(AND(C48&lt;&gt;"",E48&lt;&gt;""),E48 - C48,"")</f>
        <v>8</v>
      </c>
      <c r="AI48" t="str">
        <f>IF(C48="","",TEXT(C48, "mmmm"))</f>
        <v>November</v>
      </c>
      <c r="AJ48">
        <f>IF(C48="","",YEAR(C48))</f>
        <v>2024</v>
      </c>
      <c r="AM48" t="str">
        <f>IF(AN48="","clean","")</f>
        <v>clean</v>
      </c>
      <c r="AN48" t="s">
        <v>3595</v>
      </c>
    </row>
    <row r="49" spans="1:40">
      <c r="A49" t="s">
        <v>451</v>
      </c>
      <c r="B49" t="s">
        <v>3654</v>
      </c>
      <c r="C49" s="6">
        <v>45514</v>
      </c>
      <c r="D49" t="s">
        <v>452</v>
      </c>
      <c r="E49" s="6">
        <v>45518</v>
      </c>
      <c r="F49" t="s">
        <v>453</v>
      </c>
      <c r="G49" t="s">
        <v>153</v>
      </c>
      <c r="H49" t="s">
        <v>153</v>
      </c>
      <c r="I49" t="s">
        <v>40</v>
      </c>
      <c r="J49" t="s">
        <v>40</v>
      </c>
      <c r="K49" t="s">
        <v>26</v>
      </c>
      <c r="L49" t="str">
        <f>IF(TRIM(K49)="","Unknown",PROPER(TRIM(K49)))</f>
        <v>North</v>
      </c>
      <c r="M49" t="s">
        <v>454</v>
      </c>
      <c r="N49" t="s">
        <v>455</v>
      </c>
      <c r="O49" t="s">
        <v>29</v>
      </c>
      <c r="P49" t="str">
        <f>IF(TRIM(O49)="","Unknown",PROPER(TRIM(O49)))</f>
        <v>Office Supplies</v>
      </c>
      <c r="Q49" t="s">
        <v>148</v>
      </c>
      <c r="R49" t="s">
        <v>456</v>
      </c>
      <c r="S49" t="s">
        <v>32</v>
      </c>
      <c r="T49" t="str">
        <f>IF(TRIM(S49)="","Unknown",PROPER(TRIM(S49)))</f>
        <v>Second Class</v>
      </c>
      <c r="U49">
        <v>4</v>
      </c>
      <c r="V49">
        <v>1182.32</v>
      </c>
      <c r="W49">
        <v>0.1</v>
      </c>
      <c r="Y49">
        <v>0.1</v>
      </c>
      <c r="Z49">
        <v>4256.3500000000004</v>
      </c>
      <c r="AA49">
        <v>2495.33</v>
      </c>
      <c r="AB49">
        <v>1761.02</v>
      </c>
      <c r="AC49" t="s">
        <v>131</v>
      </c>
      <c r="AD49" t="s">
        <v>120</v>
      </c>
      <c r="AE49">
        <f>ROUND((U49*V49)-(U49*V49*Y49),2)</f>
        <v>4256.3500000000004</v>
      </c>
      <c r="AF49">
        <f>AE49-AA49</f>
        <v>1761.0200000000004</v>
      </c>
      <c r="AG49" s="7">
        <f>ROUND((AF49/AE49),4)</f>
        <v>0.41370000000000001</v>
      </c>
      <c r="AH49">
        <f>IF(AND(C49&lt;&gt;"",E49&lt;&gt;""),E49 - C49,"")</f>
        <v>4</v>
      </c>
      <c r="AI49" t="str">
        <f>IF(C49="","",TEXT(C49, "mmmm"))</f>
        <v>August</v>
      </c>
      <c r="AJ49">
        <f>IF(C49="","",YEAR(C49))</f>
        <v>2024</v>
      </c>
      <c r="AM49" t="str">
        <f>IF(AN49="","clean","")</f>
        <v>clean</v>
      </c>
      <c r="AN49" t="s">
        <v>3595</v>
      </c>
    </row>
    <row r="50" spans="1:40">
      <c r="A50" t="s">
        <v>461</v>
      </c>
      <c r="B50" t="s">
        <v>462</v>
      </c>
      <c r="C50" s="6">
        <v>45507</v>
      </c>
      <c r="D50" t="s">
        <v>463</v>
      </c>
      <c r="E50" s="6">
        <v>45508</v>
      </c>
      <c r="F50" t="s">
        <v>464</v>
      </c>
      <c r="G50" t="s">
        <v>59</v>
      </c>
      <c r="H50" t="s">
        <v>59</v>
      </c>
      <c r="I50" t="s">
        <v>25</v>
      </c>
      <c r="J50" t="s">
        <v>25</v>
      </c>
      <c r="K50" t="s">
        <v>26</v>
      </c>
      <c r="L50" t="str">
        <f>IF(TRIM(K50)="","Unknown",PROPER(TRIM(K50)))</f>
        <v>North</v>
      </c>
      <c r="M50" t="s">
        <v>163</v>
      </c>
      <c r="N50" t="s">
        <v>164</v>
      </c>
      <c r="O50" t="s">
        <v>83</v>
      </c>
      <c r="P50" t="str">
        <f>IF(TRIM(O50)="","Unknown",PROPER(TRIM(O50)))</f>
        <v>Technology</v>
      </c>
      <c r="Q50" t="s">
        <v>91</v>
      </c>
      <c r="R50" t="s">
        <v>465</v>
      </c>
      <c r="S50" t="s">
        <v>32</v>
      </c>
      <c r="T50" t="str">
        <f>IF(TRIM(S50)="","Unknown",PROPER(TRIM(S50)))</f>
        <v>Second Class</v>
      </c>
      <c r="U50">
        <v>6</v>
      </c>
      <c r="V50">
        <v>1001.73</v>
      </c>
      <c r="W50">
        <v>0</v>
      </c>
      <c r="Y50">
        <v>0</v>
      </c>
      <c r="Z50">
        <v>6010.38</v>
      </c>
      <c r="AA50">
        <v>3762.85</v>
      </c>
      <c r="AB50">
        <v>2247.5300000000002</v>
      </c>
      <c r="AC50" t="s">
        <v>186</v>
      </c>
      <c r="AD50" t="s">
        <v>120</v>
      </c>
      <c r="AE50">
        <f>ROUND((U50*V50)-(U50*V50*Y50),2)</f>
        <v>6010.38</v>
      </c>
      <c r="AF50">
        <f>AE50-AA50</f>
        <v>2247.5300000000002</v>
      </c>
      <c r="AG50" s="7">
        <f>ROUND((AF50/AE50),4)</f>
        <v>0.37390000000000001</v>
      </c>
      <c r="AH50">
        <f>IF(AND(C50&lt;&gt;"",E50&lt;&gt;""),E50 - C50,"")</f>
        <v>1</v>
      </c>
      <c r="AI50" t="str">
        <f>IF(C50="","",TEXT(C50, "mmmm"))</f>
        <v>August</v>
      </c>
      <c r="AJ50">
        <f>IF(C50="","",YEAR(C50))</f>
        <v>2024</v>
      </c>
      <c r="AM50" t="str">
        <f>IF(AN50="","clean","")</f>
        <v>clean</v>
      </c>
      <c r="AN50" t="s">
        <v>3595</v>
      </c>
    </row>
    <row r="51" spans="1:40">
      <c r="A51" t="s">
        <v>466</v>
      </c>
      <c r="B51" t="s">
        <v>3634</v>
      </c>
      <c r="D51" t="s">
        <v>467</v>
      </c>
      <c r="F51" t="s">
        <v>468</v>
      </c>
      <c r="G51" t="s">
        <v>103</v>
      </c>
      <c r="H51" t="s">
        <v>103</v>
      </c>
      <c r="I51" t="s">
        <v>110</v>
      </c>
      <c r="J51" t="s">
        <v>110</v>
      </c>
      <c r="K51" t="s">
        <v>71</v>
      </c>
      <c r="L51" t="str">
        <f>IF(TRIM(K51)="","Unknown",PROPER(TRIM(K51)))</f>
        <v>West</v>
      </c>
      <c r="M51" t="s">
        <v>72</v>
      </c>
      <c r="N51" t="s">
        <v>73</v>
      </c>
      <c r="O51" t="s">
        <v>44</v>
      </c>
      <c r="P51" t="str">
        <f>IF(TRIM(O51)="","Unknown",PROPER(TRIM(O51)))</f>
        <v>Furniture</v>
      </c>
      <c r="Q51" t="s">
        <v>45</v>
      </c>
      <c r="R51" t="s">
        <v>469</v>
      </c>
      <c r="S51" t="s">
        <v>32</v>
      </c>
      <c r="T51" t="str">
        <f>IF(TRIM(S51)="","Unknown",PROPER(TRIM(S51)))</f>
        <v>Second Class</v>
      </c>
      <c r="U51">
        <v>9</v>
      </c>
      <c r="V51">
        <v>131.74</v>
      </c>
      <c r="W51">
        <v>0.2</v>
      </c>
      <c r="Y51">
        <v>0.2</v>
      </c>
      <c r="Z51">
        <v>948.53</v>
      </c>
      <c r="AA51">
        <v>674.62</v>
      </c>
      <c r="AB51">
        <v>273.91000000000003</v>
      </c>
      <c r="AC51" t="s">
        <v>33</v>
      </c>
      <c r="AD51" t="s">
        <v>34</v>
      </c>
      <c r="AE51">
        <f>ROUND((U51*V51)-(U51*V51*Y51),2)</f>
        <v>948.53</v>
      </c>
      <c r="AF51">
        <f>AE51-AA51</f>
        <v>273.90999999999997</v>
      </c>
      <c r="AG51" s="7">
        <f>ROUND((AF51/AE51),4)</f>
        <v>0.2888</v>
      </c>
      <c r="AH51" t="str">
        <f>IF(AND(C51&lt;&gt;"",E51&lt;&gt;""),E51 - C51,"")</f>
        <v/>
      </c>
      <c r="AI51" t="str">
        <f>IF(C51="","",TEXT(C51, "mmmm"))</f>
        <v/>
      </c>
      <c r="AJ51" t="str">
        <f>IF(C51="","",YEAR(C51))</f>
        <v/>
      </c>
      <c r="AM51" t="s">
        <v>4144</v>
      </c>
      <c r="AN51" t="s">
        <v>4123</v>
      </c>
    </row>
    <row r="52" spans="1:40">
      <c r="A52" t="s">
        <v>470</v>
      </c>
      <c r="B52" t="s">
        <v>3656</v>
      </c>
      <c r="C52" s="6">
        <v>45566</v>
      </c>
      <c r="D52" t="s">
        <v>471</v>
      </c>
      <c r="E52" s="6">
        <v>45568</v>
      </c>
      <c r="F52" t="s">
        <v>472</v>
      </c>
      <c r="G52" t="s">
        <v>169</v>
      </c>
      <c r="H52" t="s">
        <v>169</v>
      </c>
      <c r="I52" t="s">
        <v>104</v>
      </c>
      <c r="J52" t="s">
        <v>104</v>
      </c>
      <c r="K52" t="s">
        <v>60</v>
      </c>
      <c r="L52" t="str">
        <f>IF(TRIM(K52)="","Unknown",PROPER(TRIM(K52)))</f>
        <v>South</v>
      </c>
      <c r="M52" t="s">
        <v>309</v>
      </c>
      <c r="N52" t="s">
        <v>310</v>
      </c>
      <c r="O52" t="s">
        <v>83</v>
      </c>
      <c r="P52" t="str">
        <f>IF(TRIM(O52)="","Unknown",PROPER(TRIM(O52)))</f>
        <v>Technology</v>
      </c>
      <c r="Q52" t="s">
        <v>207</v>
      </c>
      <c r="R52" t="s">
        <v>473</v>
      </c>
      <c r="S52" t="s">
        <v>32</v>
      </c>
      <c r="T52" t="str">
        <f>IF(TRIM(S52)="","Unknown",PROPER(TRIM(S52)))</f>
        <v>Second Class</v>
      </c>
      <c r="U52">
        <v>6</v>
      </c>
      <c r="V52">
        <v>570.28</v>
      </c>
      <c r="W52">
        <v>0.2</v>
      </c>
      <c r="Y52">
        <v>0.2</v>
      </c>
      <c r="Z52">
        <v>2737.34</v>
      </c>
      <c r="AA52">
        <v>2085.44</v>
      </c>
      <c r="AB52">
        <v>651.9</v>
      </c>
      <c r="AC52" t="s">
        <v>33</v>
      </c>
      <c r="AD52" t="s">
        <v>34</v>
      </c>
      <c r="AE52">
        <f>ROUND((U52*V52)-(U52*V52*Y52),2)</f>
        <v>2737.34</v>
      </c>
      <c r="AF52">
        <f>AE52-AA52</f>
        <v>651.90000000000009</v>
      </c>
      <c r="AG52" s="7">
        <f>ROUND((AF52/AE52),4)</f>
        <v>0.2382</v>
      </c>
      <c r="AH52">
        <f>IF(AND(C52&lt;&gt;"",E52&lt;&gt;""),E52 - C52,"")</f>
        <v>2</v>
      </c>
      <c r="AI52" t="str">
        <f>IF(C52="","",TEXT(C52, "mmmm"))</f>
        <v>October</v>
      </c>
      <c r="AJ52">
        <f>IF(C52="","",YEAR(C52))</f>
        <v>2024</v>
      </c>
      <c r="AM52" t="str">
        <f>IF(AN52="","clean","")</f>
        <v>clean</v>
      </c>
      <c r="AN52" t="s">
        <v>3595</v>
      </c>
    </row>
    <row r="53" spans="1:40">
      <c r="A53" t="s">
        <v>474</v>
      </c>
      <c r="B53" t="s">
        <v>475</v>
      </c>
      <c r="C53" s="6">
        <v>45503</v>
      </c>
      <c r="D53" t="s">
        <v>476</v>
      </c>
      <c r="E53" s="6">
        <v>45509</v>
      </c>
      <c r="F53" t="s">
        <v>477</v>
      </c>
      <c r="G53" t="s">
        <v>334</v>
      </c>
      <c r="H53" t="s">
        <v>334</v>
      </c>
      <c r="I53" t="s">
        <v>104</v>
      </c>
      <c r="J53" t="s">
        <v>104</v>
      </c>
      <c r="K53" t="s">
        <v>26</v>
      </c>
      <c r="L53" t="str">
        <f>IF(TRIM(K53)="","Unknown",PROPER(TRIM(K53)))</f>
        <v>North</v>
      </c>
      <c r="M53" t="s">
        <v>454</v>
      </c>
      <c r="N53" t="s">
        <v>455</v>
      </c>
      <c r="O53" t="s">
        <v>29</v>
      </c>
      <c r="P53" t="str">
        <f>IF(TRIM(O53)="","Unknown",PROPER(TRIM(O53)))</f>
        <v>Office Supplies</v>
      </c>
      <c r="Q53" t="s">
        <v>184</v>
      </c>
      <c r="R53" t="s">
        <v>478</v>
      </c>
      <c r="S53" t="s">
        <v>65</v>
      </c>
      <c r="T53" t="str">
        <f>IF(TRIM(S53)="","Unknown",PROPER(TRIM(S53)))</f>
        <v>Standard Class</v>
      </c>
      <c r="U53">
        <v>1</v>
      </c>
      <c r="V53">
        <v>608.64</v>
      </c>
      <c r="W53">
        <v>0</v>
      </c>
      <c r="Y53">
        <v>0</v>
      </c>
      <c r="Z53">
        <v>608.64</v>
      </c>
      <c r="AA53">
        <v>343.99</v>
      </c>
      <c r="AB53">
        <v>264.64999999999998</v>
      </c>
      <c r="AC53" t="s">
        <v>33</v>
      </c>
      <c r="AD53" t="s">
        <v>76</v>
      </c>
      <c r="AE53">
        <f>ROUND((U53*V53)-(U53*V53*Y53),2)</f>
        <v>608.64</v>
      </c>
      <c r="AF53">
        <f>AE53-AA53</f>
        <v>264.64999999999998</v>
      </c>
      <c r="AG53" s="7">
        <f>ROUND((AF53/AE53),4)</f>
        <v>0.43480000000000002</v>
      </c>
      <c r="AH53">
        <f>IF(AND(C53&lt;&gt;"",E53&lt;&gt;""),E53 - C53,"")</f>
        <v>6</v>
      </c>
      <c r="AI53" t="str">
        <f>IF(C53="","",TEXT(C53, "mmmm"))</f>
        <v>July</v>
      </c>
      <c r="AJ53">
        <f>IF(C53="","",YEAR(C53))</f>
        <v>2024</v>
      </c>
      <c r="AM53" t="str">
        <f>IF(AN53="","clean","")</f>
        <v>clean</v>
      </c>
      <c r="AN53" t="s">
        <v>3595</v>
      </c>
    </row>
    <row r="54" spans="1:40">
      <c r="A54" t="s">
        <v>479</v>
      </c>
      <c r="B54" t="s">
        <v>480</v>
      </c>
      <c r="C54" s="6">
        <v>45474</v>
      </c>
      <c r="D54" t="s">
        <v>480</v>
      </c>
      <c r="E54" s="6">
        <v>45474</v>
      </c>
      <c r="F54" t="s">
        <v>481</v>
      </c>
      <c r="G54" t="s">
        <v>70</v>
      </c>
      <c r="H54" t="s">
        <v>70</v>
      </c>
      <c r="I54" t="s">
        <v>40</v>
      </c>
      <c r="J54" t="s">
        <v>40</v>
      </c>
      <c r="K54" t="s">
        <v>26</v>
      </c>
      <c r="L54" t="str">
        <f>IF(TRIM(K54)="","Unknown",PROPER(TRIM(K54)))</f>
        <v>North</v>
      </c>
      <c r="M54" t="s">
        <v>454</v>
      </c>
      <c r="N54" t="s">
        <v>455</v>
      </c>
      <c r="O54" t="s">
        <v>83</v>
      </c>
      <c r="P54" t="str">
        <f>IF(TRIM(O54)="","Unknown",PROPER(TRIM(O54)))</f>
        <v>Technology</v>
      </c>
      <c r="Q54" t="s">
        <v>91</v>
      </c>
      <c r="R54" t="s">
        <v>482</v>
      </c>
      <c r="S54" t="s">
        <v>32</v>
      </c>
      <c r="T54" t="str">
        <f>IF(TRIM(S54)="","Unknown",PROPER(TRIM(S54)))</f>
        <v>Second Class</v>
      </c>
      <c r="U54">
        <v>3</v>
      </c>
      <c r="V54">
        <v>885.28</v>
      </c>
      <c r="W54">
        <v>0.1</v>
      </c>
      <c r="Y54">
        <v>0.1</v>
      </c>
      <c r="Z54">
        <v>2390.2600000000002</v>
      </c>
      <c r="AA54">
        <v>1495.94</v>
      </c>
      <c r="AB54">
        <v>894.32</v>
      </c>
      <c r="AC54" t="s">
        <v>119</v>
      </c>
      <c r="AD54" t="s">
        <v>76</v>
      </c>
      <c r="AE54">
        <f>ROUND((U54*V54)-(U54*V54*Y54),2)</f>
        <v>2390.2600000000002</v>
      </c>
      <c r="AF54">
        <f>AE54-AA54</f>
        <v>894.32000000000016</v>
      </c>
      <c r="AG54" s="7">
        <f>ROUND((AF54/AE54),4)</f>
        <v>0.37419999999999998</v>
      </c>
      <c r="AH54">
        <f>IF(AND(C54&lt;&gt;"",E54&lt;&gt;""),E54 - C54,"")</f>
        <v>0</v>
      </c>
      <c r="AI54" t="str">
        <f>IF(C54="","",TEXT(C54, "mmmm"))</f>
        <v>July</v>
      </c>
      <c r="AJ54">
        <f>IF(C54="","",YEAR(C54))</f>
        <v>2024</v>
      </c>
      <c r="AM54" t="str">
        <f>IF(AN54="","clean","")</f>
        <v>clean</v>
      </c>
      <c r="AN54" t="s">
        <v>3595</v>
      </c>
    </row>
    <row r="55" spans="1:40">
      <c r="A55" t="s">
        <v>483</v>
      </c>
      <c r="B55" t="s">
        <v>484</v>
      </c>
      <c r="C55" s="6">
        <v>45506</v>
      </c>
      <c r="D55" t="s">
        <v>462</v>
      </c>
      <c r="E55" s="6">
        <v>45507</v>
      </c>
      <c r="F55" t="s">
        <v>485</v>
      </c>
      <c r="G55" t="s">
        <v>80</v>
      </c>
      <c r="H55" t="s">
        <v>80</v>
      </c>
      <c r="I55" t="s">
        <v>25</v>
      </c>
      <c r="J55" t="s">
        <v>25</v>
      </c>
      <c r="K55" t="s">
        <v>41</v>
      </c>
      <c r="L55" t="str">
        <f>IF(TRIM(K55)="","Unknown",PROPER(TRIM(K55)))</f>
        <v>East</v>
      </c>
      <c r="M55" t="s">
        <v>201</v>
      </c>
      <c r="N55" t="s">
        <v>202</v>
      </c>
      <c r="O55" t="s">
        <v>29</v>
      </c>
      <c r="P55" t="str">
        <f>IF(TRIM(O55)="","Unknown",PROPER(TRIM(O55)))</f>
        <v>Office Supplies</v>
      </c>
      <c r="Q55" t="s">
        <v>184</v>
      </c>
      <c r="R55" t="s">
        <v>486</v>
      </c>
      <c r="S55" t="s">
        <v>65</v>
      </c>
      <c r="T55" t="str">
        <f>IF(TRIM(S55)="","Unknown",PROPER(TRIM(S55)))</f>
        <v>Standard Class</v>
      </c>
      <c r="U55">
        <v>7</v>
      </c>
      <c r="V55">
        <v>3345.22</v>
      </c>
      <c r="W55">
        <v>0</v>
      </c>
      <c r="Y55">
        <v>0</v>
      </c>
      <c r="Z55">
        <v>23416.54</v>
      </c>
      <c r="AA55">
        <v>15490.89</v>
      </c>
      <c r="AB55">
        <v>7925.65</v>
      </c>
      <c r="AC55" t="s">
        <v>33</v>
      </c>
      <c r="AD55" t="s">
        <v>34</v>
      </c>
      <c r="AE55">
        <f>ROUND((U55*V55)-(U55*V55*Y55),2)</f>
        <v>23416.54</v>
      </c>
      <c r="AF55">
        <f>AE55-AA55</f>
        <v>7925.6500000000015</v>
      </c>
      <c r="AG55" s="7">
        <f>ROUND((AF55/AE55),4)</f>
        <v>0.33850000000000002</v>
      </c>
      <c r="AH55">
        <f>IF(AND(C55&lt;&gt;"",E55&lt;&gt;""),E55 - C55,"")</f>
        <v>1</v>
      </c>
      <c r="AI55" t="str">
        <f>IF(C55="","",TEXT(C55, "mmmm"))</f>
        <v>August</v>
      </c>
      <c r="AJ55">
        <f>IF(C55="","",YEAR(C55))</f>
        <v>2024</v>
      </c>
      <c r="AM55" t="str">
        <f>IF(AN55="","clean","")</f>
        <v>clean</v>
      </c>
      <c r="AN55" t="s">
        <v>3595</v>
      </c>
    </row>
    <row r="56" spans="1:40">
      <c r="A56" t="s">
        <v>487</v>
      </c>
      <c r="B56" t="s">
        <v>3657</v>
      </c>
      <c r="C56" s="6">
        <v>45375</v>
      </c>
      <c r="D56" t="s">
        <v>488</v>
      </c>
      <c r="E56" s="6">
        <v>45378</v>
      </c>
      <c r="F56" t="s">
        <v>489</v>
      </c>
      <c r="G56" t="s">
        <v>169</v>
      </c>
      <c r="H56" t="s">
        <v>169</v>
      </c>
      <c r="I56" t="s">
        <v>40</v>
      </c>
      <c r="J56" t="s">
        <v>40</v>
      </c>
      <c r="K56" t="s">
        <v>71</v>
      </c>
      <c r="L56" t="str">
        <f>IF(TRIM(K56)="","Unknown",PROPER(TRIM(K56)))</f>
        <v>West</v>
      </c>
      <c r="M56" t="s">
        <v>72</v>
      </c>
      <c r="N56" t="s">
        <v>73</v>
      </c>
      <c r="O56" t="s">
        <v>44</v>
      </c>
      <c r="P56" t="str">
        <f>IF(TRIM(O56)="","Unknown",PROPER(TRIM(O56)))</f>
        <v>Furniture</v>
      </c>
      <c r="Q56" t="s">
        <v>190</v>
      </c>
      <c r="R56" t="s">
        <v>490</v>
      </c>
      <c r="S56" t="s">
        <v>65</v>
      </c>
      <c r="T56" t="str">
        <f>IF(TRIM(S56)="","Unknown",PROPER(TRIM(S56)))</f>
        <v>Standard Class</v>
      </c>
      <c r="U56">
        <v>2</v>
      </c>
      <c r="V56">
        <v>3284.75</v>
      </c>
      <c r="W56">
        <v>0.05</v>
      </c>
      <c r="Y56">
        <v>0.05</v>
      </c>
      <c r="Z56">
        <v>6241.02</v>
      </c>
      <c r="AA56">
        <v>5345.88</v>
      </c>
      <c r="AB56">
        <v>895.14</v>
      </c>
      <c r="AC56" t="s">
        <v>33</v>
      </c>
      <c r="AD56" t="s">
        <v>34</v>
      </c>
      <c r="AE56">
        <f>ROUND((U56*V56)-(U56*V56*Y56),2)</f>
        <v>6241.03</v>
      </c>
      <c r="AF56">
        <f>AE56-AA56</f>
        <v>895.14999999999964</v>
      </c>
      <c r="AG56" s="7">
        <f>ROUND((AF56/AE56),4)</f>
        <v>0.1434</v>
      </c>
      <c r="AH56">
        <f>IF(AND(C56&lt;&gt;"",E56&lt;&gt;""),E56 - C56,"")</f>
        <v>3</v>
      </c>
      <c r="AI56" t="str">
        <f>IF(C56="","",TEXT(C56, "mmmm"))</f>
        <v>March</v>
      </c>
      <c r="AJ56">
        <f>IF(C56="","",YEAR(C56))</f>
        <v>2024</v>
      </c>
      <c r="AM56" t="str">
        <f>IF(AN56="","clean","")</f>
        <v>clean</v>
      </c>
    </row>
    <row r="57" spans="1:40">
      <c r="A57" t="s">
        <v>491</v>
      </c>
      <c r="B57" t="s">
        <v>37</v>
      </c>
      <c r="C57" s="6">
        <v>45540</v>
      </c>
      <c r="D57" t="s">
        <v>37</v>
      </c>
      <c r="E57" s="6">
        <v>45540</v>
      </c>
      <c r="F57" t="s">
        <v>492</v>
      </c>
      <c r="G57" t="s">
        <v>334</v>
      </c>
      <c r="H57" t="s">
        <v>334</v>
      </c>
      <c r="I57" t="s">
        <v>25</v>
      </c>
      <c r="J57" t="s">
        <v>25</v>
      </c>
      <c r="K57" t="s">
        <v>60</v>
      </c>
      <c r="L57" t="str">
        <f>IF(TRIM(K57)="","Unknown",PROPER(TRIM(K57)))</f>
        <v>South</v>
      </c>
      <c r="M57" t="s">
        <v>97</v>
      </c>
      <c r="N57" t="s">
        <v>98</v>
      </c>
      <c r="O57" t="s">
        <v>44</v>
      </c>
      <c r="P57" t="str">
        <f>IF(TRIM(O57)="","Unknown",PROPER(TRIM(O57)))</f>
        <v>Furniture</v>
      </c>
      <c r="Q57" t="s">
        <v>190</v>
      </c>
      <c r="R57" t="s">
        <v>493</v>
      </c>
      <c r="S57" t="s">
        <v>65</v>
      </c>
      <c r="T57" t="str">
        <f>IF(TRIM(S57)="","Unknown",PROPER(TRIM(S57)))</f>
        <v>Standard Class</v>
      </c>
      <c r="U57">
        <v>7</v>
      </c>
      <c r="V57">
        <v>3761.09</v>
      </c>
      <c r="W57">
        <v>0.2</v>
      </c>
      <c r="Y57">
        <v>0.2</v>
      </c>
      <c r="Z57">
        <v>21062.1</v>
      </c>
      <c r="AA57">
        <v>12057.13</v>
      </c>
      <c r="AB57">
        <v>9004.9699999999993</v>
      </c>
      <c r="AC57" t="s">
        <v>131</v>
      </c>
      <c r="AD57" t="s">
        <v>76</v>
      </c>
      <c r="AE57">
        <f>ROUND((U57*V57)-(U57*V57*Y57),2)</f>
        <v>21062.1</v>
      </c>
      <c r="AF57">
        <f>AE57-AA57</f>
        <v>9004.9699999999993</v>
      </c>
      <c r="AG57" s="7">
        <f>ROUND((AF57/AE57),4)</f>
        <v>0.42749999999999999</v>
      </c>
      <c r="AH57">
        <f>IF(AND(C57&lt;&gt;"",E57&lt;&gt;""),E57 - C57,"")</f>
        <v>0</v>
      </c>
      <c r="AI57" t="str">
        <f>IF(C57="","",TEXT(C57, "mmmm"))</f>
        <v>September</v>
      </c>
      <c r="AJ57">
        <f>IF(C57="","",YEAR(C57))</f>
        <v>2024</v>
      </c>
      <c r="AM57" t="str">
        <f>IF(AN57="","clean","")</f>
        <v>clean</v>
      </c>
      <c r="AN57" t="s">
        <v>3595</v>
      </c>
    </row>
    <row r="58" spans="1:40">
      <c r="A58" t="s">
        <v>505</v>
      </c>
      <c r="B58" t="s">
        <v>3612</v>
      </c>
      <c r="C58" s="6">
        <v>45298</v>
      </c>
      <c r="D58" t="s">
        <v>506</v>
      </c>
      <c r="E58" s="6">
        <v>45304</v>
      </c>
      <c r="F58" t="s">
        <v>507</v>
      </c>
      <c r="G58" t="s">
        <v>169</v>
      </c>
      <c r="H58" t="s">
        <v>169</v>
      </c>
      <c r="I58" t="s">
        <v>104</v>
      </c>
      <c r="J58" t="s">
        <v>104</v>
      </c>
      <c r="K58" t="s">
        <v>26</v>
      </c>
      <c r="L58" t="str">
        <f>IF(TRIM(K58)="","Unknown",PROPER(TRIM(K58)))</f>
        <v>North</v>
      </c>
      <c r="M58" t="s">
        <v>163</v>
      </c>
      <c r="N58" t="s">
        <v>164</v>
      </c>
      <c r="O58" t="s">
        <v>29</v>
      </c>
      <c r="P58" t="str">
        <f>IF(TRIM(O58)="","Unknown",PROPER(TRIM(O58)))</f>
        <v>Office Supplies</v>
      </c>
      <c r="Q58" t="s">
        <v>184</v>
      </c>
      <c r="R58" t="s">
        <v>508</v>
      </c>
      <c r="S58" t="s">
        <v>65</v>
      </c>
      <c r="T58" t="str">
        <f>IF(TRIM(S58)="","Unknown",PROPER(TRIM(S58)))</f>
        <v>Standard Class</v>
      </c>
      <c r="U58">
        <v>7</v>
      </c>
      <c r="V58">
        <v>2788.97</v>
      </c>
      <c r="W58">
        <v>-0.09</v>
      </c>
      <c r="Y58">
        <v>0</v>
      </c>
      <c r="Z58">
        <v>19522.79</v>
      </c>
      <c r="AA58">
        <v>12455.78</v>
      </c>
      <c r="AB58">
        <v>7067.01</v>
      </c>
      <c r="AC58" t="s">
        <v>33</v>
      </c>
      <c r="AD58" t="s">
        <v>34</v>
      </c>
      <c r="AE58">
        <f>ROUND((U58*V58)-(U58*V58*Y58),2)</f>
        <v>19522.79</v>
      </c>
      <c r="AF58">
        <f>AE58-AA58</f>
        <v>7067.01</v>
      </c>
      <c r="AG58" s="7">
        <f>ROUND((AF58/AE58),4)</f>
        <v>0.36199999999999999</v>
      </c>
      <c r="AH58">
        <f>IF(AND(C58&lt;&gt;"",E58&lt;&gt;""),E58 - C58,"")</f>
        <v>6</v>
      </c>
      <c r="AI58" t="str">
        <f>IF(C58="","",TEXT(C58, "mmmm"))</f>
        <v>January</v>
      </c>
      <c r="AJ58">
        <f>IF(C58="","",YEAR(C58))</f>
        <v>2024</v>
      </c>
      <c r="AM58" t="s">
        <v>4145</v>
      </c>
      <c r="AN58" t="s">
        <v>3596</v>
      </c>
    </row>
    <row r="59" spans="1:40">
      <c r="A59" t="s">
        <v>509</v>
      </c>
      <c r="B59" t="s">
        <v>3660</v>
      </c>
      <c r="C59" s="6">
        <v>45541</v>
      </c>
      <c r="D59" t="s">
        <v>510</v>
      </c>
      <c r="E59" s="6">
        <v>45544</v>
      </c>
      <c r="F59" t="s">
        <v>511</v>
      </c>
      <c r="G59" t="s">
        <v>196</v>
      </c>
      <c r="H59" t="s">
        <v>196</v>
      </c>
      <c r="I59" t="s">
        <v>25</v>
      </c>
      <c r="J59" t="s">
        <v>25</v>
      </c>
      <c r="K59" t="s">
        <v>26</v>
      </c>
      <c r="L59" t="str">
        <f>IF(TRIM(K59)="","Unknown",PROPER(TRIM(K59)))</f>
        <v>North</v>
      </c>
      <c r="M59" t="s">
        <v>294</v>
      </c>
      <c r="N59" t="s">
        <v>295</v>
      </c>
      <c r="O59" t="s">
        <v>83</v>
      </c>
      <c r="P59" t="str">
        <f>IF(TRIM(O59)="","Unknown",PROPER(TRIM(O59)))</f>
        <v>Technology</v>
      </c>
      <c r="Q59" t="s">
        <v>207</v>
      </c>
      <c r="R59" t="s">
        <v>512</v>
      </c>
      <c r="S59" t="s">
        <v>32</v>
      </c>
      <c r="T59" t="str">
        <f>IF(TRIM(S59)="","Unknown",PROPER(TRIM(S59)))</f>
        <v>Second Class</v>
      </c>
      <c r="U59">
        <v>7</v>
      </c>
      <c r="V59">
        <v>3781.53</v>
      </c>
      <c r="W59">
        <v>0</v>
      </c>
      <c r="Y59">
        <v>0</v>
      </c>
      <c r="Z59">
        <v>26470.71</v>
      </c>
      <c r="AA59">
        <v>21367.599999999999</v>
      </c>
      <c r="AB59">
        <v>5103.1099999999997</v>
      </c>
      <c r="AC59" t="s">
        <v>131</v>
      </c>
      <c r="AD59" t="s">
        <v>76</v>
      </c>
      <c r="AE59">
        <f>ROUND((U59*V59)-(U59*V59*Y59),2)</f>
        <v>26470.71</v>
      </c>
      <c r="AF59">
        <f>AE59-AA59</f>
        <v>5103.1100000000006</v>
      </c>
      <c r="AG59" s="7">
        <f>ROUND((AF59/AE59),4)</f>
        <v>0.1928</v>
      </c>
      <c r="AH59">
        <f>IF(AND(C59&lt;&gt;"",E59&lt;&gt;""),E59 - C59,"")</f>
        <v>3</v>
      </c>
      <c r="AI59" t="str">
        <f>IF(C59="","",TEXT(C59, "mmmm"))</f>
        <v>September</v>
      </c>
      <c r="AJ59">
        <f>IF(C59="","",YEAR(C59))</f>
        <v>2024</v>
      </c>
      <c r="AM59" t="str">
        <f>IF(AN59="","clean","")</f>
        <v>clean</v>
      </c>
      <c r="AN59" t="s">
        <v>3595</v>
      </c>
    </row>
    <row r="60" spans="1:40">
      <c r="A60" t="s">
        <v>518</v>
      </c>
      <c r="B60" t="s">
        <v>519</v>
      </c>
      <c r="C60" s="6">
        <v>45448</v>
      </c>
      <c r="D60" t="s">
        <v>520</v>
      </c>
      <c r="E60" s="6">
        <v>45450</v>
      </c>
      <c r="F60" t="s">
        <v>521</v>
      </c>
      <c r="G60" t="s">
        <v>141</v>
      </c>
      <c r="H60" t="s">
        <v>141</v>
      </c>
      <c r="I60" t="s">
        <v>110</v>
      </c>
      <c r="J60" t="s">
        <v>110</v>
      </c>
      <c r="K60" t="s">
        <v>41</v>
      </c>
      <c r="L60" t="str">
        <f>IF(TRIM(K60)="","Unknown",PROPER(TRIM(K60)))</f>
        <v>East</v>
      </c>
      <c r="M60" t="s">
        <v>42</v>
      </c>
      <c r="N60" t="s">
        <v>43</v>
      </c>
      <c r="O60" t="s">
        <v>83</v>
      </c>
      <c r="P60" t="str">
        <f>IF(TRIM(O60)="","Unknown",PROPER(TRIM(O60)))</f>
        <v>Technology</v>
      </c>
      <c r="Q60" t="s">
        <v>91</v>
      </c>
      <c r="R60" t="s">
        <v>522</v>
      </c>
      <c r="S60" t="s">
        <v>32</v>
      </c>
      <c r="T60" t="str">
        <f>IF(TRIM(S60)="","Unknown",PROPER(TRIM(S60)))</f>
        <v>Second Class</v>
      </c>
      <c r="U60">
        <v>2</v>
      </c>
      <c r="V60">
        <v>2259.2399999999998</v>
      </c>
      <c r="W60">
        <v>0.15</v>
      </c>
      <c r="Y60">
        <v>0.15</v>
      </c>
      <c r="Z60">
        <v>3840.71</v>
      </c>
      <c r="AA60">
        <v>2516.29</v>
      </c>
      <c r="AB60">
        <v>1324.42</v>
      </c>
      <c r="AC60" t="s">
        <v>33</v>
      </c>
      <c r="AD60" t="s">
        <v>34</v>
      </c>
      <c r="AE60">
        <f>ROUND((U60*V60)-(U60*V60*Y60),2)</f>
        <v>3840.71</v>
      </c>
      <c r="AF60">
        <f>AE60-AA60</f>
        <v>1324.42</v>
      </c>
      <c r="AG60" s="7">
        <f>ROUND((AF60/AE60),4)</f>
        <v>0.3448</v>
      </c>
      <c r="AH60">
        <f>IF(AND(C60&lt;&gt;"",E60&lt;&gt;""),E60 - C60,"")</f>
        <v>2</v>
      </c>
      <c r="AI60" t="str">
        <f>IF(C60="","",TEXT(C60, "mmmm"))</f>
        <v>June</v>
      </c>
      <c r="AJ60">
        <f>IF(C60="","",YEAR(C60))</f>
        <v>2024</v>
      </c>
      <c r="AM60" t="str">
        <f>IF(AN60="","clean","")</f>
        <v>clean</v>
      </c>
      <c r="AN60" t="s">
        <v>3595</v>
      </c>
    </row>
    <row r="61" spans="1:40">
      <c r="A61" t="s">
        <v>527</v>
      </c>
      <c r="B61" t="s">
        <v>3662</v>
      </c>
      <c r="C61" s="6">
        <v>45317</v>
      </c>
      <c r="D61" t="s">
        <v>528</v>
      </c>
      <c r="E61" s="6">
        <v>45323</v>
      </c>
      <c r="F61" t="s">
        <v>529</v>
      </c>
      <c r="G61" t="s">
        <v>169</v>
      </c>
      <c r="H61" t="s">
        <v>169</v>
      </c>
      <c r="I61" t="s">
        <v>110</v>
      </c>
      <c r="J61" t="s">
        <v>110</v>
      </c>
      <c r="K61" t="s">
        <v>60</v>
      </c>
      <c r="L61" t="str">
        <f>IF(TRIM(K61)="","Unknown",PROPER(TRIM(K61)))</f>
        <v>South</v>
      </c>
      <c r="M61" t="s">
        <v>224</v>
      </c>
      <c r="N61" t="s">
        <v>225</v>
      </c>
      <c r="O61" t="s">
        <v>83</v>
      </c>
      <c r="P61" t="str">
        <f>IF(TRIM(O61)="","Unknown",PROPER(TRIM(O61)))</f>
        <v>Technology</v>
      </c>
      <c r="Q61" t="s">
        <v>91</v>
      </c>
      <c r="R61" t="s">
        <v>530</v>
      </c>
      <c r="T61" t="str">
        <f>IF(TRIM(S61)="","Unknown",PROPER(TRIM(S61)))</f>
        <v>Unknown</v>
      </c>
      <c r="U61">
        <v>8</v>
      </c>
      <c r="V61">
        <v>2108.9299999999998</v>
      </c>
      <c r="W61">
        <v>0.1</v>
      </c>
      <c r="Y61">
        <v>0.1</v>
      </c>
      <c r="Z61">
        <v>15184.3</v>
      </c>
      <c r="AA61">
        <v>11270.74</v>
      </c>
      <c r="AB61">
        <v>3913.56</v>
      </c>
      <c r="AC61" t="s">
        <v>33</v>
      </c>
      <c r="AD61" t="s">
        <v>34</v>
      </c>
      <c r="AE61">
        <f>ROUND((U61*V61)-(U61*V61*Y61),2)</f>
        <v>15184.3</v>
      </c>
      <c r="AF61">
        <f>AE61-AA61</f>
        <v>3913.5599999999995</v>
      </c>
      <c r="AG61" s="7">
        <f>ROUND((AF61/AE61),4)</f>
        <v>0.25769999999999998</v>
      </c>
      <c r="AH61">
        <f>IF(AND(C61&lt;&gt;"",E61&lt;&gt;""),E61 - C61,"")</f>
        <v>6</v>
      </c>
      <c r="AI61" t="str">
        <f>IF(C61="","",TEXT(C61, "mmmm"))</f>
        <v>January</v>
      </c>
      <c r="AJ61">
        <f>IF(C61="","",YEAR(C61))</f>
        <v>2024</v>
      </c>
      <c r="AM61" t="s">
        <v>4145</v>
      </c>
      <c r="AN61" t="s">
        <v>3600</v>
      </c>
    </row>
    <row r="62" spans="1:40">
      <c r="A62" t="s">
        <v>539</v>
      </c>
      <c r="B62" t="s">
        <v>3631</v>
      </c>
      <c r="C62" s="6">
        <v>45465</v>
      </c>
      <c r="D62" t="s">
        <v>540</v>
      </c>
      <c r="F62" t="s">
        <v>541</v>
      </c>
      <c r="G62" t="s">
        <v>169</v>
      </c>
      <c r="H62" t="s">
        <v>169</v>
      </c>
      <c r="I62" t="s">
        <v>110</v>
      </c>
      <c r="J62" t="s">
        <v>110</v>
      </c>
      <c r="K62" t="s">
        <v>41</v>
      </c>
      <c r="L62" t="str">
        <f>IF(TRIM(K62)="","Unknown",PROPER(TRIM(K62)))</f>
        <v>East</v>
      </c>
      <c r="M62" t="s">
        <v>174</v>
      </c>
      <c r="N62" t="s">
        <v>175</v>
      </c>
      <c r="O62" t="s">
        <v>44</v>
      </c>
      <c r="P62" t="str">
        <f>IF(TRIM(O62)="","Unknown",PROPER(TRIM(O62)))</f>
        <v>Furniture</v>
      </c>
      <c r="Q62" t="s">
        <v>63</v>
      </c>
      <c r="R62" t="s">
        <v>542</v>
      </c>
      <c r="S62" t="s">
        <v>55</v>
      </c>
      <c r="T62" t="str">
        <f>IF(TRIM(S62)="","Unknown",PROPER(TRIM(S62)))</f>
        <v>First Class</v>
      </c>
      <c r="U62">
        <v>5</v>
      </c>
      <c r="V62">
        <v>4396.5200000000004</v>
      </c>
      <c r="W62">
        <v>0.25</v>
      </c>
      <c r="Y62">
        <v>0.25</v>
      </c>
      <c r="Z62">
        <v>16486.95</v>
      </c>
      <c r="AA62">
        <v>12054.14</v>
      </c>
      <c r="AB62">
        <v>4432.8100000000004</v>
      </c>
      <c r="AC62" t="s">
        <v>33</v>
      </c>
      <c r="AD62" t="s">
        <v>34</v>
      </c>
      <c r="AE62">
        <f>ROUND((U62*V62)-(U62*V62*Y62),2)</f>
        <v>16486.95</v>
      </c>
      <c r="AF62">
        <f>AE62-AA62</f>
        <v>4432.8100000000013</v>
      </c>
      <c r="AG62" s="7">
        <f>ROUND((AF62/AE62),4)</f>
        <v>0.26889999999999997</v>
      </c>
      <c r="AH62" t="str">
        <f>IF(AND(C62&lt;&gt;"",E62&lt;&gt;""),E62 - C62,"")</f>
        <v/>
      </c>
      <c r="AI62" t="str">
        <f>IF(C62="","",TEXT(C62, "mmmm"))</f>
        <v>June</v>
      </c>
      <c r="AJ62">
        <f>IF(C62="","",YEAR(C62))</f>
        <v>2024</v>
      </c>
      <c r="AM62" t="s">
        <v>4144</v>
      </c>
      <c r="AN62" t="s">
        <v>4136</v>
      </c>
    </row>
    <row r="63" spans="1:40">
      <c r="A63" t="s">
        <v>555</v>
      </c>
      <c r="B63" t="s">
        <v>3667</v>
      </c>
      <c r="C63" s="6">
        <v>45467</v>
      </c>
      <c r="D63" t="s">
        <v>556</v>
      </c>
      <c r="F63" t="s">
        <v>557</v>
      </c>
      <c r="G63" t="s">
        <v>39</v>
      </c>
      <c r="H63" t="s">
        <v>39</v>
      </c>
      <c r="I63" t="s">
        <v>110</v>
      </c>
      <c r="J63" t="s">
        <v>110</v>
      </c>
      <c r="K63" t="s">
        <v>41</v>
      </c>
      <c r="L63" t="str">
        <f>IF(TRIM(K63)="","Unknown",PROPER(TRIM(K63)))</f>
        <v>East</v>
      </c>
      <c r="M63" t="s">
        <v>116</v>
      </c>
      <c r="N63" t="s">
        <v>117</v>
      </c>
      <c r="O63" t="s">
        <v>44</v>
      </c>
      <c r="P63" t="str">
        <f>IF(TRIM(O63)="","Unknown",PROPER(TRIM(O63)))</f>
        <v>Furniture</v>
      </c>
      <c r="Q63" t="s">
        <v>45</v>
      </c>
      <c r="R63" t="s">
        <v>558</v>
      </c>
      <c r="S63" t="s">
        <v>32</v>
      </c>
      <c r="T63" t="str">
        <f>IF(TRIM(S63)="","Unknown",PROPER(TRIM(S63)))</f>
        <v>Second Class</v>
      </c>
      <c r="U63">
        <v>2</v>
      </c>
      <c r="V63">
        <v>685</v>
      </c>
      <c r="W63">
        <v>0.1</v>
      </c>
      <c r="Y63">
        <v>0.1</v>
      </c>
      <c r="Z63">
        <v>1233</v>
      </c>
      <c r="AA63">
        <v>1006.9</v>
      </c>
      <c r="AB63">
        <v>226.1</v>
      </c>
      <c r="AC63" t="s">
        <v>33</v>
      </c>
      <c r="AD63" t="s">
        <v>34</v>
      </c>
      <c r="AE63">
        <f>ROUND((U63*V63)-(U63*V63*Y63),2)</f>
        <v>1233</v>
      </c>
      <c r="AF63">
        <f>AE63-AA63</f>
        <v>226.10000000000002</v>
      </c>
      <c r="AG63" s="7">
        <f>ROUND((AF63/AE63),4)</f>
        <v>0.18340000000000001</v>
      </c>
      <c r="AH63" t="str">
        <f>IF(AND(C63&lt;&gt;"",E63&lt;&gt;""),E63 - C63,"")</f>
        <v/>
      </c>
      <c r="AI63" t="str">
        <f>IF(C63="","",TEXT(C63, "mmmm"))</f>
        <v>June</v>
      </c>
      <c r="AJ63">
        <f>IF(C63="","",YEAR(C63))</f>
        <v>2024</v>
      </c>
      <c r="AM63" t="s">
        <v>4144</v>
      </c>
      <c r="AN63" t="s">
        <v>4136</v>
      </c>
    </row>
    <row r="64" spans="1:40">
      <c r="A64" t="s">
        <v>559</v>
      </c>
      <c r="B64" t="s">
        <v>3668</v>
      </c>
      <c r="D64" t="s">
        <v>560</v>
      </c>
      <c r="E64" s="6">
        <v>45350</v>
      </c>
      <c r="F64" t="s">
        <v>561</v>
      </c>
      <c r="G64" t="s">
        <v>59</v>
      </c>
      <c r="H64" t="s">
        <v>59</v>
      </c>
      <c r="I64" t="s">
        <v>110</v>
      </c>
      <c r="J64" t="s">
        <v>110</v>
      </c>
      <c r="K64" t="s">
        <v>41</v>
      </c>
      <c r="L64" t="str">
        <f>IF(TRIM(K64)="","Unknown",PROPER(TRIM(K64)))</f>
        <v>East</v>
      </c>
      <c r="M64" t="s">
        <v>116</v>
      </c>
      <c r="N64" t="s">
        <v>117</v>
      </c>
      <c r="O64" t="s">
        <v>29</v>
      </c>
      <c r="P64" t="str">
        <f>IF(TRIM(O64)="","Unknown",PROPER(TRIM(O64)))</f>
        <v>Office Supplies</v>
      </c>
      <c r="Q64" t="s">
        <v>30</v>
      </c>
      <c r="R64" t="s">
        <v>562</v>
      </c>
      <c r="S64" t="s">
        <v>65</v>
      </c>
      <c r="T64" t="str">
        <f>IF(TRIM(S64)="","Unknown",PROPER(TRIM(S64)))</f>
        <v>Standard Class</v>
      </c>
      <c r="U64">
        <v>2</v>
      </c>
      <c r="V64">
        <v>4004.04</v>
      </c>
      <c r="Y64">
        <v>0.1</v>
      </c>
      <c r="Z64">
        <v>7207.27</v>
      </c>
      <c r="AA64">
        <v>5709.39</v>
      </c>
      <c r="AB64">
        <v>1497.88</v>
      </c>
      <c r="AC64" t="s">
        <v>33</v>
      </c>
      <c r="AD64" t="s">
        <v>76</v>
      </c>
      <c r="AE64">
        <f>ROUND((U64*V64)-(U64*V64*Y64),2)</f>
        <v>7207.27</v>
      </c>
      <c r="AF64">
        <f>AE64-AA64</f>
        <v>1497.88</v>
      </c>
      <c r="AG64" s="7">
        <f>ROUND((AF64/AE64),4)</f>
        <v>0.20780000000000001</v>
      </c>
      <c r="AH64" t="str">
        <f>IF(AND(C64&lt;&gt;"",E64&lt;&gt;""),E64 - C64,"")</f>
        <v/>
      </c>
      <c r="AI64" t="str">
        <f>IF(C64="","",TEXT(C64, "mmmm"))</f>
        <v/>
      </c>
      <c r="AJ64" t="str">
        <f>IF(C64="","",YEAR(C64))</f>
        <v/>
      </c>
      <c r="AM64" t="s">
        <v>4144</v>
      </c>
      <c r="AN64" t="s">
        <v>4126</v>
      </c>
    </row>
    <row r="65" spans="1:40">
      <c r="A65" t="s">
        <v>563</v>
      </c>
      <c r="B65" t="s">
        <v>3669</v>
      </c>
      <c r="C65" s="6">
        <v>45594</v>
      </c>
      <c r="D65" t="s">
        <v>564</v>
      </c>
      <c r="E65" s="6">
        <v>45600</v>
      </c>
      <c r="F65" t="s">
        <v>565</v>
      </c>
      <c r="G65" t="s">
        <v>169</v>
      </c>
      <c r="H65" t="s">
        <v>169</v>
      </c>
      <c r="I65" t="s">
        <v>110</v>
      </c>
      <c r="J65" t="s">
        <v>110</v>
      </c>
      <c r="K65" t="s">
        <v>41</v>
      </c>
      <c r="L65" t="str">
        <f>IF(TRIM(K65)="","Unknown",PROPER(TRIM(K65)))</f>
        <v>East</v>
      </c>
      <c r="M65" t="s">
        <v>116</v>
      </c>
      <c r="N65" t="s">
        <v>117</v>
      </c>
      <c r="O65" t="s">
        <v>44</v>
      </c>
      <c r="P65" t="str">
        <f>IF(TRIM(O65)="","Unknown",PROPER(TRIM(O65)))</f>
        <v>Furniture</v>
      </c>
      <c r="Q65" t="s">
        <v>63</v>
      </c>
      <c r="R65" t="s">
        <v>566</v>
      </c>
      <c r="S65" t="s">
        <v>55</v>
      </c>
      <c r="T65" t="str">
        <f>IF(TRIM(S65)="","Unknown",PROPER(TRIM(S65)))</f>
        <v>First Class</v>
      </c>
      <c r="U65">
        <v>3</v>
      </c>
      <c r="V65">
        <v>4302.8900000000003</v>
      </c>
      <c r="W65">
        <v>0.05</v>
      </c>
      <c r="Y65">
        <v>0.05</v>
      </c>
      <c r="Z65">
        <v>12263.24</v>
      </c>
      <c r="AA65">
        <v>8925.57</v>
      </c>
      <c r="AB65">
        <v>3337.67</v>
      </c>
      <c r="AC65" t="s">
        <v>33</v>
      </c>
      <c r="AD65" t="s">
        <v>34</v>
      </c>
      <c r="AE65">
        <f>ROUND((U65*V65)-(U65*V65*Y65),2)</f>
        <v>12263.24</v>
      </c>
      <c r="AF65">
        <f>AE65-AA65</f>
        <v>3337.67</v>
      </c>
      <c r="AG65" s="7">
        <f>ROUND((AF65/AE65),4)</f>
        <v>0.2722</v>
      </c>
      <c r="AH65">
        <f>IF(AND(C65&lt;&gt;"",E65&lt;&gt;""),E65 - C65,"")</f>
        <v>6</v>
      </c>
      <c r="AI65" t="str">
        <f>IF(C65="","",TEXT(C65, "mmmm"))</f>
        <v>October</v>
      </c>
      <c r="AJ65">
        <f>IF(C65="","",YEAR(C65))</f>
        <v>2024</v>
      </c>
      <c r="AM65" t="str">
        <f>IF(AN65="","clean","")</f>
        <v>clean</v>
      </c>
      <c r="AN65" t="s">
        <v>3595</v>
      </c>
    </row>
    <row r="66" spans="1:40">
      <c r="A66" t="s">
        <v>567</v>
      </c>
      <c r="B66" t="s">
        <v>3670</v>
      </c>
      <c r="C66" s="6">
        <v>45519</v>
      </c>
      <c r="D66" t="s">
        <v>568</v>
      </c>
      <c r="E66" s="6">
        <v>45527</v>
      </c>
      <c r="F66" t="s">
        <v>569</v>
      </c>
      <c r="G66" t="s">
        <v>103</v>
      </c>
      <c r="H66" t="s">
        <v>103</v>
      </c>
      <c r="I66" t="s">
        <v>40</v>
      </c>
      <c r="J66" t="s">
        <v>40</v>
      </c>
      <c r="K66" t="s">
        <v>41</v>
      </c>
      <c r="L66" t="str">
        <f>IF(TRIM(K66)="","Unknown",PROPER(TRIM(K66)))</f>
        <v>East</v>
      </c>
      <c r="M66" t="s">
        <v>42</v>
      </c>
      <c r="N66" t="s">
        <v>43</v>
      </c>
      <c r="O66" t="s">
        <v>44</v>
      </c>
      <c r="P66" t="str">
        <f>IF(TRIM(O66)="","Unknown",PROPER(TRIM(O66)))</f>
        <v>Furniture</v>
      </c>
      <c r="Q66" t="s">
        <v>190</v>
      </c>
      <c r="R66" t="s">
        <v>570</v>
      </c>
      <c r="S66" t="s">
        <v>47</v>
      </c>
      <c r="T66" t="str">
        <f>IF(TRIM(S66)="","Unknown",PROPER(TRIM(S66)))</f>
        <v>Same Day</v>
      </c>
      <c r="U66">
        <v>2</v>
      </c>
      <c r="V66">
        <v>537.54</v>
      </c>
      <c r="W66">
        <v>0.25</v>
      </c>
      <c r="Y66">
        <v>0.25</v>
      </c>
      <c r="Z66">
        <v>806.31</v>
      </c>
      <c r="AA66">
        <v>498.5</v>
      </c>
      <c r="AB66">
        <v>307.81</v>
      </c>
      <c r="AC66" t="s">
        <v>33</v>
      </c>
      <c r="AD66" t="s">
        <v>34</v>
      </c>
      <c r="AE66">
        <f>ROUND((U66*V66)-(U66*V66*Y66),2)</f>
        <v>806.31</v>
      </c>
      <c r="AF66">
        <f>AE66-AA66</f>
        <v>307.80999999999995</v>
      </c>
      <c r="AG66" s="7">
        <f>ROUND((AF66/AE66),4)</f>
        <v>0.38179999999999997</v>
      </c>
      <c r="AH66">
        <f>IF(AND(C66&lt;&gt;"",E66&lt;&gt;""),E66 - C66,"")</f>
        <v>8</v>
      </c>
      <c r="AI66" t="str">
        <f>IF(C66="","",TEXT(C66, "mmmm"))</f>
        <v>August</v>
      </c>
      <c r="AJ66">
        <f>IF(C66="","",YEAR(C66))</f>
        <v>2024</v>
      </c>
      <c r="AM66" t="str">
        <f>IF(AN66="","clean","")</f>
        <v>clean</v>
      </c>
      <c r="AN66" t="s">
        <v>3595</v>
      </c>
    </row>
    <row r="67" spans="1:40">
      <c r="A67" t="s">
        <v>575</v>
      </c>
      <c r="B67" t="s">
        <v>3671</v>
      </c>
      <c r="C67" s="6">
        <v>45583</v>
      </c>
      <c r="D67" t="s">
        <v>576</v>
      </c>
      <c r="E67" s="6">
        <v>45589</v>
      </c>
      <c r="F67" t="s">
        <v>577</v>
      </c>
      <c r="G67" t="s">
        <v>80</v>
      </c>
      <c r="H67" t="s">
        <v>80</v>
      </c>
      <c r="I67" t="s">
        <v>104</v>
      </c>
      <c r="J67" t="s">
        <v>104</v>
      </c>
      <c r="K67" t="s">
        <v>60</v>
      </c>
      <c r="L67" t="str">
        <f>IF(TRIM(K67)="","Unknown",PROPER(TRIM(K67)))</f>
        <v>South</v>
      </c>
      <c r="M67" t="s">
        <v>224</v>
      </c>
      <c r="N67" t="s">
        <v>225</v>
      </c>
      <c r="O67" t="s">
        <v>29</v>
      </c>
      <c r="P67" t="str">
        <f>IF(TRIM(O67)="","Unknown",PROPER(TRIM(O67)))</f>
        <v>Office Supplies</v>
      </c>
      <c r="Q67" t="s">
        <v>105</v>
      </c>
      <c r="R67" t="s">
        <v>578</v>
      </c>
      <c r="S67" t="s">
        <v>55</v>
      </c>
      <c r="T67" t="str">
        <f>IF(TRIM(S67)="","Unknown",PROPER(TRIM(S67)))</f>
        <v>First Class</v>
      </c>
      <c r="U67">
        <v>2</v>
      </c>
      <c r="V67">
        <v>2250.4699999999998</v>
      </c>
      <c r="W67">
        <v>0</v>
      </c>
      <c r="Y67">
        <v>0</v>
      </c>
      <c r="Z67">
        <v>4500.9399999999996</v>
      </c>
      <c r="AA67">
        <v>2607.73</v>
      </c>
      <c r="AB67">
        <v>1893.21</v>
      </c>
      <c r="AC67" t="s">
        <v>119</v>
      </c>
      <c r="AD67" t="s">
        <v>76</v>
      </c>
      <c r="AE67">
        <f>ROUND((U67*V67)-(U67*V67*Y67),2)</f>
        <v>4500.9399999999996</v>
      </c>
      <c r="AF67">
        <f>AE67-AA67</f>
        <v>1893.2099999999996</v>
      </c>
      <c r="AG67" s="7">
        <f>ROUND((AF67/AE67),4)</f>
        <v>0.42059999999999997</v>
      </c>
      <c r="AH67">
        <f>IF(AND(C67&lt;&gt;"",E67&lt;&gt;""),E67 - C67,"")</f>
        <v>6</v>
      </c>
      <c r="AI67" t="str">
        <f>IF(C67="","",TEXT(C67, "mmmm"))</f>
        <v>October</v>
      </c>
      <c r="AJ67">
        <f>IF(C67="","",YEAR(C67))</f>
        <v>2024</v>
      </c>
      <c r="AM67" t="str">
        <f>IF(AN67="","clean","")</f>
        <v>clean</v>
      </c>
      <c r="AN67" t="s">
        <v>3595</v>
      </c>
    </row>
    <row r="68" spans="1:40">
      <c r="A68" t="s">
        <v>584</v>
      </c>
      <c r="B68" t="s">
        <v>3672</v>
      </c>
      <c r="C68" s="6">
        <v>45301</v>
      </c>
      <c r="D68" t="s">
        <v>585</v>
      </c>
      <c r="E68" s="6">
        <v>45305</v>
      </c>
      <c r="F68" t="s">
        <v>586</v>
      </c>
      <c r="G68" t="s">
        <v>158</v>
      </c>
      <c r="H68" t="s">
        <v>158</v>
      </c>
      <c r="I68" t="s">
        <v>25</v>
      </c>
      <c r="J68" t="s">
        <v>25</v>
      </c>
      <c r="L68" t="str">
        <f>IF(TRIM(K68)="","Unknown",PROPER(TRIM(K68)))</f>
        <v>Unknown</v>
      </c>
      <c r="M68" t="s">
        <v>218</v>
      </c>
      <c r="N68" t="s">
        <v>219</v>
      </c>
      <c r="O68" t="s">
        <v>83</v>
      </c>
      <c r="P68" t="str">
        <f>IF(TRIM(O68)="","Unknown",PROPER(TRIM(O68)))</f>
        <v>Technology</v>
      </c>
      <c r="Q68" t="s">
        <v>84</v>
      </c>
      <c r="R68" t="s">
        <v>587</v>
      </c>
      <c r="S68" t="s">
        <v>65</v>
      </c>
      <c r="T68" t="str">
        <f>IF(TRIM(S68)="","Unknown",PROPER(TRIM(S68)))</f>
        <v>Standard Class</v>
      </c>
      <c r="U68">
        <v>3</v>
      </c>
      <c r="V68">
        <v>3829.48</v>
      </c>
      <c r="W68">
        <v>0.05</v>
      </c>
      <c r="Y68">
        <v>0.05</v>
      </c>
      <c r="Z68">
        <v>10914.02</v>
      </c>
      <c r="AA68">
        <v>6548.74</v>
      </c>
      <c r="AB68">
        <v>4365.28</v>
      </c>
      <c r="AC68" t="s">
        <v>33</v>
      </c>
      <c r="AD68" t="s">
        <v>34</v>
      </c>
      <c r="AE68">
        <f>ROUND((U68*V68)-(U68*V68*Y68),2)</f>
        <v>10914.02</v>
      </c>
      <c r="AF68">
        <f>AE68-AA68</f>
        <v>4365.2800000000007</v>
      </c>
      <c r="AG68" s="7">
        <f>ROUND((AF68/AE68),4)</f>
        <v>0.4</v>
      </c>
      <c r="AH68">
        <f>IF(AND(C68&lt;&gt;"",E68&lt;&gt;""),E68 - C68,"")</f>
        <v>4</v>
      </c>
      <c r="AI68" t="str">
        <f>IF(C68="","",TEXT(C68, "mmmm"))</f>
        <v>January</v>
      </c>
      <c r="AJ68">
        <f>IF(C68="","",YEAR(C68))</f>
        <v>2024</v>
      </c>
      <c r="AM68" t="s">
        <v>4145</v>
      </c>
      <c r="AN68" t="s">
        <v>3597</v>
      </c>
    </row>
    <row r="69" spans="1:40">
      <c r="A69" t="s">
        <v>588</v>
      </c>
      <c r="B69" t="s">
        <v>589</v>
      </c>
      <c r="C69" s="6">
        <v>45334</v>
      </c>
      <c r="D69" t="s">
        <v>589</v>
      </c>
      <c r="E69" s="6">
        <v>45334</v>
      </c>
      <c r="F69" t="s">
        <v>468</v>
      </c>
      <c r="G69" t="s">
        <v>52</v>
      </c>
      <c r="H69" t="s">
        <v>52</v>
      </c>
      <c r="I69" t="s">
        <v>110</v>
      </c>
      <c r="J69" t="s">
        <v>110</v>
      </c>
      <c r="K69" t="s">
        <v>60</v>
      </c>
      <c r="L69" t="str">
        <f>IF(TRIM(K69)="","Unknown",PROPER(TRIM(K69)))</f>
        <v>South</v>
      </c>
      <c r="M69" t="s">
        <v>309</v>
      </c>
      <c r="N69" t="s">
        <v>310</v>
      </c>
      <c r="O69" t="s">
        <v>44</v>
      </c>
      <c r="P69" t="str">
        <f>IF(TRIM(O69)="","Unknown",PROPER(TRIM(O69)))</f>
        <v>Furniture</v>
      </c>
      <c r="Q69" t="s">
        <v>45</v>
      </c>
      <c r="R69" t="s">
        <v>590</v>
      </c>
      <c r="S69" t="s">
        <v>65</v>
      </c>
      <c r="T69" t="str">
        <f>IF(TRIM(S69)="","Unknown",PROPER(TRIM(S69)))</f>
        <v>Standard Class</v>
      </c>
      <c r="U69">
        <v>3</v>
      </c>
      <c r="V69">
        <v>1089.1500000000001</v>
      </c>
      <c r="W69">
        <v>0.25</v>
      </c>
      <c r="Y69">
        <v>0.25</v>
      </c>
      <c r="Z69">
        <v>2450.59</v>
      </c>
      <c r="AA69">
        <v>1639.89</v>
      </c>
      <c r="AB69">
        <v>810.7</v>
      </c>
      <c r="AC69" t="s">
        <v>33</v>
      </c>
      <c r="AD69" t="s">
        <v>34</v>
      </c>
      <c r="AE69">
        <f>ROUND((U69*V69)-(U69*V69*Y69),2)</f>
        <v>2450.59</v>
      </c>
      <c r="AF69">
        <f>AE69-AA69</f>
        <v>810.7</v>
      </c>
      <c r="AG69" s="7">
        <f>ROUND((AF69/AE69),4)</f>
        <v>0.33079999999999998</v>
      </c>
      <c r="AH69">
        <f>IF(AND(C69&lt;&gt;"",E69&lt;&gt;""),E69 - C69,"")</f>
        <v>0</v>
      </c>
      <c r="AI69" t="str">
        <f>IF(C69="","",TEXT(C69, "mmmm"))</f>
        <v>February</v>
      </c>
      <c r="AJ69">
        <f>IF(C69="","",YEAR(C69))</f>
        <v>2024</v>
      </c>
      <c r="AM69" t="str">
        <f>IF(AN69="","clean","")</f>
        <v>clean</v>
      </c>
      <c r="AN69" t="s">
        <v>3595</v>
      </c>
    </row>
    <row r="70" spans="1:40">
      <c r="A70" t="s">
        <v>591</v>
      </c>
      <c r="B70" t="s">
        <v>3673</v>
      </c>
      <c r="C70" s="6">
        <v>45560</v>
      </c>
      <c r="D70" t="s">
        <v>592</v>
      </c>
      <c r="E70" s="6">
        <v>45565</v>
      </c>
      <c r="F70" t="s">
        <v>593</v>
      </c>
      <c r="G70" t="s">
        <v>90</v>
      </c>
      <c r="H70" t="s">
        <v>90</v>
      </c>
      <c r="I70" t="s">
        <v>40</v>
      </c>
      <c r="J70" t="s">
        <v>40</v>
      </c>
      <c r="K70" t="s">
        <v>26</v>
      </c>
      <c r="L70" t="str">
        <f>IF(TRIM(K70)="","Unknown",PROPER(TRIM(K70)))</f>
        <v>North</v>
      </c>
      <c r="M70" t="s">
        <v>27</v>
      </c>
      <c r="N70" t="s">
        <v>28</v>
      </c>
      <c r="O70" t="s">
        <v>83</v>
      </c>
      <c r="P70" t="str">
        <f>IF(TRIM(O70)="","Unknown",PROPER(TRIM(O70)))</f>
        <v>Technology</v>
      </c>
      <c r="Q70" t="s">
        <v>84</v>
      </c>
      <c r="R70" t="s">
        <v>594</v>
      </c>
      <c r="S70" t="s">
        <v>32</v>
      </c>
      <c r="T70" t="str">
        <f>IF(TRIM(S70)="","Unknown",PROPER(TRIM(S70)))</f>
        <v>Second Class</v>
      </c>
      <c r="U70">
        <v>1</v>
      </c>
      <c r="V70">
        <v>4388.3999999999996</v>
      </c>
      <c r="W70">
        <v>0.1</v>
      </c>
      <c r="Y70">
        <v>0.1</v>
      </c>
      <c r="Z70">
        <v>3949.56</v>
      </c>
      <c r="AA70">
        <v>3186.73</v>
      </c>
      <c r="AB70">
        <v>762.83</v>
      </c>
      <c r="AC70" t="s">
        <v>131</v>
      </c>
      <c r="AD70" t="s">
        <v>76</v>
      </c>
      <c r="AE70">
        <f>ROUND((U70*V70)-(U70*V70*Y70),2)</f>
        <v>3949.56</v>
      </c>
      <c r="AF70">
        <f>AE70-AA70</f>
        <v>762.82999999999993</v>
      </c>
      <c r="AG70" s="7">
        <f>ROUND((AF70/AE70),4)</f>
        <v>0.19309999999999999</v>
      </c>
      <c r="AH70">
        <f>IF(AND(C70&lt;&gt;"",E70&lt;&gt;""),E70 - C70,"")</f>
        <v>5</v>
      </c>
      <c r="AI70" t="str">
        <f>IF(C70="","",TEXT(C70, "mmmm"))</f>
        <v>September</v>
      </c>
      <c r="AJ70">
        <f>IF(C70="","",YEAR(C70))</f>
        <v>2024</v>
      </c>
      <c r="AM70" t="str">
        <f>IF(AN70="","clean","")</f>
        <v>clean</v>
      </c>
      <c r="AN70" t="s">
        <v>3595</v>
      </c>
    </row>
    <row r="71" spans="1:40">
      <c r="A71" t="s">
        <v>595</v>
      </c>
      <c r="B71" t="s">
        <v>3674</v>
      </c>
      <c r="C71" s="6">
        <v>45653</v>
      </c>
      <c r="D71" t="s">
        <v>596</v>
      </c>
      <c r="E71" s="6">
        <v>45658</v>
      </c>
      <c r="F71" t="s">
        <v>597</v>
      </c>
      <c r="G71" t="s">
        <v>334</v>
      </c>
      <c r="H71" t="s">
        <v>334</v>
      </c>
      <c r="I71" t="s">
        <v>104</v>
      </c>
      <c r="J71" t="s">
        <v>104</v>
      </c>
      <c r="K71" t="s">
        <v>60</v>
      </c>
      <c r="L71" t="str">
        <f>IF(TRIM(K71)="","Unknown",PROPER(TRIM(K71)))</f>
        <v>South</v>
      </c>
      <c r="M71" t="s">
        <v>309</v>
      </c>
      <c r="N71" t="s">
        <v>310</v>
      </c>
      <c r="O71" t="s">
        <v>29</v>
      </c>
      <c r="P71" t="str">
        <f>IF(TRIM(O71)="","Unknown",PROPER(TRIM(O71)))</f>
        <v>Office Supplies</v>
      </c>
      <c r="Q71" t="s">
        <v>184</v>
      </c>
      <c r="R71" t="s">
        <v>598</v>
      </c>
      <c r="S71" t="s">
        <v>47</v>
      </c>
      <c r="T71" t="str">
        <f>IF(TRIM(S71)="","Unknown",PROPER(TRIM(S71)))</f>
        <v>Same Day</v>
      </c>
      <c r="U71">
        <v>2</v>
      </c>
      <c r="V71">
        <v>446.34</v>
      </c>
      <c r="W71">
        <v>0.15</v>
      </c>
      <c r="Y71">
        <v>0.15</v>
      </c>
      <c r="Z71">
        <v>758.78</v>
      </c>
      <c r="AA71">
        <v>490.74</v>
      </c>
      <c r="AB71">
        <v>268.04000000000002</v>
      </c>
      <c r="AC71" t="s">
        <v>33</v>
      </c>
      <c r="AD71" t="s">
        <v>76</v>
      </c>
      <c r="AE71">
        <f>ROUND((U71*V71)-(U71*V71*Y71),2)</f>
        <v>758.78</v>
      </c>
      <c r="AF71">
        <f>AE71-AA71</f>
        <v>268.03999999999996</v>
      </c>
      <c r="AG71" s="7">
        <f>ROUND((AF71/AE71),4)</f>
        <v>0.3533</v>
      </c>
      <c r="AH71">
        <f>IF(AND(C71&lt;&gt;"",E71&lt;&gt;""),E71 - C71,"")</f>
        <v>5</v>
      </c>
      <c r="AI71" t="str">
        <f>IF(C71="","",TEXT(C71, "mmmm"))</f>
        <v>December</v>
      </c>
      <c r="AJ71">
        <f>IF(C71="","",YEAR(C71))</f>
        <v>2024</v>
      </c>
      <c r="AM71" t="str">
        <f>IF(AN71="","clean","")</f>
        <v>clean</v>
      </c>
      <c r="AN71" t="s">
        <v>3595</v>
      </c>
    </row>
    <row r="72" spans="1:40">
      <c r="A72" t="s">
        <v>603</v>
      </c>
      <c r="B72" t="s">
        <v>3676</v>
      </c>
      <c r="C72" s="6">
        <v>45337</v>
      </c>
      <c r="D72" t="s">
        <v>604</v>
      </c>
      <c r="E72" s="6">
        <v>45339</v>
      </c>
      <c r="F72" t="s">
        <v>605</v>
      </c>
      <c r="G72" t="s">
        <v>39</v>
      </c>
      <c r="H72" t="s">
        <v>39</v>
      </c>
      <c r="I72" t="s">
        <v>110</v>
      </c>
      <c r="J72" t="s">
        <v>110</v>
      </c>
      <c r="K72" t="s">
        <v>60</v>
      </c>
      <c r="L72" t="str">
        <f>IF(TRIM(K72)="","Unknown",PROPER(TRIM(K72)))</f>
        <v>South</v>
      </c>
      <c r="M72" t="s">
        <v>309</v>
      </c>
      <c r="N72" t="s">
        <v>310</v>
      </c>
      <c r="O72" t="s">
        <v>83</v>
      </c>
      <c r="P72" t="str">
        <f>IF(TRIM(O72)="","Unknown",PROPER(TRIM(O72)))</f>
        <v>Technology</v>
      </c>
      <c r="Q72" t="s">
        <v>347</v>
      </c>
      <c r="R72" t="s">
        <v>606</v>
      </c>
      <c r="S72" t="s">
        <v>65</v>
      </c>
      <c r="T72" t="str">
        <f>IF(TRIM(S72)="","Unknown",PROPER(TRIM(S72)))</f>
        <v>Standard Class</v>
      </c>
      <c r="U72">
        <v>9</v>
      </c>
      <c r="V72">
        <v>3324.55</v>
      </c>
      <c r="W72" t="s">
        <v>607</v>
      </c>
      <c r="Y72">
        <v>0.15</v>
      </c>
      <c r="Z72">
        <v>25432.81</v>
      </c>
      <c r="AA72">
        <v>20370.16</v>
      </c>
      <c r="AB72">
        <v>5062.6499999999996</v>
      </c>
      <c r="AC72" t="s">
        <v>33</v>
      </c>
      <c r="AD72" t="s">
        <v>34</v>
      </c>
      <c r="AE72">
        <f>ROUND((U72*V72)-(U72*V72*Y72),2)</f>
        <v>25432.81</v>
      </c>
      <c r="AF72">
        <f>AE72-AA72</f>
        <v>5062.6500000000015</v>
      </c>
      <c r="AG72" s="7">
        <f>ROUND((AF72/AE72),4)</f>
        <v>0.1991</v>
      </c>
      <c r="AH72">
        <f>IF(AND(C72&lt;&gt;"",E72&lt;&gt;""),E72 - C72,"")</f>
        <v>2</v>
      </c>
      <c r="AI72" t="str">
        <f>IF(C72="","",TEXT(C72, "mmmm"))</f>
        <v>February</v>
      </c>
      <c r="AJ72">
        <f>IF(C72="","",YEAR(C72))</f>
        <v>2024</v>
      </c>
      <c r="AM72" t="s">
        <v>4145</v>
      </c>
      <c r="AN72" t="s">
        <v>3596</v>
      </c>
    </row>
    <row r="73" spans="1:40">
      <c r="A73" t="s">
        <v>608</v>
      </c>
      <c r="B73" t="s">
        <v>3677</v>
      </c>
      <c r="C73" s="6">
        <v>45453</v>
      </c>
      <c r="D73" t="s">
        <v>609</v>
      </c>
      <c r="E73" s="6">
        <v>45461</v>
      </c>
      <c r="F73" t="s">
        <v>610</v>
      </c>
      <c r="G73" t="s">
        <v>611</v>
      </c>
      <c r="H73" t="s">
        <v>80</v>
      </c>
      <c r="I73" t="s">
        <v>110</v>
      </c>
      <c r="J73" t="s">
        <v>110</v>
      </c>
      <c r="K73" t="s">
        <v>60</v>
      </c>
      <c r="L73" t="str">
        <f>IF(TRIM(K73)="","Unknown",PROPER(TRIM(K73)))</f>
        <v>South</v>
      </c>
      <c r="M73" t="s">
        <v>97</v>
      </c>
      <c r="N73" t="s">
        <v>98</v>
      </c>
      <c r="O73" t="s">
        <v>83</v>
      </c>
      <c r="P73" t="str">
        <f>IF(TRIM(O73)="","Unknown",PROPER(TRIM(O73)))</f>
        <v>Technology</v>
      </c>
      <c r="Q73" t="s">
        <v>91</v>
      </c>
      <c r="R73" t="s">
        <v>612</v>
      </c>
      <c r="S73" t="s">
        <v>47</v>
      </c>
      <c r="T73" t="str">
        <f>IF(TRIM(S73)="","Unknown",PROPER(TRIM(S73)))</f>
        <v>Same Day</v>
      </c>
      <c r="U73">
        <v>5</v>
      </c>
      <c r="V73">
        <v>1580.27</v>
      </c>
      <c r="W73">
        <v>0.2</v>
      </c>
      <c r="Y73">
        <v>0.2</v>
      </c>
      <c r="Z73">
        <v>6321.08</v>
      </c>
      <c r="AA73">
        <v>4407.22</v>
      </c>
      <c r="AB73">
        <v>1913.86</v>
      </c>
      <c r="AC73" t="s">
        <v>33</v>
      </c>
      <c r="AD73" t="s">
        <v>34</v>
      </c>
      <c r="AE73">
        <f>ROUND((U73*V73)-(U73*V73*Y73),2)</f>
        <v>6321.08</v>
      </c>
      <c r="AF73">
        <f>AE73-AA73</f>
        <v>1913.8599999999997</v>
      </c>
      <c r="AG73" s="7">
        <f>ROUND((AF73/AE73),4)</f>
        <v>0.30280000000000001</v>
      </c>
      <c r="AH73">
        <f>IF(AND(C73&lt;&gt;"",E73&lt;&gt;""),E73 - C73,"")</f>
        <v>8</v>
      </c>
      <c r="AI73" t="str">
        <f>IF(C73="","",TEXT(C73, "mmmm"))</f>
        <v>June</v>
      </c>
      <c r="AJ73">
        <f>IF(C73="","",YEAR(C73))</f>
        <v>2024</v>
      </c>
      <c r="AM73" t="str">
        <f>IF(AN73="","clean","")</f>
        <v>clean</v>
      </c>
      <c r="AN73" t="s">
        <v>3595</v>
      </c>
    </row>
    <row r="74" spans="1:40">
      <c r="A74" t="s">
        <v>613</v>
      </c>
      <c r="B74" t="s">
        <v>3678</v>
      </c>
      <c r="C74" s="6">
        <v>45455</v>
      </c>
      <c r="D74" t="s">
        <v>614</v>
      </c>
      <c r="E74" s="6">
        <v>45462</v>
      </c>
      <c r="F74" t="s">
        <v>615</v>
      </c>
      <c r="G74" t="s">
        <v>103</v>
      </c>
      <c r="H74" t="s">
        <v>103</v>
      </c>
      <c r="I74" t="s">
        <v>40</v>
      </c>
      <c r="J74" t="s">
        <v>40</v>
      </c>
      <c r="K74" t="s">
        <v>60</v>
      </c>
      <c r="L74" t="str">
        <f>IF(TRIM(K74)="","Unknown",PROPER(TRIM(K74)))</f>
        <v>South</v>
      </c>
      <c r="M74" t="s">
        <v>224</v>
      </c>
      <c r="N74" t="s">
        <v>225</v>
      </c>
      <c r="O74" t="s">
        <v>44</v>
      </c>
      <c r="P74" t="str">
        <f>IF(TRIM(O74)="","Unknown",PROPER(TRIM(O74)))</f>
        <v>Furniture</v>
      </c>
      <c r="Q74" t="s">
        <v>74</v>
      </c>
      <c r="R74" t="s">
        <v>616</v>
      </c>
      <c r="S74" t="s">
        <v>65</v>
      </c>
      <c r="T74" t="str">
        <f>IF(TRIM(S74)="","Unknown",PROPER(TRIM(S74)))</f>
        <v>Standard Class</v>
      </c>
      <c r="U74">
        <v>8</v>
      </c>
      <c r="V74">
        <v>314.05</v>
      </c>
      <c r="W74">
        <v>0.25</v>
      </c>
      <c r="Y74">
        <v>0.25</v>
      </c>
      <c r="Z74">
        <v>1884.3</v>
      </c>
      <c r="AA74">
        <v>1517.69</v>
      </c>
      <c r="AB74">
        <v>366.61</v>
      </c>
      <c r="AC74" t="s">
        <v>119</v>
      </c>
      <c r="AD74" t="s">
        <v>120</v>
      </c>
      <c r="AE74">
        <f>ROUND((U74*V74)-(U74*V74*Y74),2)</f>
        <v>1884.3</v>
      </c>
      <c r="AF74">
        <f>AE74-AA74</f>
        <v>366.6099999999999</v>
      </c>
      <c r="AG74" s="7">
        <f>ROUND((AF74/AE74),4)</f>
        <v>0.1946</v>
      </c>
      <c r="AH74">
        <f>IF(AND(C74&lt;&gt;"",E74&lt;&gt;""),E74 - C74,"")</f>
        <v>7</v>
      </c>
      <c r="AI74" t="str">
        <f>IF(C74="","",TEXT(C74, "mmmm"))</f>
        <v>June</v>
      </c>
      <c r="AJ74">
        <f>IF(C74="","",YEAR(C74))</f>
        <v>2024</v>
      </c>
      <c r="AM74" t="str">
        <f>IF(AN74="","clean","")</f>
        <v>clean</v>
      </c>
      <c r="AN74" t="s">
        <v>3595</v>
      </c>
    </row>
    <row r="75" spans="1:40">
      <c r="A75" t="s">
        <v>617</v>
      </c>
      <c r="B75" t="s">
        <v>3654</v>
      </c>
      <c r="C75" s="6">
        <v>45514</v>
      </c>
      <c r="D75" t="s">
        <v>618</v>
      </c>
      <c r="E75" s="6">
        <v>45522</v>
      </c>
      <c r="F75" t="s">
        <v>619</v>
      </c>
      <c r="G75" t="s">
        <v>158</v>
      </c>
      <c r="H75" t="s">
        <v>158</v>
      </c>
      <c r="I75" t="s">
        <v>40</v>
      </c>
      <c r="J75" t="s">
        <v>40</v>
      </c>
      <c r="K75" t="s">
        <v>41</v>
      </c>
      <c r="L75" t="str">
        <f>IF(TRIM(K75)="","Unknown",PROPER(TRIM(K75)))</f>
        <v>East</v>
      </c>
      <c r="M75" t="s">
        <v>174</v>
      </c>
      <c r="N75" t="s">
        <v>175</v>
      </c>
      <c r="O75" t="s">
        <v>83</v>
      </c>
      <c r="P75" t="str">
        <f>IF(TRIM(O75)="","Unknown",PROPER(TRIM(O75)))</f>
        <v>Technology</v>
      </c>
      <c r="Q75" t="s">
        <v>207</v>
      </c>
      <c r="R75" t="s">
        <v>620</v>
      </c>
      <c r="S75" t="s">
        <v>65</v>
      </c>
      <c r="T75" t="str">
        <f>IF(TRIM(S75)="","Unknown",PROPER(TRIM(S75)))</f>
        <v>Standard Class</v>
      </c>
      <c r="U75">
        <v>1</v>
      </c>
      <c r="V75">
        <v>1823.67</v>
      </c>
      <c r="W75">
        <v>0.2</v>
      </c>
      <c r="Y75">
        <v>0.2</v>
      </c>
      <c r="Z75">
        <v>1458.94</v>
      </c>
      <c r="AA75">
        <v>893.2</v>
      </c>
      <c r="AB75">
        <v>565.74</v>
      </c>
      <c r="AC75" t="s">
        <v>33</v>
      </c>
      <c r="AD75" t="s">
        <v>120</v>
      </c>
      <c r="AE75">
        <f>ROUND((U75*V75)-(U75*V75*Y75),2)</f>
        <v>1458.94</v>
      </c>
      <c r="AF75">
        <f>AE75-AA75</f>
        <v>565.74</v>
      </c>
      <c r="AG75" s="7">
        <f>ROUND((AF75/AE75),4)</f>
        <v>0.38779999999999998</v>
      </c>
      <c r="AH75">
        <f>IF(AND(C75&lt;&gt;"",E75&lt;&gt;""),E75 - C75,"")</f>
        <v>8</v>
      </c>
      <c r="AI75" t="str">
        <f>IF(C75="","",TEXT(C75, "mmmm"))</f>
        <v>August</v>
      </c>
      <c r="AJ75">
        <f>IF(C75="","",YEAR(C75))</f>
        <v>2024</v>
      </c>
      <c r="AM75" t="str">
        <f>IF(AN75="","clean","")</f>
        <v>clean</v>
      </c>
      <c r="AN75" t="s">
        <v>3595</v>
      </c>
    </row>
    <row r="76" spans="1:40">
      <c r="A76" t="s">
        <v>627</v>
      </c>
      <c r="B76" t="s">
        <v>3679</v>
      </c>
      <c r="C76" s="6">
        <v>45626</v>
      </c>
      <c r="D76" t="s">
        <v>628</v>
      </c>
      <c r="E76" s="6">
        <v>45630</v>
      </c>
      <c r="F76" t="s">
        <v>629</v>
      </c>
      <c r="G76" t="s">
        <v>70</v>
      </c>
      <c r="H76" t="s">
        <v>70</v>
      </c>
      <c r="I76" t="s">
        <v>40</v>
      </c>
      <c r="J76" t="s">
        <v>40</v>
      </c>
      <c r="K76" t="s">
        <v>41</v>
      </c>
      <c r="L76" t="str">
        <f>IF(TRIM(K76)="","Unknown",PROPER(TRIM(K76)))</f>
        <v>East</v>
      </c>
      <c r="M76" t="s">
        <v>201</v>
      </c>
      <c r="N76" t="s">
        <v>202</v>
      </c>
      <c r="O76" t="s">
        <v>44</v>
      </c>
      <c r="P76" t="str">
        <f>IF(TRIM(O76)="","Unknown",PROPER(TRIM(O76)))</f>
        <v>Furniture</v>
      </c>
      <c r="Q76" t="s">
        <v>74</v>
      </c>
      <c r="R76" t="s">
        <v>630</v>
      </c>
      <c r="S76" t="s">
        <v>32</v>
      </c>
      <c r="T76" t="str">
        <f>IF(TRIM(S76)="","Unknown",PROPER(TRIM(S76)))</f>
        <v>Second Class</v>
      </c>
      <c r="U76">
        <v>3</v>
      </c>
      <c r="V76">
        <v>170.35</v>
      </c>
      <c r="W76">
        <v>0</v>
      </c>
      <c r="Y76">
        <v>0</v>
      </c>
      <c r="Z76">
        <v>511.05</v>
      </c>
      <c r="AA76">
        <v>367.18</v>
      </c>
      <c r="AB76">
        <v>143.87</v>
      </c>
      <c r="AC76" t="s">
        <v>33</v>
      </c>
      <c r="AD76" t="s">
        <v>34</v>
      </c>
      <c r="AE76">
        <f>ROUND((U76*V76)-(U76*V76*Y76),2)</f>
        <v>511.05</v>
      </c>
      <c r="AF76">
        <f>AE76-AA76</f>
        <v>143.87</v>
      </c>
      <c r="AG76" s="7">
        <f>ROUND((AF76/AE76),4)</f>
        <v>0.28149999999999997</v>
      </c>
      <c r="AH76">
        <f>IF(AND(C76&lt;&gt;"",E76&lt;&gt;""),E76 - C76,"")</f>
        <v>4</v>
      </c>
      <c r="AI76" t="str">
        <f>IF(C76="","",TEXT(C76, "mmmm"))</f>
        <v>November</v>
      </c>
      <c r="AJ76">
        <f>IF(C76="","",YEAR(C76))</f>
        <v>2024</v>
      </c>
      <c r="AM76" t="str">
        <f>IF(AN76="","clean","")</f>
        <v>clean</v>
      </c>
      <c r="AN76" t="s">
        <v>3595</v>
      </c>
    </row>
    <row r="77" spans="1:40">
      <c r="A77" t="s">
        <v>631</v>
      </c>
      <c r="B77" t="s">
        <v>632</v>
      </c>
      <c r="C77" s="6">
        <v>45436</v>
      </c>
      <c r="D77" t="s">
        <v>633</v>
      </c>
      <c r="E77" s="6">
        <v>45437</v>
      </c>
      <c r="F77" t="s">
        <v>634</v>
      </c>
      <c r="G77" t="s">
        <v>158</v>
      </c>
      <c r="H77" t="s">
        <v>158</v>
      </c>
      <c r="I77" t="s">
        <v>40</v>
      </c>
      <c r="J77" t="s">
        <v>40</v>
      </c>
      <c r="K77" t="s">
        <v>635</v>
      </c>
      <c r="L77" t="str">
        <f>IF(TRIM(K77)="","Unknown",PROPER(TRIM(K77)))</f>
        <v>North</v>
      </c>
      <c r="M77" t="s">
        <v>146</v>
      </c>
      <c r="N77" t="s">
        <v>147</v>
      </c>
      <c r="O77" t="s">
        <v>83</v>
      </c>
      <c r="P77" t="str">
        <f>IF(TRIM(O77)="","Unknown",PROPER(TRIM(O77)))</f>
        <v>Technology</v>
      </c>
      <c r="Q77" t="s">
        <v>91</v>
      </c>
      <c r="R77" t="s">
        <v>636</v>
      </c>
      <c r="S77" t="s">
        <v>47</v>
      </c>
      <c r="T77" t="str">
        <f>IF(TRIM(S77)="","Unknown",PROPER(TRIM(S77)))</f>
        <v>Same Day</v>
      </c>
      <c r="U77">
        <v>1</v>
      </c>
      <c r="V77">
        <v>634.13</v>
      </c>
      <c r="W77">
        <v>0</v>
      </c>
      <c r="Y77">
        <v>0</v>
      </c>
      <c r="Z77">
        <v>634.13</v>
      </c>
      <c r="AA77">
        <v>453.35</v>
      </c>
      <c r="AB77">
        <v>180.78</v>
      </c>
      <c r="AC77" t="s">
        <v>119</v>
      </c>
      <c r="AD77" t="s">
        <v>76</v>
      </c>
      <c r="AE77">
        <f>ROUND((U77*V77)-(U77*V77*Y77),2)</f>
        <v>634.13</v>
      </c>
      <c r="AF77">
        <f>AE77-AA77</f>
        <v>180.77999999999997</v>
      </c>
      <c r="AG77" s="7">
        <f>ROUND((AF77/AE77),4)</f>
        <v>0.28510000000000002</v>
      </c>
      <c r="AH77">
        <f>IF(AND(C77&lt;&gt;"",E77&lt;&gt;""),E77 - C77,"")</f>
        <v>1</v>
      </c>
      <c r="AI77" t="str">
        <f>IF(C77="","",TEXT(C77, "mmmm"))</f>
        <v>May</v>
      </c>
      <c r="AJ77">
        <f>IF(C77="","",YEAR(C77))</f>
        <v>2024</v>
      </c>
      <c r="AL77" t="s">
        <v>4152</v>
      </c>
      <c r="AM77" t="s">
        <v>4144</v>
      </c>
      <c r="AN77" t="s">
        <v>4149</v>
      </c>
    </row>
    <row r="78" spans="1:40">
      <c r="A78" t="s">
        <v>631</v>
      </c>
      <c r="B78" t="s">
        <v>632</v>
      </c>
      <c r="C78" s="6">
        <v>45436</v>
      </c>
      <c r="D78" t="s">
        <v>633</v>
      </c>
      <c r="E78" s="6">
        <v>45437</v>
      </c>
      <c r="F78" t="s">
        <v>634</v>
      </c>
      <c r="G78" t="s">
        <v>158</v>
      </c>
      <c r="H78" t="s">
        <v>158</v>
      </c>
      <c r="I78" t="s">
        <v>40</v>
      </c>
      <c r="J78" t="s">
        <v>40</v>
      </c>
      <c r="K78" t="s">
        <v>635</v>
      </c>
      <c r="L78" t="str">
        <f>IF(TRIM(K78)="","Unknown",PROPER(TRIM(K78)))</f>
        <v>North</v>
      </c>
      <c r="M78" t="s">
        <v>146</v>
      </c>
      <c r="N78" t="s">
        <v>147</v>
      </c>
      <c r="O78" t="s">
        <v>83</v>
      </c>
      <c r="P78" t="str">
        <f>IF(TRIM(O78)="","Unknown",PROPER(TRIM(O78)))</f>
        <v>Technology</v>
      </c>
      <c r="Q78" t="s">
        <v>91</v>
      </c>
      <c r="R78" t="s">
        <v>636</v>
      </c>
      <c r="S78" t="s">
        <v>47</v>
      </c>
      <c r="T78" t="str">
        <f>IF(TRIM(S78)="","Unknown",PROPER(TRIM(S78)))</f>
        <v>Same Day</v>
      </c>
      <c r="U78">
        <v>1</v>
      </c>
      <c r="V78">
        <v>634.13</v>
      </c>
      <c r="W78">
        <v>0</v>
      </c>
      <c r="Y78">
        <v>0</v>
      </c>
      <c r="Z78">
        <v>634.13</v>
      </c>
      <c r="AA78">
        <v>453.35</v>
      </c>
      <c r="AB78">
        <v>180.78</v>
      </c>
      <c r="AC78" t="s">
        <v>119</v>
      </c>
      <c r="AD78" t="s">
        <v>76</v>
      </c>
      <c r="AE78">
        <f>ROUND((U78*V78)-(U78*V78*Y78),2)</f>
        <v>634.13</v>
      </c>
      <c r="AF78">
        <f>AE78-AA78</f>
        <v>180.77999999999997</v>
      </c>
      <c r="AG78" s="7">
        <f>ROUND((AF78/AE78),4)</f>
        <v>0.28510000000000002</v>
      </c>
      <c r="AH78">
        <f>IF(AND(C78&lt;&gt;"",E78&lt;&gt;""),E78 - C78,"")</f>
        <v>1</v>
      </c>
      <c r="AI78" t="str">
        <f>IF(C78="","",TEXT(C78, "mmmm"))</f>
        <v>May</v>
      </c>
      <c r="AJ78">
        <f>IF(C78="","",YEAR(C78))</f>
        <v>2024</v>
      </c>
      <c r="AM78" t="str">
        <f>IF(AN78="","clean","")</f>
        <v>clean</v>
      </c>
      <c r="AN78" t="s">
        <v>3595</v>
      </c>
    </row>
    <row r="79" spans="1:40">
      <c r="A79" t="s">
        <v>631</v>
      </c>
      <c r="B79" t="s">
        <v>632</v>
      </c>
      <c r="C79" s="6">
        <v>45436</v>
      </c>
      <c r="D79" t="s">
        <v>633</v>
      </c>
      <c r="E79" s="6">
        <v>45437</v>
      </c>
      <c r="F79" t="s">
        <v>634</v>
      </c>
      <c r="G79" t="s">
        <v>158</v>
      </c>
      <c r="H79" t="s">
        <v>158</v>
      </c>
      <c r="I79" t="s">
        <v>40</v>
      </c>
      <c r="J79" t="s">
        <v>40</v>
      </c>
      <c r="K79" t="s">
        <v>635</v>
      </c>
      <c r="L79" t="str">
        <f>IF(TRIM(K79)="","Unknown",PROPER(TRIM(K79)))</f>
        <v>North</v>
      </c>
      <c r="M79" t="s">
        <v>146</v>
      </c>
      <c r="N79" t="s">
        <v>147</v>
      </c>
      <c r="O79" t="s">
        <v>83</v>
      </c>
      <c r="P79" t="str">
        <f>IF(TRIM(O79)="","Unknown",PROPER(TRIM(O79)))</f>
        <v>Technology</v>
      </c>
      <c r="Q79" t="s">
        <v>91</v>
      </c>
      <c r="R79" t="s">
        <v>636</v>
      </c>
      <c r="S79" t="s">
        <v>47</v>
      </c>
      <c r="T79" t="str">
        <f>IF(TRIM(S79)="","Unknown",PROPER(TRIM(S79)))</f>
        <v>Same Day</v>
      </c>
      <c r="U79">
        <v>1</v>
      </c>
      <c r="V79">
        <v>634.13</v>
      </c>
      <c r="W79">
        <v>0</v>
      </c>
      <c r="Y79">
        <v>0</v>
      </c>
      <c r="Z79">
        <v>808.67</v>
      </c>
      <c r="AA79">
        <v>453.35</v>
      </c>
      <c r="AB79">
        <v>180.78</v>
      </c>
      <c r="AC79" t="s">
        <v>119</v>
      </c>
      <c r="AD79" t="s">
        <v>120</v>
      </c>
      <c r="AE79">
        <f>ROUND((U79*V79)-(U79*V79*Y79),2)</f>
        <v>634.13</v>
      </c>
      <c r="AF79">
        <f>AE79-AA79</f>
        <v>180.77999999999997</v>
      </c>
      <c r="AG79" s="7">
        <f>ROUND((AF79/AE79),4)</f>
        <v>0.28510000000000002</v>
      </c>
      <c r="AH79">
        <f>IF(AND(C79&lt;&gt;"",E79&lt;&gt;""),E79 - C79,"")</f>
        <v>1</v>
      </c>
      <c r="AI79" t="str">
        <f>IF(C79="","",TEXT(C79, "mmmm"))</f>
        <v>May</v>
      </c>
      <c r="AJ79">
        <f>IF(C79="","",YEAR(C79))</f>
        <v>2024</v>
      </c>
      <c r="AK79" t="s">
        <v>4152</v>
      </c>
      <c r="AM79" t="s">
        <v>4145</v>
      </c>
      <c r="AN79" t="s">
        <v>4155</v>
      </c>
    </row>
    <row r="80" spans="1:40">
      <c r="A80" t="s">
        <v>637</v>
      </c>
      <c r="B80" t="s">
        <v>3603</v>
      </c>
      <c r="C80" s="6">
        <v>45494</v>
      </c>
      <c r="D80" t="s">
        <v>638</v>
      </c>
      <c r="E80" s="6">
        <v>45497</v>
      </c>
      <c r="F80" t="s">
        <v>639</v>
      </c>
      <c r="G80" t="s">
        <v>52</v>
      </c>
      <c r="H80" t="s">
        <v>52</v>
      </c>
      <c r="I80" t="s">
        <v>104</v>
      </c>
      <c r="J80" t="s">
        <v>104</v>
      </c>
      <c r="K80" t="s">
        <v>60</v>
      </c>
      <c r="L80" t="str">
        <f>IF(TRIM(K80)="","Unknown",PROPER(TRIM(K80)))</f>
        <v>South</v>
      </c>
      <c r="M80" t="s">
        <v>212</v>
      </c>
      <c r="N80" t="s">
        <v>213</v>
      </c>
      <c r="O80" t="s">
        <v>83</v>
      </c>
      <c r="P80" t="str">
        <f>IF(TRIM(O80)="","Unknown",PROPER(TRIM(O80)))</f>
        <v>Technology</v>
      </c>
      <c r="Q80" t="s">
        <v>91</v>
      </c>
      <c r="R80" t="s">
        <v>640</v>
      </c>
      <c r="S80" t="s">
        <v>65</v>
      </c>
      <c r="T80" t="str">
        <f>IF(TRIM(S80)="","Unknown",PROPER(TRIM(S80)))</f>
        <v>Standard Class</v>
      </c>
      <c r="U80">
        <v>9</v>
      </c>
      <c r="V80">
        <v>465.06</v>
      </c>
      <c r="W80">
        <v>-0.15</v>
      </c>
      <c r="Y80">
        <v>0</v>
      </c>
      <c r="Z80">
        <v>4185.54</v>
      </c>
      <c r="AA80">
        <v>3443.74</v>
      </c>
      <c r="AB80">
        <v>741.8</v>
      </c>
      <c r="AC80" t="s">
        <v>33</v>
      </c>
      <c r="AD80" t="s">
        <v>34</v>
      </c>
      <c r="AE80">
        <f>ROUND((U80*V80)-(U80*V80*Y80),2)</f>
        <v>4185.54</v>
      </c>
      <c r="AF80">
        <f>AE80-AA80</f>
        <v>741.80000000000018</v>
      </c>
      <c r="AG80" s="7">
        <f>ROUND((AF80/AE80),4)</f>
        <v>0.1772</v>
      </c>
      <c r="AH80">
        <f>IF(AND(C80&lt;&gt;"",E80&lt;&gt;""),E80 - C80,"")</f>
        <v>3</v>
      </c>
      <c r="AI80" t="str">
        <f>IF(C80="","",TEXT(C80, "mmmm"))</f>
        <v>July</v>
      </c>
      <c r="AJ80">
        <f>IF(C80="","",YEAR(C80))</f>
        <v>2024</v>
      </c>
      <c r="AM80" t="s">
        <v>4145</v>
      </c>
      <c r="AN80" t="s">
        <v>3596</v>
      </c>
    </row>
    <row r="81" spans="1:40">
      <c r="A81" t="s">
        <v>653</v>
      </c>
      <c r="B81" t="s">
        <v>654</v>
      </c>
      <c r="C81" s="6">
        <v>45639</v>
      </c>
      <c r="D81" t="s">
        <v>655</v>
      </c>
      <c r="E81" s="6">
        <v>45642</v>
      </c>
      <c r="F81" t="s">
        <v>656</v>
      </c>
      <c r="G81" t="s">
        <v>90</v>
      </c>
      <c r="H81" t="s">
        <v>90</v>
      </c>
      <c r="I81" t="s">
        <v>40</v>
      </c>
      <c r="J81" t="s">
        <v>40</v>
      </c>
      <c r="K81" t="s">
        <v>41</v>
      </c>
      <c r="L81" t="str">
        <f>IF(TRIM(K81)="","Unknown",PROPER(TRIM(K81)))</f>
        <v>East</v>
      </c>
      <c r="M81" t="s">
        <v>42</v>
      </c>
      <c r="N81" t="s">
        <v>43</v>
      </c>
      <c r="O81" t="s">
        <v>44</v>
      </c>
      <c r="P81" t="str">
        <f>IF(TRIM(O81)="","Unknown",PROPER(TRIM(O81)))</f>
        <v>Furniture</v>
      </c>
      <c r="Q81" t="s">
        <v>63</v>
      </c>
      <c r="R81" t="s">
        <v>657</v>
      </c>
      <c r="S81" t="s">
        <v>65</v>
      </c>
      <c r="T81" t="str">
        <f>IF(TRIM(S81)="","Unknown",PROPER(TRIM(S81)))</f>
        <v>Standard Class</v>
      </c>
      <c r="U81">
        <v>5</v>
      </c>
      <c r="V81">
        <v>923.45</v>
      </c>
      <c r="W81">
        <v>0.05</v>
      </c>
      <c r="Y81">
        <v>0.05</v>
      </c>
      <c r="Z81">
        <v>4386.3900000000003</v>
      </c>
      <c r="AA81">
        <v>3366.88</v>
      </c>
      <c r="AB81">
        <v>1019.51</v>
      </c>
      <c r="AC81" t="s">
        <v>33</v>
      </c>
      <c r="AD81" t="s">
        <v>120</v>
      </c>
      <c r="AE81">
        <f>ROUND((U81*V81)-(U81*V81*Y81),2)</f>
        <v>4386.3900000000003</v>
      </c>
      <c r="AF81">
        <f>AE81-AA81</f>
        <v>1019.5100000000002</v>
      </c>
      <c r="AG81" s="7">
        <f>ROUND((AF81/AE81),4)</f>
        <v>0.2324</v>
      </c>
      <c r="AH81">
        <f>IF(AND(C81&lt;&gt;"",E81&lt;&gt;""),E81 - C81,"")</f>
        <v>3</v>
      </c>
      <c r="AI81" t="str">
        <f>IF(C81="","",TEXT(C81, "mmmm"))</f>
        <v>December</v>
      </c>
      <c r="AJ81">
        <f>IF(C81="","",YEAR(C81))</f>
        <v>2024</v>
      </c>
      <c r="AM81" t="str">
        <f>IF(AN81="","clean","")</f>
        <v>clean</v>
      </c>
      <c r="AN81" t="s">
        <v>3595</v>
      </c>
    </row>
    <row r="82" spans="1:40">
      <c r="A82" t="s">
        <v>658</v>
      </c>
      <c r="B82" t="s">
        <v>368</v>
      </c>
      <c r="C82" s="6">
        <v>45492</v>
      </c>
      <c r="D82" t="s">
        <v>659</v>
      </c>
      <c r="F82" t="s">
        <v>660</v>
      </c>
      <c r="G82" t="s">
        <v>52</v>
      </c>
      <c r="H82" t="s">
        <v>52</v>
      </c>
      <c r="I82" t="s">
        <v>40</v>
      </c>
      <c r="J82" t="s">
        <v>40</v>
      </c>
      <c r="K82" t="s">
        <v>71</v>
      </c>
      <c r="L82" t="str">
        <f>IF(TRIM(K82)="","Unknown",PROPER(TRIM(K82)))</f>
        <v>West</v>
      </c>
      <c r="M82" t="s">
        <v>230</v>
      </c>
      <c r="N82" t="s">
        <v>231</v>
      </c>
      <c r="O82" t="s">
        <v>29</v>
      </c>
      <c r="P82" t="str">
        <f>IF(TRIM(O82)="","Unknown",PROPER(TRIM(O82)))</f>
        <v>Office Supplies</v>
      </c>
      <c r="Q82" t="s">
        <v>184</v>
      </c>
      <c r="R82" t="s">
        <v>661</v>
      </c>
      <c r="S82" t="s">
        <v>65</v>
      </c>
      <c r="T82" t="str">
        <f>IF(TRIM(S82)="","Unknown",PROPER(TRIM(S82)))</f>
        <v>Standard Class</v>
      </c>
      <c r="U82">
        <v>7</v>
      </c>
      <c r="V82">
        <v>2741.29</v>
      </c>
      <c r="W82">
        <v>0.05</v>
      </c>
      <c r="Y82">
        <v>0.05</v>
      </c>
      <c r="Z82">
        <v>18229.580000000002</v>
      </c>
      <c r="AA82">
        <v>15139.15</v>
      </c>
      <c r="AB82">
        <v>3090.43</v>
      </c>
      <c r="AC82" t="s">
        <v>33</v>
      </c>
      <c r="AD82" t="s">
        <v>34</v>
      </c>
      <c r="AE82">
        <f>ROUND((U82*V82)-(U82*V82*Y82),2)</f>
        <v>18229.580000000002</v>
      </c>
      <c r="AF82">
        <f>AE82-AA82</f>
        <v>3090.4300000000021</v>
      </c>
      <c r="AG82" s="7">
        <f>ROUND((AF82/AE82),4)</f>
        <v>0.16950000000000001</v>
      </c>
      <c r="AH82" t="str">
        <f>IF(AND(C82&lt;&gt;"",E82&lt;&gt;""),E82 - C82,"")</f>
        <v/>
      </c>
      <c r="AI82" t="str">
        <f>IF(C82="","",TEXT(C82, "mmmm"))</f>
        <v>July</v>
      </c>
      <c r="AJ82">
        <f>IF(C82="","",YEAR(C82))</f>
        <v>2024</v>
      </c>
      <c r="AM82" t="s">
        <v>4144</v>
      </c>
      <c r="AN82" t="s">
        <v>4136</v>
      </c>
    </row>
    <row r="83" spans="1:40">
      <c r="A83" t="s">
        <v>662</v>
      </c>
      <c r="B83" t="s">
        <v>3682</v>
      </c>
      <c r="C83" s="6">
        <v>45318</v>
      </c>
      <c r="D83" t="s">
        <v>663</v>
      </c>
      <c r="E83" s="6">
        <v>45324</v>
      </c>
      <c r="F83" t="s">
        <v>664</v>
      </c>
      <c r="G83" t="s">
        <v>59</v>
      </c>
      <c r="H83" t="s">
        <v>59</v>
      </c>
      <c r="I83" t="s">
        <v>25</v>
      </c>
      <c r="J83" t="s">
        <v>25</v>
      </c>
      <c r="K83" t="s">
        <v>71</v>
      </c>
      <c r="L83" t="str">
        <f>IF(TRIM(K83)="","Unknown",PROPER(TRIM(K83)))</f>
        <v>West</v>
      </c>
      <c r="M83" t="s">
        <v>218</v>
      </c>
      <c r="N83" t="s">
        <v>219</v>
      </c>
      <c r="O83" t="s">
        <v>29</v>
      </c>
      <c r="P83" t="str">
        <f>IF(TRIM(O83)="","Unknown",PROPER(TRIM(O83)))</f>
        <v>Office Supplies</v>
      </c>
      <c r="Q83" t="s">
        <v>105</v>
      </c>
      <c r="R83" t="s">
        <v>665</v>
      </c>
      <c r="S83" t="s">
        <v>47</v>
      </c>
      <c r="T83" t="str">
        <f>IF(TRIM(S83)="","Unknown",PROPER(TRIM(S83)))</f>
        <v>Same Day</v>
      </c>
      <c r="U83">
        <v>5</v>
      </c>
      <c r="V83">
        <v>218.42</v>
      </c>
      <c r="W83">
        <v>0.2</v>
      </c>
      <c r="Y83">
        <v>0.2</v>
      </c>
      <c r="Z83">
        <v>873.68</v>
      </c>
      <c r="AA83">
        <v>661.72</v>
      </c>
      <c r="AB83">
        <v>211.96</v>
      </c>
      <c r="AC83" t="s">
        <v>131</v>
      </c>
      <c r="AD83" t="s">
        <v>76</v>
      </c>
      <c r="AE83">
        <f>ROUND((U83*V83)-(U83*V83*Y83),2)</f>
        <v>873.68</v>
      </c>
      <c r="AF83">
        <f>AE83-AA83</f>
        <v>211.95999999999992</v>
      </c>
      <c r="AG83" s="7">
        <f>ROUND((AF83/AE83),4)</f>
        <v>0.24260000000000001</v>
      </c>
      <c r="AH83">
        <f>IF(AND(C83&lt;&gt;"",E83&lt;&gt;""),E83 - C83,"")</f>
        <v>6</v>
      </c>
      <c r="AI83" t="str">
        <f>IF(C83="","",TEXT(C83, "mmmm"))</f>
        <v>January</v>
      </c>
      <c r="AJ83">
        <f>IF(C83="","",YEAR(C83))</f>
        <v>2024</v>
      </c>
      <c r="AM83" t="str">
        <f>IF(AN83="","clean","")</f>
        <v>clean</v>
      </c>
      <c r="AN83" t="s">
        <v>3595</v>
      </c>
    </row>
    <row r="84" spans="1:40">
      <c r="A84" t="s">
        <v>671</v>
      </c>
      <c r="B84" t="s">
        <v>672</v>
      </c>
      <c r="C84" s="6">
        <v>45600</v>
      </c>
      <c r="D84" t="s">
        <v>672</v>
      </c>
      <c r="E84" s="6">
        <v>45600</v>
      </c>
      <c r="F84" t="s">
        <v>673</v>
      </c>
      <c r="G84" t="s">
        <v>334</v>
      </c>
      <c r="H84" t="s">
        <v>334</v>
      </c>
      <c r="I84" t="s">
        <v>104</v>
      </c>
      <c r="J84" t="s">
        <v>104</v>
      </c>
      <c r="K84" t="s">
        <v>41</v>
      </c>
      <c r="L84" t="str">
        <f>IF(TRIM(K84)="","Unknown",PROPER(TRIM(K84)))</f>
        <v>East</v>
      </c>
      <c r="M84" t="s">
        <v>201</v>
      </c>
      <c r="N84" t="s">
        <v>202</v>
      </c>
      <c r="O84" t="s">
        <v>83</v>
      </c>
      <c r="P84" t="str">
        <f>IF(TRIM(O84)="","Unknown",PROPER(TRIM(O84)))</f>
        <v>Technology</v>
      </c>
      <c r="Q84" t="s">
        <v>347</v>
      </c>
      <c r="R84" t="s">
        <v>674</v>
      </c>
      <c r="S84" t="s">
        <v>55</v>
      </c>
      <c r="T84" t="str">
        <f>IF(TRIM(S84)="","Unknown",PROPER(TRIM(S84)))</f>
        <v>First Class</v>
      </c>
      <c r="U84">
        <v>2</v>
      </c>
      <c r="V84">
        <v>533.08000000000004</v>
      </c>
      <c r="W84">
        <v>0</v>
      </c>
      <c r="Y84">
        <v>0</v>
      </c>
      <c r="Z84">
        <v>1066.1600000000001</v>
      </c>
      <c r="AA84">
        <v>656.3</v>
      </c>
      <c r="AB84">
        <v>409.86</v>
      </c>
      <c r="AC84" t="s">
        <v>186</v>
      </c>
      <c r="AD84" t="s">
        <v>76</v>
      </c>
      <c r="AE84">
        <f>ROUND((U84*V84)-(U84*V84*Y84),2)</f>
        <v>1066.1600000000001</v>
      </c>
      <c r="AF84">
        <f>AE84-AA84</f>
        <v>409.86000000000013</v>
      </c>
      <c r="AG84" s="7">
        <f>ROUND((AF84/AE84),4)</f>
        <v>0.38440000000000002</v>
      </c>
      <c r="AH84">
        <f>IF(AND(C84&lt;&gt;"",E84&lt;&gt;""),E84 - C84,"")</f>
        <v>0</v>
      </c>
      <c r="AI84" t="str">
        <f>IF(C84="","",TEXT(C84, "mmmm"))</f>
        <v>November</v>
      </c>
      <c r="AJ84">
        <f>IF(C84="","",YEAR(C84))</f>
        <v>2024</v>
      </c>
      <c r="AM84" t="str">
        <f>IF(AN84="","clean","")</f>
        <v>clean</v>
      </c>
      <c r="AN84" t="s">
        <v>3595</v>
      </c>
    </row>
    <row r="85" spans="1:40">
      <c r="A85" t="s">
        <v>675</v>
      </c>
      <c r="B85" t="s">
        <v>3683</v>
      </c>
      <c r="C85" s="6">
        <v>45639</v>
      </c>
      <c r="D85" t="s">
        <v>676</v>
      </c>
      <c r="E85" s="6">
        <v>45644</v>
      </c>
      <c r="F85" t="s">
        <v>677</v>
      </c>
      <c r="G85" t="s">
        <v>24</v>
      </c>
      <c r="H85" t="s">
        <v>24</v>
      </c>
      <c r="I85" t="s">
        <v>25</v>
      </c>
      <c r="J85" t="s">
        <v>25</v>
      </c>
      <c r="K85" t="s">
        <v>71</v>
      </c>
      <c r="L85" t="str">
        <f>IF(TRIM(K85)="","Unknown",PROPER(TRIM(K85)))</f>
        <v>West</v>
      </c>
      <c r="M85" t="s">
        <v>230</v>
      </c>
      <c r="N85" t="s">
        <v>231</v>
      </c>
      <c r="O85" t="s">
        <v>83</v>
      </c>
      <c r="P85" t="str">
        <f>IF(TRIM(O85)="","Unknown",PROPER(TRIM(O85)))</f>
        <v>Technology</v>
      </c>
      <c r="Q85" t="s">
        <v>207</v>
      </c>
      <c r="R85" t="s">
        <v>678</v>
      </c>
      <c r="S85" t="s">
        <v>32</v>
      </c>
      <c r="T85" t="str">
        <f>IF(TRIM(S85)="","Unknown",PROPER(TRIM(S85)))</f>
        <v>Second Class</v>
      </c>
      <c r="U85">
        <v>8</v>
      </c>
      <c r="V85">
        <v>3372.15</v>
      </c>
      <c r="W85">
        <v>0.15</v>
      </c>
      <c r="Y85">
        <v>0.15</v>
      </c>
      <c r="Z85">
        <v>22930.62</v>
      </c>
      <c r="AA85">
        <v>16875.55</v>
      </c>
      <c r="AB85">
        <v>6055.07</v>
      </c>
      <c r="AC85" t="s">
        <v>33</v>
      </c>
      <c r="AD85" t="s">
        <v>34</v>
      </c>
      <c r="AE85">
        <f>ROUND((U85*V85)-(U85*V85*Y85),2)</f>
        <v>22930.62</v>
      </c>
      <c r="AF85">
        <f>AE85-AA85</f>
        <v>6055.07</v>
      </c>
      <c r="AG85" s="7">
        <f>ROUND((AF85/AE85),4)</f>
        <v>0.2641</v>
      </c>
      <c r="AH85">
        <f>IF(AND(C85&lt;&gt;"",E85&lt;&gt;""),E85 - C85,"")</f>
        <v>5</v>
      </c>
      <c r="AI85" t="str">
        <f>IF(C85="","",TEXT(C85, "mmmm"))</f>
        <v>December</v>
      </c>
      <c r="AJ85">
        <f>IF(C85="","",YEAR(C85))</f>
        <v>2024</v>
      </c>
      <c r="AM85" t="str">
        <f>IF(AN85="","clean","")</f>
        <v>clean</v>
      </c>
      <c r="AN85" t="s">
        <v>3595</v>
      </c>
    </row>
    <row r="86" spans="1:40">
      <c r="A86" t="s">
        <v>675</v>
      </c>
      <c r="B86" t="s">
        <v>3683</v>
      </c>
      <c r="C86" s="6">
        <v>45639</v>
      </c>
      <c r="D86" t="s">
        <v>676</v>
      </c>
      <c r="E86" s="6">
        <v>45644</v>
      </c>
      <c r="F86" t="s">
        <v>677</v>
      </c>
      <c r="G86" t="s">
        <v>24</v>
      </c>
      <c r="H86" t="s">
        <v>24</v>
      </c>
      <c r="I86" t="s">
        <v>25</v>
      </c>
      <c r="J86" t="s">
        <v>25</v>
      </c>
      <c r="K86" t="s">
        <v>71</v>
      </c>
      <c r="L86" t="str">
        <f>IF(TRIM(K86)="","Unknown",PROPER(TRIM(K86)))</f>
        <v>West</v>
      </c>
      <c r="M86" t="s">
        <v>230</v>
      </c>
      <c r="N86" t="s">
        <v>231</v>
      </c>
      <c r="O86" t="s">
        <v>83</v>
      </c>
      <c r="P86" t="str">
        <f>IF(TRIM(O86)="","Unknown",PROPER(TRIM(O86)))</f>
        <v>Technology</v>
      </c>
      <c r="Q86" t="s">
        <v>207</v>
      </c>
      <c r="R86" t="s">
        <v>678</v>
      </c>
      <c r="S86" t="s">
        <v>32</v>
      </c>
      <c r="T86" t="str">
        <f>IF(TRIM(S86)="","Unknown",PROPER(TRIM(S86)))</f>
        <v>Second Class</v>
      </c>
      <c r="U86">
        <v>8</v>
      </c>
      <c r="V86">
        <v>3372.15</v>
      </c>
      <c r="W86">
        <v>0.15</v>
      </c>
      <c r="Y86">
        <v>0.15</v>
      </c>
      <c r="Z86">
        <v>22930.62</v>
      </c>
      <c r="AA86">
        <v>16875.55</v>
      </c>
      <c r="AB86">
        <v>6055.07</v>
      </c>
      <c r="AC86" t="s">
        <v>33</v>
      </c>
      <c r="AD86" t="s">
        <v>34</v>
      </c>
      <c r="AE86">
        <f>ROUND((U86*V86)-(U86*V86*Y86),2)</f>
        <v>22930.62</v>
      </c>
      <c r="AF86">
        <f>AE86-AA86</f>
        <v>6055.07</v>
      </c>
      <c r="AG86" s="7">
        <f>ROUND((AF86/AE86),4)</f>
        <v>0.2641</v>
      </c>
      <c r="AH86">
        <f>IF(AND(C86&lt;&gt;"",E86&lt;&gt;""),E86 - C86,"")</f>
        <v>5</v>
      </c>
      <c r="AI86" t="str">
        <f>IF(C86="","",TEXT(C86, "mmmm"))</f>
        <v>December</v>
      </c>
      <c r="AJ86">
        <f>IF(C86="","",YEAR(C86))</f>
        <v>2024</v>
      </c>
      <c r="AL86" t="s">
        <v>4152</v>
      </c>
      <c r="AM86" t="s">
        <v>4144</v>
      </c>
      <c r="AN86" t="s">
        <v>4149</v>
      </c>
    </row>
    <row r="87" spans="1:40">
      <c r="A87" t="s">
        <v>696</v>
      </c>
      <c r="B87" t="s">
        <v>3687</v>
      </c>
      <c r="C87" s="6">
        <v>45311</v>
      </c>
      <c r="D87" t="s">
        <v>697</v>
      </c>
      <c r="F87" t="s">
        <v>698</v>
      </c>
      <c r="G87" t="s">
        <v>196</v>
      </c>
      <c r="H87" t="s">
        <v>196</v>
      </c>
      <c r="I87" t="s">
        <v>110</v>
      </c>
      <c r="J87" t="s">
        <v>110</v>
      </c>
      <c r="K87" t="s">
        <v>41</v>
      </c>
      <c r="L87" t="str">
        <f>IF(TRIM(K87)="","Unknown",PROPER(TRIM(K87)))</f>
        <v>East</v>
      </c>
      <c r="M87" t="s">
        <v>284</v>
      </c>
      <c r="N87" t="s">
        <v>285</v>
      </c>
      <c r="O87" t="s">
        <v>83</v>
      </c>
      <c r="P87" t="str">
        <f>IF(TRIM(O87)="","Unknown",PROPER(TRIM(O87)))</f>
        <v>Technology</v>
      </c>
      <c r="Q87" t="s">
        <v>347</v>
      </c>
      <c r="R87" t="s">
        <v>699</v>
      </c>
      <c r="S87" t="s">
        <v>65</v>
      </c>
      <c r="T87" t="str">
        <f>IF(TRIM(S87)="","Unknown",PROPER(TRIM(S87)))</f>
        <v>Standard Class</v>
      </c>
      <c r="U87">
        <v>8</v>
      </c>
      <c r="V87">
        <v>4003.05</v>
      </c>
      <c r="W87">
        <v>0.25</v>
      </c>
      <c r="Y87">
        <v>0.25</v>
      </c>
      <c r="Z87">
        <v>24018.3</v>
      </c>
      <c r="AA87">
        <v>14070.78</v>
      </c>
      <c r="AB87">
        <v>9947.52</v>
      </c>
      <c r="AC87" t="s">
        <v>33</v>
      </c>
      <c r="AD87" t="s">
        <v>34</v>
      </c>
      <c r="AE87">
        <f>ROUND((U87*V87)-(U87*V87*Y87),2)</f>
        <v>24018.3</v>
      </c>
      <c r="AF87">
        <f>AE87-AA87</f>
        <v>9947.5199999999986</v>
      </c>
      <c r="AG87" s="7">
        <f>ROUND((AF87/AE87),4)</f>
        <v>0.41420000000000001</v>
      </c>
      <c r="AH87" t="str">
        <f>IF(AND(C87&lt;&gt;"",E87&lt;&gt;""),E87 - C87,"")</f>
        <v/>
      </c>
      <c r="AI87" t="str">
        <f>IF(C87="","",TEXT(C87, "mmmm"))</f>
        <v>January</v>
      </c>
      <c r="AJ87">
        <f>IF(C87="","",YEAR(C87))</f>
        <v>2024</v>
      </c>
      <c r="AM87" t="s">
        <v>4144</v>
      </c>
      <c r="AN87" t="s">
        <v>4136</v>
      </c>
    </row>
    <row r="88" spans="1:40">
      <c r="A88" t="s">
        <v>704</v>
      </c>
      <c r="B88" t="s">
        <v>3689</v>
      </c>
      <c r="D88" t="s">
        <v>705</v>
      </c>
      <c r="E88" s="6">
        <v>45444</v>
      </c>
      <c r="F88" t="s">
        <v>706</v>
      </c>
      <c r="G88" t="s">
        <v>39</v>
      </c>
      <c r="H88" t="s">
        <v>39</v>
      </c>
      <c r="I88" t="s">
        <v>104</v>
      </c>
      <c r="J88" t="s">
        <v>104</v>
      </c>
      <c r="K88" t="s">
        <v>60</v>
      </c>
      <c r="L88" t="str">
        <f>IF(TRIM(K88)="","Unknown",PROPER(TRIM(K88)))</f>
        <v>South</v>
      </c>
      <c r="M88" t="s">
        <v>212</v>
      </c>
      <c r="N88" t="s">
        <v>213</v>
      </c>
      <c r="O88" t="s">
        <v>44</v>
      </c>
      <c r="P88" t="str">
        <f>IF(TRIM(O88)="","Unknown",PROPER(TRIM(O88)))</f>
        <v>Furniture</v>
      </c>
      <c r="Q88" t="s">
        <v>190</v>
      </c>
      <c r="R88" t="s">
        <v>707</v>
      </c>
      <c r="S88" t="s">
        <v>47</v>
      </c>
      <c r="T88" t="str">
        <f>IF(TRIM(S88)="","Unknown",PROPER(TRIM(S88)))</f>
        <v>Same Day</v>
      </c>
      <c r="U88">
        <v>3</v>
      </c>
      <c r="V88">
        <v>2914.55</v>
      </c>
      <c r="W88">
        <v>0</v>
      </c>
      <c r="Y88">
        <v>0</v>
      </c>
      <c r="Z88">
        <v>8743.65</v>
      </c>
      <c r="AA88">
        <v>6603.76</v>
      </c>
      <c r="AB88">
        <v>2139.89</v>
      </c>
      <c r="AC88" t="s">
        <v>33</v>
      </c>
      <c r="AD88" t="s">
        <v>34</v>
      </c>
      <c r="AE88">
        <f>ROUND((U88*V88)-(U88*V88*Y88),2)</f>
        <v>8743.65</v>
      </c>
      <c r="AF88">
        <f>AE88-AA88</f>
        <v>2139.8899999999994</v>
      </c>
      <c r="AG88" s="7">
        <f>ROUND((AF88/AE88),4)</f>
        <v>0.2447</v>
      </c>
      <c r="AH88" t="str">
        <f>IF(AND(C88&lt;&gt;"",E88&lt;&gt;""),E88 - C88,"")</f>
        <v/>
      </c>
      <c r="AI88" t="str">
        <f>IF(C88="","",TEXT(C88, "mmmm"))</f>
        <v/>
      </c>
      <c r="AJ88" t="str">
        <f>IF(C88="","",YEAR(C88))</f>
        <v/>
      </c>
      <c r="AM88" t="s">
        <v>4144</v>
      </c>
      <c r="AN88" t="s">
        <v>4127</v>
      </c>
    </row>
    <row r="89" spans="1:40">
      <c r="A89" t="s">
        <v>708</v>
      </c>
      <c r="B89" t="s">
        <v>3690</v>
      </c>
      <c r="C89" s="6">
        <v>45374</v>
      </c>
      <c r="D89" t="s">
        <v>709</v>
      </c>
      <c r="E89" s="6">
        <v>45380</v>
      </c>
      <c r="F89" t="s">
        <v>710</v>
      </c>
      <c r="G89" t="s">
        <v>136</v>
      </c>
      <c r="H89" t="s">
        <v>136</v>
      </c>
      <c r="I89" t="s">
        <v>104</v>
      </c>
      <c r="J89" t="s">
        <v>104</v>
      </c>
      <c r="K89" t="s">
        <v>26</v>
      </c>
      <c r="L89" t="str">
        <f>IF(TRIM(K89)="","Unknown",PROPER(TRIM(K89)))</f>
        <v>North</v>
      </c>
      <c r="M89" t="s">
        <v>454</v>
      </c>
      <c r="N89" t="s">
        <v>455</v>
      </c>
      <c r="O89" t="s">
        <v>44</v>
      </c>
      <c r="P89" t="str">
        <f>IF(TRIM(O89)="","Unknown",PROPER(TRIM(O89)))</f>
        <v>Furniture</v>
      </c>
      <c r="Q89" t="s">
        <v>190</v>
      </c>
      <c r="R89" t="s">
        <v>711</v>
      </c>
      <c r="S89" t="s">
        <v>47</v>
      </c>
      <c r="T89" t="str">
        <f>IF(TRIM(S89)="","Unknown",PROPER(TRIM(S89)))</f>
        <v>Same Day</v>
      </c>
      <c r="U89">
        <v>7</v>
      </c>
      <c r="V89">
        <v>634.29</v>
      </c>
      <c r="W89">
        <v>0.1</v>
      </c>
      <c r="Y89">
        <v>0.1</v>
      </c>
      <c r="Z89">
        <v>3996.03</v>
      </c>
      <c r="AA89">
        <v>2859.51</v>
      </c>
      <c r="AB89">
        <v>1136.52</v>
      </c>
      <c r="AC89" t="s">
        <v>33</v>
      </c>
      <c r="AD89" t="s">
        <v>120</v>
      </c>
      <c r="AE89">
        <f>ROUND((U89*V89)-(U89*V89*Y89),2)</f>
        <v>3996.03</v>
      </c>
      <c r="AF89">
        <f>AE89-AA89</f>
        <v>1136.52</v>
      </c>
      <c r="AG89" s="7">
        <f>ROUND((AF89/AE89),4)</f>
        <v>0.28439999999999999</v>
      </c>
      <c r="AH89">
        <f>IF(AND(C89&lt;&gt;"",E89&lt;&gt;""),E89 - C89,"")</f>
        <v>6</v>
      </c>
      <c r="AI89" t="str">
        <f>IF(C89="","",TEXT(C89, "mmmm"))</f>
        <v>March</v>
      </c>
      <c r="AJ89">
        <f>IF(C89="","",YEAR(C89))</f>
        <v>2024</v>
      </c>
      <c r="AM89" t="str">
        <f>IF(AN89="","clean","")</f>
        <v>clean</v>
      </c>
      <c r="AN89" t="s">
        <v>3595</v>
      </c>
    </row>
    <row r="90" spans="1:40">
      <c r="A90" t="s">
        <v>712</v>
      </c>
      <c r="B90" t="s">
        <v>3691</v>
      </c>
      <c r="C90" s="6">
        <v>45381</v>
      </c>
      <c r="D90" t="s">
        <v>713</v>
      </c>
      <c r="E90" s="6">
        <v>45377</v>
      </c>
      <c r="F90" t="s">
        <v>714</v>
      </c>
      <c r="G90" t="s">
        <v>103</v>
      </c>
      <c r="H90" t="s">
        <v>103</v>
      </c>
      <c r="I90" t="s">
        <v>110</v>
      </c>
      <c r="J90" t="s">
        <v>110</v>
      </c>
      <c r="K90" t="s">
        <v>26</v>
      </c>
      <c r="L90" t="str">
        <f>IF(TRIM(K90)="","Unknown",PROPER(TRIM(K90)))</f>
        <v>North</v>
      </c>
      <c r="M90" t="s">
        <v>27</v>
      </c>
      <c r="N90" t="s">
        <v>28</v>
      </c>
      <c r="O90" t="s">
        <v>83</v>
      </c>
      <c r="P90" t="str">
        <f>IF(TRIM(O90)="","Unknown",PROPER(TRIM(O90)))</f>
        <v>Technology</v>
      </c>
      <c r="Q90" t="s">
        <v>207</v>
      </c>
      <c r="R90" t="s">
        <v>715</v>
      </c>
      <c r="S90" t="s">
        <v>32</v>
      </c>
      <c r="T90" t="str">
        <f>IF(TRIM(S90)="","Unknown",PROPER(TRIM(S90)))</f>
        <v>Second Class</v>
      </c>
      <c r="U90">
        <v>5</v>
      </c>
      <c r="V90">
        <v>907.54</v>
      </c>
      <c r="W90">
        <v>0.15</v>
      </c>
      <c r="Y90">
        <v>0.15</v>
      </c>
      <c r="Z90">
        <v>3857.04</v>
      </c>
      <c r="AA90">
        <v>2769.26</v>
      </c>
      <c r="AB90">
        <v>1087.78</v>
      </c>
      <c r="AC90" t="s">
        <v>33</v>
      </c>
      <c r="AD90" t="s">
        <v>34</v>
      </c>
      <c r="AE90">
        <f>ROUND((U90*V90)-(U90*V90*Y90),2)</f>
        <v>3857.05</v>
      </c>
      <c r="AF90">
        <f>AE90-AA90</f>
        <v>1087.79</v>
      </c>
      <c r="AG90" s="7">
        <f>ROUND((AF90/AE90),4)</f>
        <v>0.28199999999999997</v>
      </c>
      <c r="AH90">
        <f>IF(AND(C90&lt;&gt;"",E90&lt;&gt;""),E90 - C90,"")</f>
        <v>-4</v>
      </c>
      <c r="AI90" t="str">
        <f>IF(C90="","",TEXT(C90, "mmmm"))</f>
        <v>March</v>
      </c>
      <c r="AJ90">
        <f>IF(C90="","",YEAR(C90))</f>
        <v>2024</v>
      </c>
      <c r="AM90" t="s">
        <v>4145</v>
      </c>
      <c r="AN90" t="s">
        <v>4140</v>
      </c>
    </row>
    <row r="91" spans="1:40">
      <c r="A91" t="s">
        <v>712</v>
      </c>
      <c r="B91" t="s">
        <v>3691</v>
      </c>
      <c r="C91" s="6">
        <v>45381</v>
      </c>
      <c r="D91" t="s">
        <v>713</v>
      </c>
      <c r="E91" s="6">
        <v>45377</v>
      </c>
      <c r="F91" t="s">
        <v>714</v>
      </c>
      <c r="G91" t="s">
        <v>103</v>
      </c>
      <c r="H91" t="s">
        <v>103</v>
      </c>
      <c r="I91" t="s">
        <v>110</v>
      </c>
      <c r="J91" t="s">
        <v>110</v>
      </c>
      <c r="K91" t="s">
        <v>26</v>
      </c>
      <c r="L91" t="str">
        <f>IF(TRIM(K91)="","Unknown",PROPER(TRIM(K91)))</f>
        <v>North</v>
      </c>
      <c r="M91" t="s">
        <v>27</v>
      </c>
      <c r="N91" t="s">
        <v>28</v>
      </c>
      <c r="O91" t="s">
        <v>83</v>
      </c>
      <c r="P91" t="str">
        <f>IF(TRIM(O91)="","Unknown",PROPER(TRIM(O91)))</f>
        <v>Technology</v>
      </c>
      <c r="Q91" t="s">
        <v>207</v>
      </c>
      <c r="R91" t="s">
        <v>715</v>
      </c>
      <c r="S91" t="s">
        <v>32</v>
      </c>
      <c r="T91" t="str">
        <f>IF(TRIM(S91)="","Unknown",PROPER(TRIM(S91)))</f>
        <v>Second Class</v>
      </c>
      <c r="U91">
        <v>5</v>
      </c>
      <c r="V91">
        <v>907.54</v>
      </c>
      <c r="W91">
        <v>0.15</v>
      </c>
      <c r="Y91">
        <v>0.1</v>
      </c>
      <c r="Z91">
        <v>4099.6899999999996</v>
      </c>
      <c r="AA91">
        <v>2769.26</v>
      </c>
      <c r="AB91">
        <v>1087.78</v>
      </c>
      <c r="AC91" t="s">
        <v>33</v>
      </c>
      <c r="AD91" t="s">
        <v>120</v>
      </c>
      <c r="AE91">
        <f>ROUND((U91*V91)-(U91*V91*Y91),2)</f>
        <v>4083.93</v>
      </c>
      <c r="AF91">
        <f>AE91-AA91</f>
        <v>1314.6699999999996</v>
      </c>
      <c r="AG91" s="7">
        <f>ROUND((AF91/AE91),4)</f>
        <v>0.32190000000000002</v>
      </c>
      <c r="AH91">
        <f>IF(AND(C91&lt;&gt;"",E91&lt;&gt;""),E91 - C91,"")</f>
        <v>-4</v>
      </c>
      <c r="AI91" t="str">
        <f>IF(C91="","",TEXT(C91, "mmmm"))</f>
        <v>March</v>
      </c>
      <c r="AJ91">
        <f>IF(C91="","",YEAR(C91))</f>
        <v>2024</v>
      </c>
      <c r="AK91" t="s">
        <v>4152</v>
      </c>
      <c r="AM91" t="s">
        <v>4145</v>
      </c>
      <c r="AN91" t="s">
        <v>4156</v>
      </c>
    </row>
    <row r="92" spans="1:40">
      <c r="A92" t="s">
        <v>716</v>
      </c>
      <c r="B92" t="s">
        <v>3657</v>
      </c>
      <c r="C92" s="6">
        <v>45375</v>
      </c>
      <c r="D92" t="s">
        <v>717</v>
      </c>
      <c r="E92" s="6">
        <v>45377</v>
      </c>
      <c r="F92" t="s">
        <v>718</v>
      </c>
      <c r="G92" t="s">
        <v>136</v>
      </c>
      <c r="H92" t="s">
        <v>136</v>
      </c>
      <c r="I92" t="s">
        <v>25</v>
      </c>
      <c r="J92" t="s">
        <v>25</v>
      </c>
      <c r="K92" t="s">
        <v>71</v>
      </c>
      <c r="L92" t="str">
        <f>IF(TRIM(K92)="","Unknown",PROPER(TRIM(K92)))</f>
        <v>West</v>
      </c>
      <c r="M92" t="s">
        <v>218</v>
      </c>
      <c r="N92" t="s">
        <v>219</v>
      </c>
      <c r="O92" t="s">
        <v>29</v>
      </c>
      <c r="P92" t="str">
        <f>IF(TRIM(O92)="","Unknown",PROPER(TRIM(O92)))</f>
        <v>Office Supplies</v>
      </c>
      <c r="Q92" t="s">
        <v>30</v>
      </c>
      <c r="R92" t="s">
        <v>719</v>
      </c>
      <c r="S92" t="s">
        <v>32</v>
      </c>
      <c r="T92" t="str">
        <f>IF(TRIM(S92)="","Unknown",PROPER(TRIM(S92)))</f>
        <v>Second Class</v>
      </c>
      <c r="U92">
        <v>1</v>
      </c>
      <c r="V92">
        <v>3409.5</v>
      </c>
      <c r="W92">
        <v>0.1</v>
      </c>
      <c r="Y92">
        <v>0.1</v>
      </c>
      <c r="Z92">
        <v>3068.55</v>
      </c>
      <c r="AA92">
        <v>1916.16</v>
      </c>
      <c r="AB92">
        <v>1152.3900000000001</v>
      </c>
      <c r="AC92" t="s">
        <v>33</v>
      </c>
      <c r="AD92" t="s">
        <v>120</v>
      </c>
      <c r="AE92">
        <f>ROUND((U92*V92)-(U92*V92*Y92),2)</f>
        <v>3068.55</v>
      </c>
      <c r="AF92">
        <f>AE92-AA92</f>
        <v>1152.3900000000001</v>
      </c>
      <c r="AG92" s="7">
        <f>ROUND((AF92/AE92),4)</f>
        <v>0.3755</v>
      </c>
      <c r="AH92">
        <f>IF(AND(C92&lt;&gt;"",E92&lt;&gt;""),E92 - C92,"")</f>
        <v>2</v>
      </c>
      <c r="AI92" t="str">
        <f>IF(C92="","",TEXT(C92, "mmmm"))</f>
        <v>March</v>
      </c>
      <c r="AJ92">
        <f>IF(C92="","",YEAR(C92))</f>
        <v>2024</v>
      </c>
      <c r="AM92" t="str">
        <f>IF(AN92="","clean","")</f>
        <v>clean</v>
      </c>
      <c r="AN92" t="s">
        <v>3595</v>
      </c>
    </row>
    <row r="93" spans="1:40">
      <c r="A93" t="s">
        <v>720</v>
      </c>
      <c r="B93" t="s">
        <v>520</v>
      </c>
      <c r="C93" s="6">
        <v>45450</v>
      </c>
      <c r="D93" t="s">
        <v>721</v>
      </c>
      <c r="E93" s="6">
        <v>45458</v>
      </c>
      <c r="F93" t="s">
        <v>722</v>
      </c>
      <c r="G93" t="s">
        <v>334</v>
      </c>
      <c r="H93" t="s">
        <v>334</v>
      </c>
      <c r="I93" t="s">
        <v>40</v>
      </c>
      <c r="J93" t="s">
        <v>40</v>
      </c>
      <c r="K93" t="s">
        <v>60</v>
      </c>
      <c r="L93" t="str">
        <f>IF(TRIM(K93)="","Unknown",PROPER(TRIM(K93)))</f>
        <v>South</v>
      </c>
      <c r="M93" t="s">
        <v>61</v>
      </c>
      <c r="N93" t="s">
        <v>62</v>
      </c>
      <c r="O93" t="s">
        <v>83</v>
      </c>
      <c r="P93" t="str">
        <f>IF(TRIM(O93)="","Unknown",PROPER(TRIM(O93)))</f>
        <v>Technology</v>
      </c>
      <c r="Q93" t="s">
        <v>84</v>
      </c>
      <c r="R93" t="s">
        <v>723</v>
      </c>
      <c r="S93" t="s">
        <v>55</v>
      </c>
      <c r="T93" t="str">
        <f>IF(TRIM(S93)="","Unknown",PROPER(TRIM(S93)))</f>
        <v>First Class</v>
      </c>
      <c r="U93">
        <v>7</v>
      </c>
      <c r="V93">
        <v>2147.9899999999998</v>
      </c>
      <c r="W93">
        <v>0.25</v>
      </c>
      <c r="Y93">
        <v>0.25</v>
      </c>
      <c r="Z93">
        <v>11276.95</v>
      </c>
      <c r="AA93">
        <v>6908.76</v>
      </c>
      <c r="AB93">
        <v>4368.1899999999996</v>
      </c>
      <c r="AC93" t="s">
        <v>119</v>
      </c>
      <c r="AD93" t="s">
        <v>120</v>
      </c>
      <c r="AE93">
        <f>ROUND((U93*V93)-(U93*V93*Y93),2)</f>
        <v>11276.95</v>
      </c>
      <c r="AF93">
        <f>AE93-AA93</f>
        <v>4368.1900000000005</v>
      </c>
      <c r="AG93" s="7">
        <f>ROUND((AF93/AE93),4)</f>
        <v>0.38740000000000002</v>
      </c>
      <c r="AH93">
        <f>IF(AND(C93&lt;&gt;"",E93&lt;&gt;""),E93 - C93,"")</f>
        <v>8</v>
      </c>
      <c r="AI93" t="str">
        <f>IF(C93="","",TEXT(C93, "mmmm"))</f>
        <v>June</v>
      </c>
      <c r="AJ93">
        <f>IF(C93="","",YEAR(C93))</f>
        <v>2024</v>
      </c>
      <c r="AM93" t="str">
        <f>IF(AN93="","clean","")</f>
        <v>clean</v>
      </c>
      <c r="AN93" t="s">
        <v>3595</v>
      </c>
    </row>
    <row r="94" spans="1:40">
      <c r="A94" t="s">
        <v>732</v>
      </c>
      <c r="B94" t="s">
        <v>733</v>
      </c>
      <c r="D94" t="s">
        <v>734</v>
      </c>
      <c r="E94" s="6">
        <v>45656</v>
      </c>
      <c r="F94" t="s">
        <v>735</v>
      </c>
      <c r="G94" t="s">
        <v>136</v>
      </c>
      <c r="H94" t="s">
        <v>136</v>
      </c>
      <c r="I94" t="s">
        <v>110</v>
      </c>
      <c r="J94" t="s">
        <v>110</v>
      </c>
      <c r="K94" t="s">
        <v>71</v>
      </c>
      <c r="L94" t="str">
        <f>IF(TRIM(K94)="","Unknown",PROPER(TRIM(K94)))</f>
        <v>West</v>
      </c>
      <c r="M94" t="s">
        <v>230</v>
      </c>
      <c r="N94" t="s">
        <v>231</v>
      </c>
      <c r="O94" t="s">
        <v>44</v>
      </c>
      <c r="P94" t="str">
        <f>IF(TRIM(O94)="","Unknown",PROPER(TRIM(O94)))</f>
        <v>Furniture</v>
      </c>
      <c r="Q94" t="s">
        <v>63</v>
      </c>
      <c r="R94" t="s">
        <v>736</v>
      </c>
      <c r="S94" t="s">
        <v>55</v>
      </c>
      <c r="T94" t="str">
        <f>IF(TRIM(S94)="","Unknown",PROPER(TRIM(S94)))</f>
        <v>First Class</v>
      </c>
      <c r="U94">
        <v>8</v>
      </c>
      <c r="V94">
        <v>386.1</v>
      </c>
      <c r="W94">
        <v>0.1</v>
      </c>
      <c r="Y94">
        <v>0.1</v>
      </c>
      <c r="Z94">
        <v>2779.92</v>
      </c>
      <c r="AA94">
        <v>1744.05</v>
      </c>
      <c r="AB94">
        <v>1035.8699999999999</v>
      </c>
      <c r="AC94" t="s">
        <v>33</v>
      </c>
      <c r="AD94" t="s">
        <v>34</v>
      </c>
      <c r="AE94">
        <f>ROUND((U94*V94)-(U94*V94*Y94),2)</f>
        <v>2779.92</v>
      </c>
      <c r="AF94">
        <f>AE94-AA94</f>
        <v>1035.8700000000001</v>
      </c>
      <c r="AG94" s="7">
        <f>ROUND((AF94/AE94),4)</f>
        <v>0.37259999999999999</v>
      </c>
      <c r="AH94" t="str">
        <f>IF(AND(C94&lt;&gt;"",E94&lt;&gt;""),E94 - C94,"")</f>
        <v/>
      </c>
      <c r="AI94" t="str">
        <f>IF(C94="","",TEXT(C94, "mmmm"))</f>
        <v/>
      </c>
      <c r="AJ94" t="str">
        <f>IF(C94="","",YEAR(C94))</f>
        <v/>
      </c>
      <c r="AM94" t="s">
        <v>4144</v>
      </c>
      <c r="AN94" t="s">
        <v>4127</v>
      </c>
    </row>
    <row r="95" spans="1:40">
      <c r="A95" t="s">
        <v>741</v>
      </c>
      <c r="B95" t="s">
        <v>742</v>
      </c>
      <c r="D95" t="s">
        <v>742</v>
      </c>
      <c r="F95" t="s">
        <v>743</v>
      </c>
      <c r="G95" t="s">
        <v>153</v>
      </c>
      <c r="H95" t="s">
        <v>153</v>
      </c>
      <c r="I95" t="s">
        <v>40</v>
      </c>
      <c r="J95" t="s">
        <v>40</v>
      </c>
      <c r="K95" t="s">
        <v>744</v>
      </c>
      <c r="L95" t="str">
        <f>IF(TRIM(K95)="","Unknown",PROPER(TRIM(K95)))</f>
        <v>West</v>
      </c>
      <c r="M95" t="s">
        <v>27</v>
      </c>
      <c r="N95" t="s">
        <v>129</v>
      </c>
      <c r="O95" t="s">
        <v>83</v>
      </c>
      <c r="P95" t="str">
        <f>IF(TRIM(O95)="","Unknown",PROPER(TRIM(O95)))</f>
        <v>Technology</v>
      </c>
      <c r="Q95" t="s">
        <v>91</v>
      </c>
      <c r="R95" t="s">
        <v>745</v>
      </c>
      <c r="S95" t="s">
        <v>47</v>
      </c>
      <c r="T95" t="str">
        <f>IF(TRIM(S95)="","Unknown",PROPER(TRIM(S95)))</f>
        <v>Same Day</v>
      </c>
      <c r="U95">
        <v>7</v>
      </c>
      <c r="V95">
        <v>2527.61</v>
      </c>
      <c r="W95">
        <v>0.25</v>
      </c>
      <c r="Y95">
        <v>0.25</v>
      </c>
      <c r="Z95">
        <v>13269.95</v>
      </c>
      <c r="AA95">
        <v>8977.1</v>
      </c>
      <c r="AB95">
        <v>4292.8500000000004</v>
      </c>
      <c r="AC95" t="s">
        <v>33</v>
      </c>
      <c r="AD95" t="s">
        <v>34</v>
      </c>
      <c r="AE95">
        <f>ROUND((U95*V95)-(U95*V95*Y95),2)</f>
        <v>13269.95</v>
      </c>
      <c r="AF95">
        <f>AE95-AA95</f>
        <v>4292.8500000000004</v>
      </c>
      <c r="AG95" s="7">
        <f>ROUND((AF95/AE95),4)</f>
        <v>0.32350000000000001</v>
      </c>
      <c r="AH95" t="str">
        <f>IF(AND(C95&lt;&gt;"",E95&lt;&gt;""),E95 - C95,"")</f>
        <v/>
      </c>
      <c r="AI95" t="str">
        <f>IF(C95="","",TEXT(C95, "mmmm"))</f>
        <v/>
      </c>
      <c r="AJ95" t="str">
        <f>IF(C95="","",YEAR(C95))</f>
        <v/>
      </c>
      <c r="AM95" t="s">
        <v>4144</v>
      </c>
      <c r="AN95" t="s">
        <v>4123</v>
      </c>
    </row>
    <row r="96" spans="1:40">
      <c r="A96" t="s">
        <v>746</v>
      </c>
      <c r="B96" t="s">
        <v>3695</v>
      </c>
      <c r="C96" s="6">
        <v>45355</v>
      </c>
      <c r="D96" t="s">
        <v>747</v>
      </c>
      <c r="E96" s="6">
        <v>45363</v>
      </c>
      <c r="F96" t="s">
        <v>748</v>
      </c>
      <c r="G96" t="s">
        <v>59</v>
      </c>
      <c r="H96" t="s">
        <v>59</v>
      </c>
      <c r="I96" t="s">
        <v>25</v>
      </c>
      <c r="J96" t="s">
        <v>25</v>
      </c>
      <c r="L96" t="str">
        <f>IF(TRIM(K96)="","Unknown",PROPER(TRIM(K96)))</f>
        <v>Unknown</v>
      </c>
      <c r="M96" t="s">
        <v>218</v>
      </c>
      <c r="N96" t="s">
        <v>219</v>
      </c>
      <c r="O96" t="s">
        <v>44</v>
      </c>
      <c r="P96" t="str">
        <f>IF(TRIM(O96)="","Unknown",PROPER(TRIM(O96)))</f>
        <v>Furniture</v>
      </c>
      <c r="Q96" t="s">
        <v>190</v>
      </c>
      <c r="R96" t="s">
        <v>749</v>
      </c>
      <c r="S96" t="s">
        <v>55</v>
      </c>
      <c r="T96" t="str">
        <f>IF(TRIM(S96)="","Unknown",PROPER(TRIM(S96)))</f>
        <v>First Class</v>
      </c>
      <c r="U96">
        <v>1</v>
      </c>
      <c r="V96">
        <v>1554.12</v>
      </c>
      <c r="W96">
        <v>0.1</v>
      </c>
      <c r="Y96">
        <v>0.1</v>
      </c>
      <c r="Z96">
        <v>1398.71</v>
      </c>
      <c r="AA96">
        <v>1056.92</v>
      </c>
      <c r="AB96">
        <v>341.79</v>
      </c>
      <c r="AC96" t="s">
        <v>33</v>
      </c>
      <c r="AD96" t="s">
        <v>34</v>
      </c>
      <c r="AE96">
        <f>ROUND((U96*V96)-(U96*V96*Y96),2)</f>
        <v>1398.71</v>
      </c>
      <c r="AF96">
        <f>AE96-AA96</f>
        <v>341.78999999999996</v>
      </c>
      <c r="AG96" s="7">
        <f>ROUND((AF96/AE96),4)</f>
        <v>0.24440000000000001</v>
      </c>
      <c r="AH96">
        <f>IF(AND(C96&lt;&gt;"",E96&lt;&gt;""),E96 - C96,"")</f>
        <v>8</v>
      </c>
      <c r="AI96" t="str">
        <f>IF(C96="","",TEXT(C96, "mmmm"))</f>
        <v>March</v>
      </c>
      <c r="AJ96">
        <f>IF(C96="","",YEAR(C96))</f>
        <v>2024</v>
      </c>
      <c r="AM96" t="s">
        <v>4145</v>
      </c>
      <c r="AN96" t="s">
        <v>3597</v>
      </c>
    </row>
    <row r="97" spans="1:40">
      <c r="A97" t="s">
        <v>750</v>
      </c>
      <c r="B97" t="s">
        <v>3696</v>
      </c>
      <c r="C97" s="6">
        <v>45470</v>
      </c>
      <c r="D97" t="s">
        <v>751</v>
      </c>
      <c r="E97" s="6">
        <v>45470</v>
      </c>
      <c r="F97" t="s">
        <v>752</v>
      </c>
      <c r="G97" t="s">
        <v>90</v>
      </c>
      <c r="H97" t="s">
        <v>90</v>
      </c>
      <c r="I97" t="s">
        <v>110</v>
      </c>
      <c r="J97" t="s">
        <v>110</v>
      </c>
      <c r="L97" t="str">
        <f>IF(TRIM(K97)="","Unknown",PROPER(TRIM(K97)))</f>
        <v>Unknown</v>
      </c>
      <c r="M97" t="s">
        <v>81</v>
      </c>
      <c r="N97" t="s">
        <v>82</v>
      </c>
      <c r="O97" t="s">
        <v>83</v>
      </c>
      <c r="P97" t="str">
        <f>IF(TRIM(O97)="","Unknown",PROPER(TRIM(O97)))</f>
        <v>Technology</v>
      </c>
      <c r="Q97" t="s">
        <v>91</v>
      </c>
      <c r="R97" t="s">
        <v>753</v>
      </c>
      <c r="S97" t="s">
        <v>65</v>
      </c>
      <c r="T97" t="str">
        <f>IF(TRIM(S97)="","Unknown",PROPER(TRIM(S97)))</f>
        <v>Standard Class</v>
      </c>
      <c r="U97">
        <v>2</v>
      </c>
      <c r="V97">
        <v>3859.11</v>
      </c>
      <c r="W97">
        <v>0</v>
      </c>
      <c r="Y97">
        <v>0</v>
      </c>
      <c r="Z97">
        <v>7718.22</v>
      </c>
      <c r="AA97">
        <v>5355.93</v>
      </c>
      <c r="AB97">
        <v>2362.29</v>
      </c>
      <c r="AC97" t="s">
        <v>131</v>
      </c>
      <c r="AD97" t="s">
        <v>120</v>
      </c>
      <c r="AE97">
        <f>ROUND((U97*V97)-(U97*V97*Y97),2)</f>
        <v>7718.22</v>
      </c>
      <c r="AF97">
        <f>AE97-AA97</f>
        <v>2362.29</v>
      </c>
      <c r="AG97" s="7">
        <f>ROUND((AF97/AE97),4)</f>
        <v>0.30609999999999998</v>
      </c>
      <c r="AH97">
        <f>IF(AND(C97&lt;&gt;"",E97&lt;&gt;""),E97 - C97,"")</f>
        <v>0</v>
      </c>
      <c r="AI97" t="str">
        <f>IF(C97="","",TEXT(C97, "mmmm"))</f>
        <v>June</v>
      </c>
      <c r="AJ97">
        <f>IF(C97="","",YEAR(C97))</f>
        <v>2024</v>
      </c>
      <c r="AM97" t="s">
        <v>4145</v>
      </c>
      <c r="AN97" t="s">
        <v>3597</v>
      </c>
    </row>
    <row r="98" spans="1:40">
      <c r="A98" t="s">
        <v>754</v>
      </c>
      <c r="B98" t="s">
        <v>3697</v>
      </c>
      <c r="C98" s="6">
        <v>45457</v>
      </c>
      <c r="D98" t="s">
        <v>755</v>
      </c>
      <c r="E98" s="6">
        <v>45460</v>
      </c>
      <c r="F98" t="s">
        <v>756</v>
      </c>
      <c r="G98" t="s">
        <v>334</v>
      </c>
      <c r="H98" t="s">
        <v>334</v>
      </c>
      <c r="I98" t="s">
        <v>40</v>
      </c>
      <c r="J98" t="s">
        <v>40</v>
      </c>
      <c r="K98" t="s">
        <v>60</v>
      </c>
      <c r="L98" t="str">
        <f>IF(TRIM(K98)="","Unknown",PROPER(TRIM(K98)))</f>
        <v>South</v>
      </c>
      <c r="M98" t="s">
        <v>224</v>
      </c>
      <c r="N98" t="s">
        <v>225</v>
      </c>
      <c r="O98" t="s">
        <v>44</v>
      </c>
      <c r="P98" t="str">
        <f>IF(TRIM(O98)="","Unknown",PROPER(TRIM(O98)))</f>
        <v>Furniture</v>
      </c>
      <c r="Q98" t="s">
        <v>45</v>
      </c>
      <c r="R98" t="s">
        <v>757</v>
      </c>
      <c r="S98" t="s">
        <v>32</v>
      </c>
      <c r="T98" t="str">
        <f>IF(TRIM(S98)="","Unknown",PROPER(TRIM(S98)))</f>
        <v>Second Class</v>
      </c>
      <c r="U98">
        <v>6</v>
      </c>
      <c r="V98">
        <v>1088.04</v>
      </c>
      <c r="W98">
        <v>0.1</v>
      </c>
      <c r="Y98">
        <v>0.1</v>
      </c>
      <c r="Z98">
        <v>5875.42</v>
      </c>
      <c r="AA98">
        <v>4380.55</v>
      </c>
      <c r="AB98">
        <v>1494.87</v>
      </c>
      <c r="AC98" t="s">
        <v>131</v>
      </c>
      <c r="AD98" t="s">
        <v>120</v>
      </c>
      <c r="AE98">
        <f>ROUND((U98*V98)-(U98*V98*Y98),2)</f>
        <v>5875.42</v>
      </c>
      <c r="AF98">
        <f>AE98-AA98</f>
        <v>1494.87</v>
      </c>
      <c r="AG98" s="7">
        <f>ROUND((AF98/AE98),4)</f>
        <v>0.25440000000000002</v>
      </c>
      <c r="AH98">
        <f>IF(AND(C98&lt;&gt;"",E98&lt;&gt;""),E98 - C98,"")</f>
        <v>3</v>
      </c>
      <c r="AI98" t="str">
        <f>IF(C98="","",TEXT(C98, "mmmm"))</f>
        <v>June</v>
      </c>
      <c r="AJ98">
        <f>IF(C98="","",YEAR(C98))</f>
        <v>2024</v>
      </c>
      <c r="AM98" t="str">
        <f>IF(AN98="","clean","")</f>
        <v>clean</v>
      </c>
      <c r="AN98" t="s">
        <v>3595</v>
      </c>
    </row>
    <row r="99" spans="1:40">
      <c r="A99" t="s">
        <v>762</v>
      </c>
      <c r="B99" t="s">
        <v>3699</v>
      </c>
      <c r="C99" s="6">
        <v>45334</v>
      </c>
      <c r="D99" t="s">
        <v>763</v>
      </c>
      <c r="E99" s="6">
        <v>45333</v>
      </c>
      <c r="F99" t="s">
        <v>597</v>
      </c>
      <c r="G99" t="s">
        <v>136</v>
      </c>
      <c r="H99" t="s">
        <v>136</v>
      </c>
      <c r="I99" t="s">
        <v>25</v>
      </c>
      <c r="J99" t="s">
        <v>25</v>
      </c>
      <c r="K99" t="s">
        <v>60</v>
      </c>
      <c r="L99" t="str">
        <f>IF(TRIM(K99)="","Unknown",PROPER(TRIM(K99)))</f>
        <v>South</v>
      </c>
      <c r="M99" t="s">
        <v>309</v>
      </c>
      <c r="N99" t="s">
        <v>310</v>
      </c>
      <c r="O99" t="s">
        <v>44</v>
      </c>
      <c r="P99" t="str">
        <f>IF(TRIM(O99)="","Unknown",PROPER(TRIM(O99)))</f>
        <v>Furniture</v>
      </c>
      <c r="Q99" t="s">
        <v>190</v>
      </c>
      <c r="R99" t="s">
        <v>764</v>
      </c>
      <c r="S99" t="s">
        <v>47</v>
      </c>
      <c r="T99" t="str">
        <f>IF(TRIM(S99)="","Unknown",PROPER(TRIM(S99)))</f>
        <v>Same Day</v>
      </c>
      <c r="U99">
        <v>1</v>
      </c>
      <c r="V99">
        <v>2599.12</v>
      </c>
      <c r="W99">
        <v>0.15</v>
      </c>
      <c r="Y99">
        <v>0.15</v>
      </c>
      <c r="Z99">
        <v>2209.25</v>
      </c>
      <c r="AA99">
        <v>1523.78</v>
      </c>
      <c r="AB99">
        <v>685.47</v>
      </c>
      <c r="AC99" t="s">
        <v>33</v>
      </c>
      <c r="AD99" t="s">
        <v>34</v>
      </c>
      <c r="AE99">
        <f>ROUND((U99*V99)-(U99*V99*Y99),2)</f>
        <v>2209.25</v>
      </c>
      <c r="AF99">
        <f>AE99-AA99</f>
        <v>685.47</v>
      </c>
      <c r="AG99" s="7">
        <f>ROUND((AF99/AE99),4)</f>
        <v>0.31030000000000002</v>
      </c>
      <c r="AH99">
        <f>IF(AND(C99&lt;&gt;"",E99&lt;&gt;""),E99 - C99,"")</f>
        <v>-1</v>
      </c>
      <c r="AI99" t="str">
        <f>IF(C99="","",TEXT(C99, "mmmm"))</f>
        <v>February</v>
      </c>
      <c r="AJ99">
        <f>IF(C99="","",YEAR(C99))</f>
        <v>2024</v>
      </c>
      <c r="AM99" t="s">
        <v>4145</v>
      </c>
      <c r="AN99" t="s">
        <v>4140</v>
      </c>
    </row>
    <row r="100" spans="1:40">
      <c r="A100" t="s">
        <v>772</v>
      </c>
      <c r="B100" t="s">
        <v>3701</v>
      </c>
      <c r="C100" s="6">
        <v>45587</v>
      </c>
      <c r="D100" t="s">
        <v>773</v>
      </c>
      <c r="F100" t="s">
        <v>774</v>
      </c>
      <c r="G100" t="s">
        <v>169</v>
      </c>
      <c r="H100" t="s">
        <v>169</v>
      </c>
      <c r="I100" t="s">
        <v>40</v>
      </c>
      <c r="J100" t="s">
        <v>40</v>
      </c>
      <c r="K100" t="s">
        <v>60</v>
      </c>
      <c r="L100" t="str">
        <f>IF(TRIM(K100)="","Unknown",PROPER(TRIM(K100)))</f>
        <v>South</v>
      </c>
      <c r="M100" t="s">
        <v>97</v>
      </c>
      <c r="N100" t="s">
        <v>98</v>
      </c>
      <c r="O100" t="s">
        <v>44</v>
      </c>
      <c r="P100" t="str">
        <f>IF(TRIM(O100)="","Unknown",PROPER(TRIM(O100)))</f>
        <v>Furniture</v>
      </c>
      <c r="Q100" t="s">
        <v>190</v>
      </c>
      <c r="R100" t="s">
        <v>775</v>
      </c>
      <c r="S100" t="s">
        <v>65</v>
      </c>
      <c r="T100" t="str">
        <f>IF(TRIM(S100)="","Unknown",PROPER(TRIM(S100)))</f>
        <v>Standard Class</v>
      </c>
      <c r="U100">
        <v>3</v>
      </c>
      <c r="V100">
        <v>915.84</v>
      </c>
      <c r="W100">
        <v>0.15</v>
      </c>
      <c r="Y100">
        <v>0.15</v>
      </c>
      <c r="Z100">
        <v>2335.39</v>
      </c>
      <c r="AA100">
        <v>1466.15</v>
      </c>
      <c r="AB100">
        <v>869.24</v>
      </c>
      <c r="AC100" t="s">
        <v>33</v>
      </c>
      <c r="AD100" t="s">
        <v>34</v>
      </c>
      <c r="AE100">
        <f>ROUND((U100*V100)-(U100*V100*Y100),2)</f>
        <v>2335.39</v>
      </c>
      <c r="AF100">
        <f>AE100-AA100</f>
        <v>869.23999999999978</v>
      </c>
      <c r="AG100" s="7">
        <f>ROUND((AF100/AE100),4)</f>
        <v>0.37219999999999998</v>
      </c>
      <c r="AH100" t="str">
        <f>IF(AND(C100&lt;&gt;"",E100&lt;&gt;""),E100 - C100,"")</f>
        <v/>
      </c>
      <c r="AI100" t="str">
        <f>IF(C100="","",TEXT(C100, "mmmm"))</f>
        <v>October</v>
      </c>
      <c r="AJ100">
        <f>IF(C100="","",YEAR(C100))</f>
        <v>2024</v>
      </c>
      <c r="AM100" t="s">
        <v>4144</v>
      </c>
      <c r="AN100" t="s">
        <v>4136</v>
      </c>
    </row>
    <row r="101" spans="1:40">
      <c r="A101" t="s">
        <v>776</v>
      </c>
      <c r="B101" t="s">
        <v>777</v>
      </c>
      <c r="C101" s="6">
        <v>45544</v>
      </c>
      <c r="D101" t="s">
        <v>778</v>
      </c>
      <c r="E101" s="6">
        <v>45546</v>
      </c>
      <c r="F101" t="s">
        <v>779</v>
      </c>
      <c r="G101" t="s">
        <v>90</v>
      </c>
      <c r="H101" t="s">
        <v>90</v>
      </c>
      <c r="I101" t="s">
        <v>110</v>
      </c>
      <c r="J101" t="s">
        <v>110</v>
      </c>
      <c r="K101" t="s">
        <v>60</v>
      </c>
      <c r="L101" t="str">
        <f>IF(TRIM(K101)="","Unknown",PROPER(TRIM(K101)))</f>
        <v>South</v>
      </c>
      <c r="M101" t="s">
        <v>61</v>
      </c>
      <c r="N101" t="s">
        <v>62</v>
      </c>
      <c r="O101" t="s">
        <v>44</v>
      </c>
      <c r="P101" t="str">
        <f>IF(TRIM(O101)="","Unknown",PROPER(TRIM(O101)))</f>
        <v>Furniture</v>
      </c>
      <c r="Q101" t="s">
        <v>190</v>
      </c>
      <c r="R101" t="s">
        <v>780</v>
      </c>
      <c r="S101" t="s">
        <v>55</v>
      </c>
      <c r="T101" t="str">
        <f>IF(TRIM(S101)="","Unknown",PROPER(TRIM(S101)))</f>
        <v>First Class</v>
      </c>
      <c r="U101">
        <v>1</v>
      </c>
      <c r="V101">
        <v>4199.54</v>
      </c>
      <c r="W101">
        <v>0.05</v>
      </c>
      <c r="Y101">
        <v>0.05</v>
      </c>
      <c r="Z101">
        <v>3989.56</v>
      </c>
      <c r="AA101">
        <v>2381.38</v>
      </c>
      <c r="AB101">
        <v>1608.18</v>
      </c>
      <c r="AC101" t="s">
        <v>33</v>
      </c>
      <c r="AD101" t="s">
        <v>34</v>
      </c>
      <c r="AE101">
        <f>ROUND((U101*V101)-(U101*V101*Y101),2)</f>
        <v>3989.56</v>
      </c>
      <c r="AF101">
        <f>AE101-AA101</f>
        <v>1608.1799999999998</v>
      </c>
      <c r="AG101" s="7">
        <f>ROUND((AF101/AE101),4)</f>
        <v>0.40310000000000001</v>
      </c>
      <c r="AH101">
        <f>IF(AND(C101&lt;&gt;"",E101&lt;&gt;""),E101 - C101,"")</f>
        <v>2</v>
      </c>
      <c r="AI101" t="str">
        <f>IF(C101="","",TEXT(C101, "mmmm"))</f>
        <v>September</v>
      </c>
      <c r="AJ101">
        <f>IF(C101="","",YEAR(C101))</f>
        <v>2024</v>
      </c>
      <c r="AM101" t="str">
        <f>IF(AN101="","clean","")</f>
        <v>clean</v>
      </c>
      <c r="AN101" t="s">
        <v>3595</v>
      </c>
    </row>
    <row r="102" spans="1:40">
      <c r="A102" t="s">
        <v>794</v>
      </c>
      <c r="B102" t="s">
        <v>795</v>
      </c>
      <c r="C102" s="6">
        <v>45360</v>
      </c>
      <c r="D102" t="s">
        <v>796</v>
      </c>
      <c r="E102" s="6">
        <v>45365</v>
      </c>
      <c r="F102" t="s">
        <v>797</v>
      </c>
      <c r="G102" t="s">
        <v>90</v>
      </c>
      <c r="H102" t="s">
        <v>90</v>
      </c>
      <c r="I102" t="s">
        <v>40</v>
      </c>
      <c r="J102" t="s">
        <v>40</v>
      </c>
      <c r="K102" t="s">
        <v>71</v>
      </c>
      <c r="L102" t="str">
        <f>IF(TRIM(K102)="","Unknown",PROPER(TRIM(K102)))</f>
        <v>West</v>
      </c>
      <c r="M102" t="s">
        <v>230</v>
      </c>
      <c r="N102" t="s">
        <v>231</v>
      </c>
      <c r="O102" t="s">
        <v>44</v>
      </c>
      <c r="P102" t="str">
        <f>IF(TRIM(O102)="","Unknown",PROPER(TRIM(O102)))</f>
        <v>Furniture</v>
      </c>
      <c r="Q102" t="s">
        <v>63</v>
      </c>
      <c r="R102" t="s">
        <v>798</v>
      </c>
      <c r="S102" t="s">
        <v>32</v>
      </c>
      <c r="T102" t="str">
        <f>IF(TRIM(S102)="","Unknown",PROPER(TRIM(S102)))</f>
        <v>Second Class</v>
      </c>
      <c r="U102">
        <v>8</v>
      </c>
      <c r="V102">
        <v>4472.84</v>
      </c>
      <c r="W102">
        <v>0</v>
      </c>
      <c r="Y102">
        <v>0</v>
      </c>
      <c r="Z102">
        <v>35997.620000000003</v>
      </c>
      <c r="AA102">
        <v>26424.41</v>
      </c>
      <c r="AB102">
        <v>9358.31</v>
      </c>
      <c r="AC102" t="s">
        <v>131</v>
      </c>
      <c r="AD102" t="s">
        <v>120</v>
      </c>
      <c r="AE102">
        <f>ROUND((U102*V102)-(U102*V102*Y102),2)</f>
        <v>35782.720000000001</v>
      </c>
      <c r="AF102">
        <f>AE102-AA102</f>
        <v>9358.3100000000013</v>
      </c>
      <c r="AG102" s="7">
        <f>ROUND((AF102/AE102),4)</f>
        <v>0.26150000000000001</v>
      </c>
      <c r="AH102">
        <f>IF(AND(C102&lt;&gt;"",E102&lt;&gt;""),E102 - C102,"")</f>
        <v>5</v>
      </c>
      <c r="AI102" t="str">
        <f>IF(C102="","",TEXT(C102, "mmmm"))</f>
        <v>March</v>
      </c>
      <c r="AJ102">
        <f>IF(C102="","",YEAR(C102))</f>
        <v>2024</v>
      </c>
      <c r="AM102" t="s">
        <v>4145</v>
      </c>
      <c r="AN102" t="s">
        <v>3596</v>
      </c>
    </row>
    <row r="103" spans="1:40">
      <c r="A103" t="s">
        <v>806</v>
      </c>
      <c r="B103" t="s">
        <v>807</v>
      </c>
      <c r="C103" s="6">
        <v>45618</v>
      </c>
      <c r="D103" t="s">
        <v>808</v>
      </c>
      <c r="F103" t="s">
        <v>809</v>
      </c>
      <c r="G103" t="s">
        <v>39</v>
      </c>
      <c r="H103" t="s">
        <v>39</v>
      </c>
      <c r="I103" t="s">
        <v>110</v>
      </c>
      <c r="J103" t="s">
        <v>110</v>
      </c>
      <c r="K103" t="s">
        <v>41</v>
      </c>
      <c r="L103" t="str">
        <f>IF(TRIM(K103)="","Unknown",PROPER(TRIM(K103)))</f>
        <v>East</v>
      </c>
      <c r="M103" t="s">
        <v>174</v>
      </c>
      <c r="N103" t="s">
        <v>175</v>
      </c>
      <c r="O103" t="s">
        <v>44</v>
      </c>
      <c r="P103" t="str">
        <f>IF(TRIM(O103)="","Unknown",PROPER(TRIM(O103)))</f>
        <v>Furniture</v>
      </c>
      <c r="Q103" t="s">
        <v>74</v>
      </c>
      <c r="R103" t="s">
        <v>810</v>
      </c>
      <c r="S103" t="s">
        <v>65</v>
      </c>
      <c r="T103" t="str">
        <f>IF(TRIM(S103)="","Unknown",PROPER(TRIM(S103)))</f>
        <v>Standard Class</v>
      </c>
      <c r="U103">
        <v>4</v>
      </c>
      <c r="V103">
        <v>3422.99</v>
      </c>
      <c r="W103">
        <v>0.25</v>
      </c>
      <c r="Y103">
        <v>0.25</v>
      </c>
      <c r="Z103">
        <v>10268.969999999999</v>
      </c>
      <c r="AA103">
        <v>6470.92</v>
      </c>
      <c r="AB103">
        <v>3798.05</v>
      </c>
      <c r="AC103" t="s">
        <v>33</v>
      </c>
      <c r="AD103" t="s">
        <v>34</v>
      </c>
      <c r="AE103">
        <f>ROUND((U103*V103)-(U103*V103*Y103),2)</f>
        <v>10268.969999999999</v>
      </c>
      <c r="AF103">
        <f>AE103-AA103</f>
        <v>3798.0499999999993</v>
      </c>
      <c r="AG103" s="7">
        <f>ROUND((AF103/AE103),4)</f>
        <v>0.36990000000000001</v>
      </c>
      <c r="AH103" t="str">
        <f>IF(AND(C103&lt;&gt;"",E103&lt;&gt;""),E103 - C103,"")</f>
        <v/>
      </c>
      <c r="AI103" t="str">
        <f>IF(C103="","",TEXT(C103, "mmmm"))</f>
        <v>November</v>
      </c>
      <c r="AJ103">
        <f>IF(C103="","",YEAR(C103))</f>
        <v>2024</v>
      </c>
      <c r="AM103" t="s">
        <v>4144</v>
      </c>
      <c r="AN103" t="s">
        <v>4136</v>
      </c>
    </row>
    <row r="104" spans="1:40">
      <c r="A104" t="s">
        <v>840</v>
      </c>
      <c r="B104" t="s">
        <v>841</v>
      </c>
      <c r="C104" s="6">
        <v>45414</v>
      </c>
      <c r="D104" t="s">
        <v>842</v>
      </c>
      <c r="E104" s="6">
        <v>45420</v>
      </c>
      <c r="F104" t="s">
        <v>843</v>
      </c>
      <c r="G104" t="s">
        <v>844</v>
      </c>
      <c r="H104" t="s">
        <v>844</v>
      </c>
      <c r="I104" t="s">
        <v>110</v>
      </c>
      <c r="J104" t="s">
        <v>110</v>
      </c>
      <c r="K104" t="s">
        <v>26</v>
      </c>
      <c r="L104" t="str">
        <f>IF(TRIM(K104)="","Unknown",PROPER(TRIM(K104)))</f>
        <v>North</v>
      </c>
      <c r="M104" t="s">
        <v>146</v>
      </c>
      <c r="N104" t="s">
        <v>147</v>
      </c>
      <c r="O104" t="s">
        <v>83</v>
      </c>
      <c r="P104" t="str">
        <f>IF(TRIM(O104)="","Unknown",PROPER(TRIM(O104)))</f>
        <v>Technology</v>
      </c>
      <c r="Q104" t="s">
        <v>91</v>
      </c>
      <c r="R104" t="s">
        <v>845</v>
      </c>
      <c r="S104" t="s">
        <v>32</v>
      </c>
      <c r="T104" t="str">
        <f>IF(TRIM(S104)="","Unknown",PROPER(TRIM(S104)))</f>
        <v>Second Class</v>
      </c>
      <c r="U104">
        <v>1</v>
      </c>
      <c r="V104">
        <v>2312.25</v>
      </c>
      <c r="W104">
        <v>0.25</v>
      </c>
      <c r="Y104">
        <v>0.25</v>
      </c>
      <c r="Z104">
        <v>1734.19</v>
      </c>
      <c r="AA104">
        <v>1386.07</v>
      </c>
      <c r="AB104">
        <v>348.12</v>
      </c>
      <c r="AC104" t="s">
        <v>33</v>
      </c>
      <c r="AD104" t="s">
        <v>34</v>
      </c>
      <c r="AE104">
        <f>ROUND((U104*V104)-(U104*V104*Y104),2)</f>
        <v>1734.19</v>
      </c>
      <c r="AF104">
        <f>AE104-AA104</f>
        <v>348.12000000000012</v>
      </c>
      <c r="AG104" s="7">
        <f>ROUND((AF104/AE104),4)</f>
        <v>0.20069999999999999</v>
      </c>
      <c r="AH104">
        <f>IF(AND(C104&lt;&gt;"",E104&lt;&gt;""),E104 - C104,"")</f>
        <v>6</v>
      </c>
      <c r="AI104" t="str">
        <f>IF(C104="","",TEXT(C104, "mmmm"))</f>
        <v>May</v>
      </c>
      <c r="AJ104">
        <f>IF(C104="","",YEAR(C104))</f>
        <v>2024</v>
      </c>
      <c r="AM104" t="str">
        <f>IF(AN104="","clean","")</f>
        <v>clean</v>
      </c>
      <c r="AN104" t="s">
        <v>3595</v>
      </c>
    </row>
    <row r="105" spans="1:40">
      <c r="A105" t="s">
        <v>850</v>
      </c>
      <c r="B105" t="s">
        <v>3682</v>
      </c>
      <c r="C105" s="6">
        <v>45318</v>
      </c>
      <c r="D105" t="s">
        <v>851</v>
      </c>
      <c r="E105" s="6">
        <v>45325</v>
      </c>
      <c r="F105" t="s">
        <v>852</v>
      </c>
      <c r="G105" t="s">
        <v>59</v>
      </c>
      <c r="H105" t="s">
        <v>59</v>
      </c>
      <c r="I105" t="s">
        <v>40</v>
      </c>
      <c r="J105" t="s">
        <v>40</v>
      </c>
      <c r="K105" t="s">
        <v>41</v>
      </c>
      <c r="L105" t="str">
        <f>IF(TRIM(K105)="","Unknown",PROPER(TRIM(K105)))</f>
        <v>East</v>
      </c>
      <c r="M105" t="s">
        <v>174</v>
      </c>
      <c r="N105" t="s">
        <v>175</v>
      </c>
      <c r="O105" t="s">
        <v>83</v>
      </c>
      <c r="P105" t="str">
        <f>IF(TRIM(O105)="","Unknown",PROPER(TRIM(O105)))</f>
        <v>Technology</v>
      </c>
      <c r="Q105" t="s">
        <v>347</v>
      </c>
      <c r="R105" t="s">
        <v>853</v>
      </c>
      <c r="S105" t="s">
        <v>47</v>
      </c>
      <c r="T105" t="str">
        <f>IF(TRIM(S105)="","Unknown",PROPER(TRIM(S105)))</f>
        <v>Same Day</v>
      </c>
      <c r="U105">
        <v>7</v>
      </c>
      <c r="V105">
        <v>2673.42</v>
      </c>
      <c r="W105">
        <v>0.15</v>
      </c>
      <c r="Y105">
        <v>0.15</v>
      </c>
      <c r="Z105">
        <v>15906.85</v>
      </c>
      <c r="AA105">
        <v>11014.46</v>
      </c>
      <c r="AB105">
        <v>4892.3900000000003</v>
      </c>
      <c r="AC105" t="s">
        <v>33</v>
      </c>
      <c r="AD105" t="s">
        <v>120</v>
      </c>
      <c r="AE105">
        <f>ROUND((U105*V105)-(U105*V105*Y105),2)</f>
        <v>15906.85</v>
      </c>
      <c r="AF105">
        <f>AE105-AA105</f>
        <v>4892.3900000000012</v>
      </c>
      <c r="AG105" s="7">
        <f>ROUND((AF105/AE105),4)</f>
        <v>0.30759999999999998</v>
      </c>
      <c r="AH105">
        <f>IF(AND(C105&lt;&gt;"",E105&lt;&gt;""),E105 - C105,"")</f>
        <v>7</v>
      </c>
      <c r="AI105" t="str">
        <f>IF(C105="","",TEXT(C105, "mmmm"))</f>
        <v>January</v>
      </c>
      <c r="AJ105">
        <f>IF(C105="","",YEAR(C105))</f>
        <v>2024</v>
      </c>
      <c r="AM105" t="str">
        <f>IF(AN105="","clean","")</f>
        <v>clean</v>
      </c>
      <c r="AN105" t="s">
        <v>3595</v>
      </c>
    </row>
    <row r="106" spans="1:40">
      <c r="A106" t="s">
        <v>858</v>
      </c>
      <c r="B106" t="s">
        <v>3712</v>
      </c>
      <c r="C106" s="6">
        <v>45444</v>
      </c>
      <c r="D106" t="s">
        <v>859</v>
      </c>
      <c r="E106" s="6">
        <v>45446</v>
      </c>
      <c r="F106" t="s">
        <v>860</v>
      </c>
      <c r="G106" t="s">
        <v>158</v>
      </c>
      <c r="H106" t="s">
        <v>158</v>
      </c>
      <c r="I106" t="s">
        <v>110</v>
      </c>
      <c r="J106" t="s">
        <v>110</v>
      </c>
      <c r="L106" t="str">
        <f>IF(TRIM(K106)="","Unknown",PROPER(TRIM(K106)))</f>
        <v>Unknown</v>
      </c>
      <c r="M106" t="s">
        <v>174</v>
      </c>
      <c r="N106" t="s">
        <v>175</v>
      </c>
      <c r="O106" t="s">
        <v>29</v>
      </c>
      <c r="P106" t="str">
        <f>IF(TRIM(O106)="","Unknown",PROPER(TRIM(O106)))</f>
        <v>Office Supplies</v>
      </c>
      <c r="Q106" t="s">
        <v>53</v>
      </c>
      <c r="R106" t="s">
        <v>861</v>
      </c>
      <c r="S106" t="s">
        <v>47</v>
      </c>
      <c r="T106" t="str">
        <f>IF(TRIM(S106)="","Unknown",PROPER(TRIM(S106)))</f>
        <v>Same Day</v>
      </c>
      <c r="U106">
        <v>8</v>
      </c>
      <c r="V106">
        <v>3879.95</v>
      </c>
      <c r="W106">
        <v>0</v>
      </c>
      <c r="Y106">
        <v>0</v>
      </c>
      <c r="Z106">
        <v>31039.599999999999</v>
      </c>
      <c r="AA106">
        <v>20866.72</v>
      </c>
      <c r="AB106">
        <v>10172.879999999999</v>
      </c>
      <c r="AC106" t="s">
        <v>33</v>
      </c>
      <c r="AD106" t="s">
        <v>34</v>
      </c>
      <c r="AE106">
        <f>ROUND((U106*V106)-(U106*V106*Y106),2)</f>
        <v>31039.599999999999</v>
      </c>
      <c r="AF106">
        <f>AE106-AA106</f>
        <v>10172.879999999997</v>
      </c>
      <c r="AG106" s="7">
        <f>ROUND((AF106/AE106),4)</f>
        <v>0.32769999999999999</v>
      </c>
      <c r="AH106">
        <f>IF(AND(C106&lt;&gt;"",E106&lt;&gt;""),E106 - C106,"")</f>
        <v>2</v>
      </c>
      <c r="AI106" t="str">
        <f>IF(C106="","",TEXT(C106, "mmmm"))</f>
        <v>June</v>
      </c>
      <c r="AJ106">
        <f>IF(C106="","",YEAR(C106))</f>
        <v>2024</v>
      </c>
      <c r="AM106" t="s">
        <v>4145</v>
      </c>
      <c r="AN106" t="s">
        <v>3597</v>
      </c>
    </row>
    <row r="107" spans="1:40">
      <c r="A107" t="s">
        <v>862</v>
      </c>
      <c r="B107" t="s">
        <v>3713</v>
      </c>
      <c r="D107" t="s">
        <v>863</v>
      </c>
      <c r="E107" s="6">
        <v>45565</v>
      </c>
      <c r="F107" t="s">
        <v>864</v>
      </c>
      <c r="G107" t="s">
        <v>52</v>
      </c>
      <c r="H107" t="s">
        <v>52</v>
      </c>
      <c r="I107" t="s">
        <v>104</v>
      </c>
      <c r="J107" t="s">
        <v>104</v>
      </c>
      <c r="K107" t="s">
        <v>60</v>
      </c>
      <c r="L107" t="str">
        <f>IF(TRIM(K107)="","Unknown",PROPER(TRIM(K107)))</f>
        <v>South</v>
      </c>
      <c r="M107" t="s">
        <v>61</v>
      </c>
      <c r="N107" t="s">
        <v>62</v>
      </c>
      <c r="O107" t="s">
        <v>29</v>
      </c>
      <c r="P107" t="str">
        <f>IF(TRIM(O107)="","Unknown",PROPER(TRIM(O107)))</f>
        <v>Office Supplies</v>
      </c>
      <c r="Q107" t="s">
        <v>53</v>
      </c>
      <c r="R107" t="s">
        <v>865</v>
      </c>
      <c r="S107" t="s">
        <v>65</v>
      </c>
      <c r="T107" t="str">
        <f>IF(TRIM(S107)="","Unknown",PROPER(TRIM(S107)))</f>
        <v>Standard Class</v>
      </c>
      <c r="U107">
        <v>4</v>
      </c>
      <c r="V107">
        <v>3281.74</v>
      </c>
      <c r="W107">
        <v>0</v>
      </c>
      <c r="Y107">
        <v>0</v>
      </c>
      <c r="Z107">
        <v>13126.96</v>
      </c>
      <c r="AA107">
        <v>10732.44</v>
      </c>
      <c r="AB107">
        <v>2394.52</v>
      </c>
      <c r="AC107" t="s">
        <v>33</v>
      </c>
      <c r="AD107" t="s">
        <v>34</v>
      </c>
      <c r="AE107">
        <f>ROUND((U107*V107)-(U107*V107*Y107),2)</f>
        <v>13126.96</v>
      </c>
      <c r="AF107">
        <f>AE107-AA107</f>
        <v>2394.5199999999986</v>
      </c>
      <c r="AG107" s="7">
        <f>ROUND((AF107/AE107),4)</f>
        <v>0.18240000000000001</v>
      </c>
      <c r="AH107" t="str">
        <f>IF(AND(C107&lt;&gt;"",E107&lt;&gt;""),E107 - C107,"")</f>
        <v/>
      </c>
      <c r="AI107" t="str">
        <f>IF(C107="","",TEXT(C107, "mmmm"))</f>
        <v/>
      </c>
      <c r="AJ107" t="str">
        <f>IF(C107="","",YEAR(C107))</f>
        <v/>
      </c>
      <c r="AM107" t="s">
        <v>4144</v>
      </c>
      <c r="AN107" t="s">
        <v>4127</v>
      </c>
    </row>
    <row r="108" spans="1:40">
      <c r="A108" t="s">
        <v>866</v>
      </c>
      <c r="B108" t="s">
        <v>3714</v>
      </c>
      <c r="C108" s="6">
        <v>45366</v>
      </c>
      <c r="D108" t="s">
        <v>867</v>
      </c>
      <c r="E108" s="6">
        <v>45370</v>
      </c>
      <c r="F108" t="s">
        <v>868</v>
      </c>
      <c r="G108" t="s">
        <v>70</v>
      </c>
      <c r="H108" t="s">
        <v>70</v>
      </c>
      <c r="I108" t="s">
        <v>40</v>
      </c>
      <c r="J108" t="s">
        <v>40</v>
      </c>
      <c r="K108" t="s">
        <v>60</v>
      </c>
      <c r="L108" t="str">
        <f>IF(TRIM(K108)="","Unknown",PROPER(TRIM(K108)))</f>
        <v>South</v>
      </c>
      <c r="M108" t="s">
        <v>309</v>
      </c>
      <c r="N108" t="s">
        <v>310</v>
      </c>
      <c r="O108" t="s">
        <v>44</v>
      </c>
      <c r="P108" t="str">
        <f>IF(TRIM(O108)="","Unknown",PROPER(TRIM(O108)))</f>
        <v>Furniture</v>
      </c>
      <c r="Q108" t="s">
        <v>63</v>
      </c>
      <c r="R108" t="s">
        <v>869</v>
      </c>
      <c r="S108" t="s">
        <v>65</v>
      </c>
      <c r="T108" t="str">
        <f>IF(TRIM(S108)="","Unknown",PROPER(TRIM(S108)))</f>
        <v>Standard Class</v>
      </c>
      <c r="U108">
        <v>4</v>
      </c>
      <c r="V108">
        <v>3186.3</v>
      </c>
      <c r="W108">
        <v>0.25</v>
      </c>
      <c r="Y108">
        <v>0.25</v>
      </c>
      <c r="Z108">
        <v>9558.9</v>
      </c>
      <c r="AA108">
        <v>5516.76</v>
      </c>
      <c r="AB108">
        <v>4042.14</v>
      </c>
      <c r="AC108" t="s">
        <v>119</v>
      </c>
      <c r="AD108" t="s">
        <v>120</v>
      </c>
      <c r="AE108">
        <f>ROUND((U108*V108)-(U108*V108*Y108),2)</f>
        <v>9558.9</v>
      </c>
      <c r="AF108">
        <f>AE108-AA108</f>
        <v>4042.1399999999994</v>
      </c>
      <c r="AG108" s="7">
        <f>ROUND((AF108/AE108),4)</f>
        <v>0.4229</v>
      </c>
      <c r="AH108">
        <f>IF(AND(C108&lt;&gt;"",E108&lt;&gt;""),E108 - C108,"")</f>
        <v>4</v>
      </c>
      <c r="AI108" t="str">
        <f>IF(C108="","",TEXT(C108, "mmmm"))</f>
        <v>March</v>
      </c>
      <c r="AJ108">
        <f>IF(C108="","",YEAR(C108))</f>
        <v>2024</v>
      </c>
      <c r="AM108" t="str">
        <f>IF(AN108="","clean","")</f>
        <v>clean</v>
      </c>
      <c r="AN108" t="s">
        <v>3595</v>
      </c>
    </row>
    <row r="109" spans="1:40">
      <c r="A109" t="s">
        <v>870</v>
      </c>
      <c r="B109" t="s">
        <v>3715</v>
      </c>
      <c r="C109" s="6">
        <v>45530</v>
      </c>
      <c r="D109" t="s">
        <v>871</v>
      </c>
      <c r="F109" t="s">
        <v>872</v>
      </c>
      <c r="G109" t="s">
        <v>39</v>
      </c>
      <c r="H109" t="s">
        <v>39</v>
      </c>
      <c r="I109" t="s">
        <v>110</v>
      </c>
      <c r="J109" t="s">
        <v>110</v>
      </c>
      <c r="K109" t="s">
        <v>26</v>
      </c>
      <c r="L109" t="str">
        <f>IF(TRIM(K109)="","Unknown",PROPER(TRIM(K109)))</f>
        <v>North</v>
      </c>
      <c r="M109" t="s">
        <v>163</v>
      </c>
      <c r="N109" t="s">
        <v>164</v>
      </c>
      <c r="O109" t="s">
        <v>813</v>
      </c>
      <c r="P109" t="str">
        <f>IF(TRIM(O109)="","Unknown",PROPER(TRIM(O109)))</f>
        <v>Office Supplies</v>
      </c>
      <c r="Q109" t="s">
        <v>184</v>
      </c>
      <c r="R109" t="s">
        <v>873</v>
      </c>
      <c r="S109" t="s">
        <v>55</v>
      </c>
      <c r="T109" t="str">
        <f>IF(TRIM(S109)="","Unknown",PROPER(TRIM(S109)))</f>
        <v>First Class</v>
      </c>
      <c r="U109">
        <v>7</v>
      </c>
      <c r="V109">
        <v>844.59</v>
      </c>
      <c r="W109">
        <v>0.1</v>
      </c>
      <c r="Y109">
        <v>0.1</v>
      </c>
      <c r="Z109">
        <v>5320.92</v>
      </c>
      <c r="AA109">
        <v>3041.5</v>
      </c>
      <c r="AB109">
        <v>2279.42</v>
      </c>
      <c r="AC109" t="s">
        <v>33</v>
      </c>
      <c r="AD109" t="s">
        <v>34</v>
      </c>
      <c r="AE109">
        <f>ROUND((U109*V109)-(U109*V109*Y109),2)</f>
        <v>5320.92</v>
      </c>
      <c r="AF109">
        <f>AE109-AA109</f>
        <v>2279.42</v>
      </c>
      <c r="AG109" s="7">
        <f>ROUND((AF109/AE109),4)</f>
        <v>0.4284</v>
      </c>
      <c r="AH109" t="str">
        <f>IF(AND(C109&lt;&gt;"",E109&lt;&gt;""),E109 - C109,"")</f>
        <v/>
      </c>
      <c r="AI109" t="str">
        <f>IF(C109="","",TEXT(C109, "mmmm"))</f>
        <v>August</v>
      </c>
      <c r="AJ109">
        <f>IF(C109="","",YEAR(C109))</f>
        <v>2024</v>
      </c>
      <c r="AM109" t="s">
        <v>4144</v>
      </c>
      <c r="AN109" t="s">
        <v>4136</v>
      </c>
    </row>
    <row r="110" spans="1:40">
      <c r="A110" t="s">
        <v>878</v>
      </c>
      <c r="B110" t="s">
        <v>273</v>
      </c>
      <c r="C110" s="6">
        <v>45581</v>
      </c>
      <c r="D110" t="s">
        <v>273</v>
      </c>
      <c r="E110" s="6">
        <v>45581</v>
      </c>
      <c r="F110" t="s">
        <v>879</v>
      </c>
      <c r="G110" t="s">
        <v>70</v>
      </c>
      <c r="H110" t="s">
        <v>70</v>
      </c>
      <c r="I110" t="s">
        <v>110</v>
      </c>
      <c r="J110" t="s">
        <v>110</v>
      </c>
      <c r="K110" t="s">
        <v>41</v>
      </c>
      <c r="L110" t="str">
        <f>IF(TRIM(K110)="","Unknown",PROPER(TRIM(K110)))</f>
        <v>East</v>
      </c>
      <c r="M110" t="s">
        <v>174</v>
      </c>
      <c r="N110" t="s">
        <v>175</v>
      </c>
      <c r="O110" t="s">
        <v>83</v>
      </c>
      <c r="P110" t="str">
        <f>IF(TRIM(O110)="","Unknown",PROPER(TRIM(O110)))</f>
        <v>Technology</v>
      </c>
      <c r="Q110" t="s">
        <v>347</v>
      </c>
      <c r="R110" t="s">
        <v>880</v>
      </c>
      <c r="S110" t="s">
        <v>65</v>
      </c>
      <c r="T110" t="str">
        <f>IF(TRIM(S110)="","Unknown",PROPER(TRIM(S110)))</f>
        <v>Standard Class</v>
      </c>
      <c r="U110">
        <v>7</v>
      </c>
      <c r="V110">
        <v>775.77</v>
      </c>
      <c r="W110">
        <v>0</v>
      </c>
      <c r="Y110">
        <v>0</v>
      </c>
      <c r="Z110">
        <v>5430.39</v>
      </c>
      <c r="AA110">
        <v>3707.66</v>
      </c>
      <c r="AB110">
        <v>1722.73</v>
      </c>
      <c r="AC110" t="s">
        <v>33</v>
      </c>
      <c r="AD110" t="s">
        <v>34</v>
      </c>
      <c r="AE110">
        <f>ROUND((U110*V110)-(U110*V110*Y110),2)</f>
        <v>5430.39</v>
      </c>
      <c r="AF110">
        <f>AE110-AA110</f>
        <v>1722.7300000000005</v>
      </c>
      <c r="AG110" s="7">
        <f>ROUND((AF110/AE110),4)</f>
        <v>0.31719999999999998</v>
      </c>
      <c r="AH110">
        <f>IF(AND(C110&lt;&gt;"",E110&lt;&gt;""),E110 - C110,"")</f>
        <v>0</v>
      </c>
      <c r="AI110" t="str">
        <f>IF(C110="","",TEXT(C110, "mmmm"))</f>
        <v>October</v>
      </c>
      <c r="AJ110">
        <f>IF(C110="","",YEAR(C110))</f>
        <v>2024</v>
      </c>
      <c r="AM110" t="str">
        <f>IF(AN110="","clean","")</f>
        <v>clean</v>
      </c>
      <c r="AN110" t="s">
        <v>3595</v>
      </c>
    </row>
    <row r="111" spans="1:40">
      <c r="A111" t="s">
        <v>886</v>
      </c>
      <c r="B111" t="s">
        <v>3717</v>
      </c>
      <c r="C111" s="6">
        <v>45384</v>
      </c>
      <c r="D111" t="s">
        <v>318</v>
      </c>
      <c r="E111" s="6">
        <v>45388</v>
      </c>
      <c r="F111" t="s">
        <v>887</v>
      </c>
      <c r="G111" t="s">
        <v>80</v>
      </c>
      <c r="H111" t="s">
        <v>80</v>
      </c>
      <c r="I111" t="s">
        <v>104</v>
      </c>
      <c r="J111" t="s">
        <v>104</v>
      </c>
      <c r="K111" t="s">
        <v>71</v>
      </c>
      <c r="L111" t="str">
        <f>IF(TRIM(K111)="","Unknown",PROPER(TRIM(K111)))</f>
        <v>West</v>
      </c>
      <c r="M111" t="s">
        <v>81</v>
      </c>
      <c r="N111" t="s">
        <v>82</v>
      </c>
      <c r="O111" t="s">
        <v>44</v>
      </c>
      <c r="P111" t="str">
        <f>IF(TRIM(O111)="","Unknown",PROPER(TRIM(O111)))</f>
        <v>Furniture</v>
      </c>
      <c r="Q111" t="s">
        <v>190</v>
      </c>
      <c r="R111" t="s">
        <v>888</v>
      </c>
      <c r="S111" t="s">
        <v>65</v>
      </c>
      <c r="T111" t="str">
        <f>IF(TRIM(S111)="","Unknown",PROPER(TRIM(S111)))</f>
        <v>Standard Class</v>
      </c>
      <c r="U111">
        <v>2</v>
      </c>
      <c r="V111">
        <v>888.98</v>
      </c>
      <c r="W111">
        <v>0</v>
      </c>
      <c r="Y111">
        <v>0</v>
      </c>
      <c r="Z111">
        <v>1777.96</v>
      </c>
      <c r="AA111">
        <v>1021.16</v>
      </c>
      <c r="AB111">
        <v>756.8</v>
      </c>
      <c r="AC111" t="s">
        <v>119</v>
      </c>
      <c r="AD111" t="s">
        <v>120</v>
      </c>
      <c r="AE111">
        <f>ROUND((U111*V111)-(U111*V111*Y111),2)</f>
        <v>1777.96</v>
      </c>
      <c r="AF111">
        <f>AE111-AA111</f>
        <v>756.80000000000007</v>
      </c>
      <c r="AG111" s="7">
        <f>ROUND((AF111/AE111),4)</f>
        <v>0.42570000000000002</v>
      </c>
      <c r="AH111">
        <f>IF(AND(C111&lt;&gt;"",E111&lt;&gt;""),E111 - C111,"")</f>
        <v>4</v>
      </c>
      <c r="AI111" t="str">
        <f>IF(C111="","",TEXT(C111, "mmmm"))</f>
        <v>April</v>
      </c>
      <c r="AJ111">
        <f>IF(C111="","",YEAR(C111))</f>
        <v>2024</v>
      </c>
      <c r="AM111" t="str">
        <f>IF(AN111="","clean","")</f>
        <v>clean</v>
      </c>
      <c r="AN111" t="s">
        <v>3595</v>
      </c>
    </row>
    <row r="112" spans="1:40">
      <c r="A112" t="s">
        <v>889</v>
      </c>
      <c r="B112" t="s">
        <v>3606</v>
      </c>
      <c r="C112" s="6">
        <v>45601</v>
      </c>
      <c r="D112" t="s">
        <v>890</v>
      </c>
      <c r="E112" s="6">
        <v>45609</v>
      </c>
      <c r="F112" t="s">
        <v>891</v>
      </c>
      <c r="G112" t="s">
        <v>59</v>
      </c>
      <c r="H112" t="s">
        <v>59</v>
      </c>
      <c r="I112" t="s">
        <v>25</v>
      </c>
      <c r="J112" t="s">
        <v>25</v>
      </c>
      <c r="L112" t="str">
        <f>IF(TRIM(K112)="","Unknown",PROPER(TRIM(K112)))</f>
        <v>Unknown</v>
      </c>
      <c r="M112" t="s">
        <v>146</v>
      </c>
      <c r="N112" t="s">
        <v>147</v>
      </c>
      <c r="O112" t="s">
        <v>29</v>
      </c>
      <c r="P112" t="str">
        <f>IF(TRIM(O112)="","Unknown",PROPER(TRIM(O112)))</f>
        <v>Office Supplies</v>
      </c>
      <c r="Q112" t="s">
        <v>105</v>
      </c>
      <c r="R112" t="s">
        <v>892</v>
      </c>
      <c r="S112" t="s">
        <v>32</v>
      </c>
      <c r="T112" t="str">
        <f>IF(TRIM(S112)="","Unknown",PROPER(TRIM(S112)))</f>
        <v>Second Class</v>
      </c>
      <c r="U112">
        <v>2</v>
      </c>
      <c r="V112">
        <v>1003.17</v>
      </c>
      <c r="W112">
        <v>0.2</v>
      </c>
      <c r="Y112">
        <v>0.2</v>
      </c>
      <c r="Z112">
        <v>1605.07</v>
      </c>
      <c r="AA112">
        <v>1337.28</v>
      </c>
      <c r="AB112">
        <v>267.79000000000002</v>
      </c>
      <c r="AC112" t="s">
        <v>33</v>
      </c>
      <c r="AD112" t="s">
        <v>34</v>
      </c>
      <c r="AE112">
        <f>ROUND((U112*V112)-(U112*V112*Y112),2)</f>
        <v>1605.07</v>
      </c>
      <c r="AF112">
        <f>AE112-AA112</f>
        <v>267.78999999999996</v>
      </c>
      <c r="AG112" s="7">
        <f>ROUND((AF112/AE112),4)</f>
        <v>0.1668</v>
      </c>
      <c r="AH112">
        <f>IF(AND(C112&lt;&gt;"",E112&lt;&gt;""),E112 - C112,"")</f>
        <v>8</v>
      </c>
      <c r="AI112" t="str">
        <f>IF(C112="","",TEXT(C112, "mmmm"))</f>
        <v>November</v>
      </c>
      <c r="AJ112">
        <f>IF(C112="","",YEAR(C112))</f>
        <v>2024</v>
      </c>
      <c r="AM112" t="s">
        <v>4145</v>
      </c>
      <c r="AN112" t="s">
        <v>3597</v>
      </c>
    </row>
    <row r="113" spans="1:40">
      <c r="A113" t="s">
        <v>893</v>
      </c>
      <c r="B113" t="s">
        <v>303</v>
      </c>
      <c r="C113" s="6">
        <v>45492</v>
      </c>
      <c r="D113" t="s">
        <v>894</v>
      </c>
      <c r="E113" s="6">
        <v>45493</v>
      </c>
      <c r="F113" t="s">
        <v>333</v>
      </c>
      <c r="G113" t="s">
        <v>80</v>
      </c>
      <c r="H113" t="s">
        <v>80</v>
      </c>
      <c r="I113" t="s">
        <v>25</v>
      </c>
      <c r="J113" t="s">
        <v>25</v>
      </c>
      <c r="K113" t="s">
        <v>60</v>
      </c>
      <c r="L113" t="str">
        <f>IF(TRIM(K113)="","Unknown",PROPER(TRIM(K113)))</f>
        <v>South</v>
      </c>
      <c r="M113" t="s">
        <v>309</v>
      </c>
      <c r="N113" t="s">
        <v>310</v>
      </c>
      <c r="O113" t="s">
        <v>44</v>
      </c>
      <c r="P113" t="str">
        <f>IF(TRIM(O113)="","Unknown",PROPER(TRIM(O113)))</f>
        <v>Furniture</v>
      </c>
      <c r="Q113" t="s">
        <v>45</v>
      </c>
      <c r="R113" t="s">
        <v>895</v>
      </c>
      <c r="S113" t="s">
        <v>55</v>
      </c>
      <c r="T113" t="str">
        <f>IF(TRIM(S113)="","Unknown",PROPER(TRIM(S113)))</f>
        <v>First Class</v>
      </c>
      <c r="U113">
        <v>7</v>
      </c>
      <c r="V113">
        <v>3608.43</v>
      </c>
      <c r="W113">
        <v>0.05</v>
      </c>
      <c r="Y113">
        <v>0.05</v>
      </c>
      <c r="Z113">
        <v>23996.06</v>
      </c>
      <c r="AA113">
        <v>20167.28</v>
      </c>
      <c r="AB113">
        <v>3828.78</v>
      </c>
      <c r="AC113" t="s">
        <v>33</v>
      </c>
      <c r="AD113" t="s">
        <v>34</v>
      </c>
      <c r="AE113">
        <f>ROUND((U113*V113)-(U113*V113*Y113),2)</f>
        <v>23996.06</v>
      </c>
      <c r="AF113">
        <f>AE113-AA113</f>
        <v>3828.7800000000025</v>
      </c>
      <c r="AG113" s="7">
        <f>ROUND((AF113/AE113),4)</f>
        <v>0.15959999999999999</v>
      </c>
      <c r="AH113">
        <f>IF(AND(C113&lt;&gt;"",E113&lt;&gt;""),E113 - C113,"")</f>
        <v>1</v>
      </c>
      <c r="AI113" t="str">
        <f>IF(C113="","",TEXT(C113, "mmmm"))</f>
        <v>July</v>
      </c>
      <c r="AJ113">
        <f>IF(C113="","",YEAR(C113))</f>
        <v>2024</v>
      </c>
      <c r="AM113" t="str">
        <f>IF(AN113="","clean","")</f>
        <v>clean</v>
      </c>
      <c r="AN113" t="s">
        <v>3595</v>
      </c>
    </row>
    <row r="114" spans="1:40">
      <c r="A114" t="s">
        <v>914</v>
      </c>
      <c r="B114" t="s">
        <v>3721</v>
      </c>
      <c r="C114" s="6">
        <v>45584</v>
      </c>
      <c r="D114" t="s">
        <v>576</v>
      </c>
      <c r="E114" s="6">
        <v>45589</v>
      </c>
      <c r="F114" t="s">
        <v>915</v>
      </c>
      <c r="G114" t="s">
        <v>158</v>
      </c>
      <c r="H114" t="s">
        <v>158</v>
      </c>
      <c r="I114" t="s">
        <v>40</v>
      </c>
      <c r="J114" t="s">
        <v>40</v>
      </c>
      <c r="K114" t="s">
        <v>60</v>
      </c>
      <c r="L114" t="str">
        <f>IF(TRIM(K114)="","Unknown",PROPER(TRIM(K114)))</f>
        <v>South</v>
      </c>
      <c r="M114" t="s">
        <v>309</v>
      </c>
      <c r="N114" t="s">
        <v>310</v>
      </c>
      <c r="O114" t="s">
        <v>44</v>
      </c>
      <c r="P114" t="str">
        <f>IF(TRIM(O114)="","Unknown",PROPER(TRIM(O114)))</f>
        <v>Furniture</v>
      </c>
      <c r="Q114" t="s">
        <v>190</v>
      </c>
      <c r="R114" t="s">
        <v>916</v>
      </c>
      <c r="S114" t="s">
        <v>32</v>
      </c>
      <c r="T114" t="str">
        <f>IF(TRIM(S114)="","Unknown",PROPER(TRIM(S114)))</f>
        <v>Second Class</v>
      </c>
      <c r="U114">
        <v>6</v>
      </c>
      <c r="V114">
        <v>4308.3999999999996</v>
      </c>
      <c r="W114">
        <v>0.65</v>
      </c>
      <c r="Y114">
        <v>0</v>
      </c>
      <c r="Z114">
        <v>25850.400000000001</v>
      </c>
      <c r="AA114">
        <v>19397.68</v>
      </c>
      <c r="AB114">
        <v>6452.72</v>
      </c>
      <c r="AC114" t="s">
        <v>33</v>
      </c>
      <c r="AD114" t="s">
        <v>34</v>
      </c>
      <c r="AE114">
        <f>ROUND((U114*V114)-(U114*V114*Y114),2)</f>
        <v>25850.400000000001</v>
      </c>
      <c r="AF114">
        <f>AE114-AA114</f>
        <v>6452.7200000000012</v>
      </c>
      <c r="AG114" s="7">
        <f>ROUND((AF114/AE114),4)</f>
        <v>0.24959999999999999</v>
      </c>
      <c r="AH114">
        <f>IF(AND(C114&lt;&gt;"",E114&lt;&gt;""),E114 - C114,"")</f>
        <v>5</v>
      </c>
      <c r="AI114" t="str">
        <f>IF(C114="","",TEXT(C114, "mmmm"))</f>
        <v>October</v>
      </c>
      <c r="AJ114">
        <f>IF(C114="","",YEAR(C114))</f>
        <v>2024</v>
      </c>
      <c r="AM114" t="s">
        <v>4145</v>
      </c>
      <c r="AN114" t="s">
        <v>3596</v>
      </c>
    </row>
    <row r="115" spans="1:40">
      <c r="A115" t="s">
        <v>917</v>
      </c>
      <c r="B115" t="s">
        <v>3722</v>
      </c>
      <c r="C115" s="6">
        <v>45635</v>
      </c>
      <c r="D115" t="s">
        <v>918</v>
      </c>
      <c r="E115" s="6">
        <v>45642</v>
      </c>
      <c r="F115" t="s">
        <v>919</v>
      </c>
      <c r="G115" t="s">
        <v>52</v>
      </c>
      <c r="H115" t="s">
        <v>52</v>
      </c>
      <c r="I115" t="s">
        <v>110</v>
      </c>
      <c r="J115" t="s">
        <v>110</v>
      </c>
      <c r="K115" t="s">
        <v>71</v>
      </c>
      <c r="L115" t="str">
        <f>IF(TRIM(K115)="","Unknown",PROPER(TRIM(K115)))</f>
        <v>West</v>
      </c>
      <c r="M115" t="s">
        <v>218</v>
      </c>
      <c r="N115" t="s">
        <v>219</v>
      </c>
      <c r="O115" t="s">
        <v>44</v>
      </c>
      <c r="P115" t="str">
        <f>IF(TRIM(O115)="","Unknown",PROPER(TRIM(O115)))</f>
        <v>Furniture</v>
      </c>
      <c r="Q115" t="s">
        <v>74</v>
      </c>
      <c r="R115" t="s">
        <v>920</v>
      </c>
      <c r="S115" t="s">
        <v>55</v>
      </c>
      <c r="T115" t="str">
        <f>IF(TRIM(S115)="","Unknown",PROPER(TRIM(S115)))</f>
        <v>First Class</v>
      </c>
      <c r="U115">
        <v>4</v>
      </c>
      <c r="V115">
        <v>2191.0300000000002</v>
      </c>
      <c r="W115">
        <v>0</v>
      </c>
      <c r="Y115">
        <v>0</v>
      </c>
      <c r="Z115">
        <v>8764.1200000000008</v>
      </c>
      <c r="AA115">
        <v>7220.05</v>
      </c>
      <c r="AB115">
        <v>1544.07</v>
      </c>
      <c r="AC115" t="s">
        <v>33</v>
      </c>
      <c r="AD115" t="s">
        <v>34</v>
      </c>
      <c r="AE115">
        <f>ROUND((U115*V115)-(U115*V115*Y115),2)</f>
        <v>8764.1200000000008</v>
      </c>
      <c r="AF115">
        <f>AE115-AA115</f>
        <v>1544.0700000000006</v>
      </c>
      <c r="AG115" s="7">
        <f>ROUND((AF115/AE115),4)</f>
        <v>0.1762</v>
      </c>
      <c r="AH115">
        <f>IF(AND(C115&lt;&gt;"",E115&lt;&gt;""),E115 - C115,"")</f>
        <v>7</v>
      </c>
      <c r="AI115" t="str">
        <f>IF(C115="","",TEXT(C115, "mmmm"))</f>
        <v>December</v>
      </c>
      <c r="AJ115">
        <f>IF(C115="","",YEAR(C115))</f>
        <v>2024</v>
      </c>
      <c r="AM115" t="str">
        <f>IF(AN115="","clean","")</f>
        <v>clean</v>
      </c>
      <c r="AN115" t="s">
        <v>3595</v>
      </c>
    </row>
    <row r="116" spans="1:40">
      <c r="A116" t="s">
        <v>921</v>
      </c>
      <c r="B116" t="s">
        <v>3723</v>
      </c>
      <c r="C116" s="6">
        <v>45466</v>
      </c>
      <c r="D116" t="s">
        <v>922</v>
      </c>
      <c r="F116" t="s">
        <v>923</v>
      </c>
      <c r="G116" t="s">
        <v>136</v>
      </c>
      <c r="H116" t="s">
        <v>136</v>
      </c>
      <c r="I116" t="s">
        <v>40</v>
      </c>
      <c r="J116" t="s">
        <v>40</v>
      </c>
      <c r="K116" t="s">
        <v>26</v>
      </c>
      <c r="L116" t="str">
        <f>IF(TRIM(K116)="","Unknown",PROPER(TRIM(K116)))</f>
        <v>North</v>
      </c>
      <c r="M116" t="s">
        <v>146</v>
      </c>
      <c r="N116" t="s">
        <v>147</v>
      </c>
      <c r="O116" t="s">
        <v>83</v>
      </c>
      <c r="P116" t="str">
        <f>IF(TRIM(O116)="","Unknown",PROPER(TRIM(O116)))</f>
        <v>Technology</v>
      </c>
      <c r="Q116" t="s">
        <v>91</v>
      </c>
      <c r="R116" t="s">
        <v>924</v>
      </c>
      <c r="S116" t="s">
        <v>47</v>
      </c>
      <c r="T116" t="str">
        <f>IF(TRIM(S116)="","Unknown",PROPER(TRIM(S116)))</f>
        <v>Same Day</v>
      </c>
      <c r="U116">
        <v>6</v>
      </c>
      <c r="V116">
        <v>1956.63</v>
      </c>
      <c r="W116">
        <v>0.2</v>
      </c>
      <c r="Y116">
        <v>0.2</v>
      </c>
      <c r="Z116">
        <v>9391.82</v>
      </c>
      <c r="AA116">
        <v>6013.22</v>
      </c>
      <c r="AB116">
        <v>3378.6</v>
      </c>
      <c r="AC116" t="s">
        <v>119</v>
      </c>
      <c r="AD116" t="s">
        <v>120</v>
      </c>
      <c r="AE116">
        <f>ROUND((U116*V116)-(U116*V116*Y116),2)</f>
        <v>9391.82</v>
      </c>
      <c r="AF116">
        <f>AE116-AA116</f>
        <v>3378.5999999999995</v>
      </c>
      <c r="AG116" s="7">
        <f>ROUND((AF116/AE116),4)</f>
        <v>0.35970000000000002</v>
      </c>
      <c r="AH116" t="str">
        <f>IF(AND(C116&lt;&gt;"",E116&lt;&gt;""),E116 - C116,"")</f>
        <v/>
      </c>
      <c r="AI116" t="str">
        <f>IF(C116="","",TEXT(C116, "mmmm"))</f>
        <v>June</v>
      </c>
      <c r="AJ116">
        <f>IF(C116="","",YEAR(C116))</f>
        <v>2024</v>
      </c>
      <c r="AM116" t="s">
        <v>4144</v>
      </c>
      <c r="AN116" t="s">
        <v>4136</v>
      </c>
    </row>
    <row r="117" spans="1:40">
      <c r="A117" t="s">
        <v>934</v>
      </c>
      <c r="B117" t="s">
        <v>935</v>
      </c>
      <c r="D117" t="s">
        <v>936</v>
      </c>
      <c r="E117" s="6">
        <v>45316</v>
      </c>
      <c r="F117" t="s">
        <v>937</v>
      </c>
      <c r="G117" t="s">
        <v>334</v>
      </c>
      <c r="H117" t="s">
        <v>334</v>
      </c>
      <c r="I117" t="s">
        <v>110</v>
      </c>
      <c r="J117" t="s">
        <v>110</v>
      </c>
      <c r="K117" t="s">
        <v>26</v>
      </c>
      <c r="L117" t="str">
        <f>IF(TRIM(K117)="","Unknown",PROPER(TRIM(K117)))</f>
        <v>North</v>
      </c>
      <c r="M117" t="s">
        <v>163</v>
      </c>
      <c r="N117" t="s">
        <v>164</v>
      </c>
      <c r="O117" t="s">
        <v>29</v>
      </c>
      <c r="P117" t="str">
        <f>IF(TRIM(O117)="","Unknown",PROPER(TRIM(O117)))</f>
        <v>Office Supplies</v>
      </c>
      <c r="Q117" t="s">
        <v>148</v>
      </c>
      <c r="R117" t="s">
        <v>938</v>
      </c>
      <c r="S117" t="s">
        <v>55</v>
      </c>
      <c r="T117" t="str">
        <f>IF(TRIM(S117)="","Unknown",PROPER(TRIM(S117)))</f>
        <v>First Class</v>
      </c>
      <c r="U117">
        <v>3</v>
      </c>
      <c r="V117">
        <v>1212.03</v>
      </c>
      <c r="W117">
        <v>0.1</v>
      </c>
      <c r="Y117">
        <v>0.1</v>
      </c>
      <c r="Z117">
        <v>3272.48</v>
      </c>
      <c r="AA117">
        <v>2517.44</v>
      </c>
      <c r="AB117">
        <v>755.04</v>
      </c>
      <c r="AC117" t="s">
        <v>33</v>
      </c>
      <c r="AD117" t="s">
        <v>34</v>
      </c>
      <c r="AE117">
        <f>ROUND((U117*V117)-(U117*V117*Y117),2)</f>
        <v>3272.48</v>
      </c>
      <c r="AF117">
        <f>AE117-AA117</f>
        <v>755.04</v>
      </c>
      <c r="AG117" s="7">
        <f>ROUND((AF117/AE117),4)</f>
        <v>0.23069999999999999</v>
      </c>
      <c r="AH117" t="str">
        <f>IF(AND(C117&lt;&gt;"",E117&lt;&gt;""),E117 - C117,"")</f>
        <v/>
      </c>
      <c r="AI117" t="str">
        <f>IF(C117="","",TEXT(C117, "mmmm"))</f>
        <v/>
      </c>
      <c r="AJ117" t="str">
        <f>IF(C117="","",YEAR(C117))</f>
        <v/>
      </c>
      <c r="AM117" t="s">
        <v>4144</v>
      </c>
      <c r="AN117" t="s">
        <v>4127</v>
      </c>
    </row>
    <row r="118" spans="1:40">
      <c r="A118" t="s">
        <v>942</v>
      </c>
      <c r="B118" t="s">
        <v>3726</v>
      </c>
      <c r="C118" s="6">
        <v>45448</v>
      </c>
      <c r="D118" t="s">
        <v>943</v>
      </c>
      <c r="E118" s="6">
        <v>45449</v>
      </c>
      <c r="F118" t="s">
        <v>944</v>
      </c>
      <c r="G118" t="s">
        <v>158</v>
      </c>
      <c r="H118" t="s">
        <v>158</v>
      </c>
      <c r="I118" t="s">
        <v>25</v>
      </c>
      <c r="J118" t="s">
        <v>25</v>
      </c>
      <c r="K118" t="s">
        <v>71</v>
      </c>
      <c r="L118" t="str">
        <f>IF(TRIM(K118)="","Unknown",PROPER(TRIM(K118)))</f>
        <v>West</v>
      </c>
      <c r="M118" t="s">
        <v>218</v>
      </c>
      <c r="N118" t="s">
        <v>219</v>
      </c>
      <c r="O118" t="s">
        <v>29</v>
      </c>
      <c r="P118" t="str">
        <f>IF(TRIM(O118)="","Unknown",PROPER(TRIM(O118)))</f>
        <v>Office Supplies</v>
      </c>
      <c r="Q118" t="s">
        <v>53</v>
      </c>
      <c r="R118" t="s">
        <v>945</v>
      </c>
      <c r="S118" t="s">
        <v>32</v>
      </c>
      <c r="T118" t="str">
        <f>IF(TRIM(S118)="","Unknown",PROPER(TRIM(S118)))</f>
        <v>Second Class</v>
      </c>
      <c r="U118">
        <v>1</v>
      </c>
      <c r="V118">
        <v>1184.58</v>
      </c>
      <c r="W118">
        <v>0.05</v>
      </c>
      <c r="Y118">
        <v>0.05</v>
      </c>
      <c r="Z118">
        <v>1125.3499999999999</v>
      </c>
      <c r="AA118">
        <v>676.97</v>
      </c>
      <c r="AB118">
        <v>448.38</v>
      </c>
      <c r="AC118" t="s">
        <v>186</v>
      </c>
      <c r="AD118" t="s">
        <v>76</v>
      </c>
      <c r="AE118">
        <f>ROUND((U118*V118)-(U118*V118*Y118),2)</f>
        <v>1125.3499999999999</v>
      </c>
      <c r="AF118">
        <f>AE118-AA118</f>
        <v>448.37999999999988</v>
      </c>
      <c r="AG118" s="7">
        <f>ROUND((AF118/AE118),4)</f>
        <v>0.39839999999999998</v>
      </c>
      <c r="AH118">
        <f>IF(AND(C118&lt;&gt;"",E118&lt;&gt;""),E118 - C118,"")</f>
        <v>1</v>
      </c>
      <c r="AI118" t="str">
        <f>IF(C118="","",TEXT(C118, "mmmm"))</f>
        <v>June</v>
      </c>
      <c r="AJ118">
        <f>IF(C118="","",YEAR(C118))</f>
        <v>2024</v>
      </c>
      <c r="AM118" t="str">
        <f>IF(AN118="","clean","")</f>
        <v>clean</v>
      </c>
      <c r="AN118" t="s">
        <v>3595</v>
      </c>
    </row>
    <row r="119" spans="1:40">
      <c r="A119" t="s">
        <v>946</v>
      </c>
      <c r="B119" t="s">
        <v>3629</v>
      </c>
      <c r="C119" s="6">
        <v>45363</v>
      </c>
      <c r="D119" t="s">
        <v>947</v>
      </c>
      <c r="E119" s="6">
        <v>45363</v>
      </c>
      <c r="F119" t="s">
        <v>948</v>
      </c>
      <c r="G119" t="s">
        <v>141</v>
      </c>
      <c r="H119" t="s">
        <v>141</v>
      </c>
      <c r="I119" t="s">
        <v>110</v>
      </c>
      <c r="J119" t="s">
        <v>110</v>
      </c>
      <c r="K119" t="s">
        <v>41</v>
      </c>
      <c r="L119" t="str">
        <f>IF(TRIM(K119)="","Unknown",PROPER(TRIM(K119)))</f>
        <v>East</v>
      </c>
      <c r="M119" t="s">
        <v>174</v>
      </c>
      <c r="N119" t="s">
        <v>175</v>
      </c>
      <c r="O119" t="s">
        <v>83</v>
      </c>
      <c r="P119" t="str">
        <f>IF(TRIM(O119)="","Unknown",PROPER(TRIM(O119)))</f>
        <v>Technology</v>
      </c>
      <c r="Q119" t="s">
        <v>347</v>
      </c>
      <c r="R119" t="s">
        <v>949</v>
      </c>
      <c r="T119" t="str">
        <f>IF(TRIM(S119)="","Unknown",PROPER(TRIM(S119)))</f>
        <v>Unknown</v>
      </c>
      <c r="U119">
        <v>6</v>
      </c>
      <c r="V119">
        <v>2185.58</v>
      </c>
      <c r="W119">
        <v>0.25</v>
      </c>
      <c r="Y119">
        <v>0.25</v>
      </c>
      <c r="Z119">
        <v>9835.11</v>
      </c>
      <c r="AA119">
        <v>5437.64</v>
      </c>
      <c r="AB119">
        <v>4397.47</v>
      </c>
      <c r="AC119" t="s">
        <v>33</v>
      </c>
      <c r="AD119" t="s">
        <v>34</v>
      </c>
      <c r="AE119">
        <f>ROUND((U119*V119)-(U119*V119*Y119),2)</f>
        <v>9835.11</v>
      </c>
      <c r="AF119">
        <f>AE119-AA119</f>
        <v>4397.47</v>
      </c>
      <c r="AG119" s="7">
        <f>ROUND((AF119/AE119),4)</f>
        <v>0.4471</v>
      </c>
      <c r="AH119">
        <f>IF(AND(C119&lt;&gt;"",E119&lt;&gt;""),E119 - C119,"")</f>
        <v>0</v>
      </c>
      <c r="AI119" t="str">
        <f>IF(C119="","",TEXT(C119, "mmmm"))</f>
        <v>March</v>
      </c>
      <c r="AJ119">
        <f>IF(C119="","",YEAR(C119))</f>
        <v>2024</v>
      </c>
      <c r="AM119" t="s">
        <v>4145</v>
      </c>
      <c r="AN119" t="s">
        <v>3600</v>
      </c>
    </row>
    <row r="120" spans="1:40">
      <c r="A120" t="s">
        <v>962</v>
      </c>
      <c r="B120" t="s">
        <v>3729</v>
      </c>
      <c r="C120" s="6">
        <v>45379</v>
      </c>
      <c r="D120" t="s">
        <v>963</v>
      </c>
      <c r="E120" s="6">
        <v>45381</v>
      </c>
      <c r="F120" t="s">
        <v>964</v>
      </c>
      <c r="G120" t="s">
        <v>158</v>
      </c>
      <c r="H120" t="s">
        <v>158</v>
      </c>
      <c r="I120" t="s">
        <v>104</v>
      </c>
      <c r="J120" t="s">
        <v>104</v>
      </c>
      <c r="K120" t="s">
        <v>71</v>
      </c>
      <c r="L120" t="str">
        <f>IF(TRIM(K120)="","Unknown",PROPER(TRIM(K120)))</f>
        <v>West</v>
      </c>
      <c r="M120" t="s">
        <v>27</v>
      </c>
      <c r="N120" t="s">
        <v>129</v>
      </c>
      <c r="O120" t="s">
        <v>83</v>
      </c>
      <c r="P120" t="str">
        <f>IF(TRIM(O120)="","Unknown",PROPER(TRIM(O120)))</f>
        <v>Technology</v>
      </c>
      <c r="Q120" t="s">
        <v>84</v>
      </c>
      <c r="R120" t="s">
        <v>965</v>
      </c>
      <c r="S120" t="s">
        <v>32</v>
      </c>
      <c r="T120" t="str">
        <f>IF(TRIM(S120)="","Unknown",PROPER(TRIM(S120)))</f>
        <v>Second Class</v>
      </c>
      <c r="U120">
        <v>1</v>
      </c>
      <c r="V120">
        <v>570.34</v>
      </c>
      <c r="W120">
        <v>0.15</v>
      </c>
      <c r="Y120">
        <v>0.15</v>
      </c>
      <c r="Z120">
        <v>484.79</v>
      </c>
      <c r="AA120">
        <v>333.54</v>
      </c>
      <c r="AB120">
        <v>151.25</v>
      </c>
      <c r="AC120" t="s">
        <v>33</v>
      </c>
      <c r="AD120" t="s">
        <v>34</v>
      </c>
      <c r="AE120">
        <f>ROUND((U120*V120)-(U120*V120*Y120),2)</f>
        <v>484.79</v>
      </c>
      <c r="AF120">
        <f>AE120-AA120</f>
        <v>151.25</v>
      </c>
      <c r="AG120" s="7">
        <f>ROUND((AF120/AE120),4)</f>
        <v>0.312</v>
      </c>
      <c r="AH120">
        <f>IF(AND(C120&lt;&gt;"",E120&lt;&gt;""),E120 - C120,"")</f>
        <v>2</v>
      </c>
      <c r="AI120" t="str">
        <f>IF(C120="","",TEXT(C120, "mmmm"))</f>
        <v>March</v>
      </c>
      <c r="AJ120">
        <f>IF(C120="","",YEAR(C120))</f>
        <v>2024</v>
      </c>
      <c r="AM120" t="str">
        <f>IF(AN120="","clean","")</f>
        <v>clean</v>
      </c>
      <c r="AN120" t="s">
        <v>3595</v>
      </c>
    </row>
    <row r="121" spans="1:40">
      <c r="A121" t="s">
        <v>977</v>
      </c>
      <c r="B121" t="s">
        <v>3733</v>
      </c>
      <c r="C121" s="6">
        <v>45483</v>
      </c>
      <c r="D121" t="s">
        <v>978</v>
      </c>
      <c r="E121" s="6">
        <v>45489</v>
      </c>
      <c r="F121" t="s">
        <v>979</v>
      </c>
      <c r="G121" t="s">
        <v>153</v>
      </c>
      <c r="H121" t="s">
        <v>153</v>
      </c>
      <c r="I121" t="s">
        <v>110</v>
      </c>
      <c r="J121" t="s">
        <v>110</v>
      </c>
      <c r="K121" t="s">
        <v>71</v>
      </c>
      <c r="L121" t="str">
        <f>IF(TRIM(K121)="","Unknown",PROPER(TRIM(K121)))</f>
        <v>West</v>
      </c>
      <c r="M121" t="s">
        <v>230</v>
      </c>
      <c r="N121" t="s">
        <v>231</v>
      </c>
      <c r="O121" t="s">
        <v>44</v>
      </c>
      <c r="P121" t="str">
        <f>IF(TRIM(O121)="","Unknown",PROPER(TRIM(O121)))</f>
        <v>Furniture</v>
      </c>
      <c r="Q121" t="s">
        <v>190</v>
      </c>
      <c r="R121" t="s">
        <v>980</v>
      </c>
      <c r="S121" t="s">
        <v>32</v>
      </c>
      <c r="T121" t="str">
        <f>IF(TRIM(S121)="","Unknown",PROPER(TRIM(S121)))</f>
        <v>Second Class</v>
      </c>
      <c r="U121">
        <v>2</v>
      </c>
      <c r="V121">
        <v>1095.45</v>
      </c>
      <c r="W121">
        <v>0.2</v>
      </c>
      <c r="Y121">
        <v>0.2</v>
      </c>
      <c r="Z121">
        <v>1752.72</v>
      </c>
      <c r="AA121">
        <v>996.41</v>
      </c>
      <c r="AB121">
        <v>756.31</v>
      </c>
      <c r="AC121" t="s">
        <v>33</v>
      </c>
      <c r="AD121" t="s">
        <v>34</v>
      </c>
      <c r="AE121">
        <f>ROUND((U121*V121)-(U121*V121*Y121),2)</f>
        <v>1752.72</v>
      </c>
      <c r="AF121">
        <f>AE121-AA121</f>
        <v>756.31000000000006</v>
      </c>
      <c r="AG121" s="7">
        <f>ROUND((AF121/AE121),4)</f>
        <v>0.43149999999999999</v>
      </c>
      <c r="AH121">
        <f>IF(AND(C121&lt;&gt;"",E121&lt;&gt;""),E121 - C121,"")</f>
        <v>6</v>
      </c>
      <c r="AI121" t="str">
        <f>IF(C121="","",TEXT(C121, "mmmm"))</f>
        <v>July</v>
      </c>
      <c r="AJ121">
        <f>IF(C121="","",YEAR(C121))</f>
        <v>2024</v>
      </c>
      <c r="AM121" t="str">
        <f>IF(AN121="","clean","")</f>
        <v>clean</v>
      </c>
      <c r="AN121" t="s">
        <v>3595</v>
      </c>
    </row>
    <row r="122" spans="1:40">
      <c r="A122" t="s">
        <v>990</v>
      </c>
      <c r="B122" t="s">
        <v>991</v>
      </c>
      <c r="C122" s="6">
        <v>45366</v>
      </c>
      <c r="D122" t="s">
        <v>992</v>
      </c>
      <c r="E122" s="6">
        <v>45369</v>
      </c>
      <c r="F122" t="s">
        <v>993</v>
      </c>
      <c r="G122" t="s">
        <v>334</v>
      </c>
      <c r="H122" t="s">
        <v>334</v>
      </c>
      <c r="I122" t="s">
        <v>110</v>
      </c>
      <c r="J122" t="s">
        <v>110</v>
      </c>
      <c r="K122" t="s">
        <v>60</v>
      </c>
      <c r="L122" t="str">
        <f>IF(TRIM(K122)="","Unknown",PROPER(TRIM(K122)))</f>
        <v>South</v>
      </c>
      <c r="M122" t="s">
        <v>212</v>
      </c>
      <c r="N122" t="s">
        <v>213</v>
      </c>
      <c r="O122" t="s">
        <v>83</v>
      </c>
      <c r="P122" t="str">
        <f>IF(TRIM(O122)="","Unknown",PROPER(TRIM(O122)))</f>
        <v>Technology</v>
      </c>
      <c r="Q122" t="s">
        <v>347</v>
      </c>
      <c r="R122" t="s">
        <v>994</v>
      </c>
      <c r="S122" t="s">
        <v>32</v>
      </c>
      <c r="T122" t="str">
        <f>IF(TRIM(S122)="","Unknown",PROPER(TRIM(S122)))</f>
        <v>Second Class</v>
      </c>
      <c r="U122">
        <v>1</v>
      </c>
      <c r="V122">
        <v>4131.3599999999997</v>
      </c>
      <c r="W122">
        <v>0</v>
      </c>
      <c r="Y122">
        <v>0</v>
      </c>
      <c r="Z122">
        <v>4131.3599999999997</v>
      </c>
      <c r="AA122">
        <v>2937.07</v>
      </c>
      <c r="AB122">
        <v>1194.29</v>
      </c>
      <c r="AC122" t="s">
        <v>186</v>
      </c>
      <c r="AD122" t="s">
        <v>120</v>
      </c>
      <c r="AE122">
        <f>ROUND((U122*V122)-(U122*V122*Y122),2)</f>
        <v>4131.3599999999997</v>
      </c>
      <c r="AF122">
        <f>AE122-AA122</f>
        <v>1194.2899999999995</v>
      </c>
      <c r="AG122" s="7">
        <f>ROUND((AF122/AE122),4)</f>
        <v>0.28910000000000002</v>
      </c>
      <c r="AH122">
        <f>IF(AND(C122&lt;&gt;"",E122&lt;&gt;""),E122 - C122,"")</f>
        <v>3</v>
      </c>
      <c r="AI122" t="str">
        <f>IF(C122="","",TEXT(C122, "mmmm"))</f>
        <v>March</v>
      </c>
      <c r="AJ122">
        <f>IF(C122="","",YEAR(C122))</f>
        <v>2024</v>
      </c>
      <c r="AM122" t="str">
        <f>IF(AN122="","clean","")</f>
        <v>clean</v>
      </c>
      <c r="AN122" t="s">
        <v>3595</v>
      </c>
    </row>
    <row r="123" spans="1:40">
      <c r="A123" t="s">
        <v>995</v>
      </c>
      <c r="B123" t="s">
        <v>3735</v>
      </c>
      <c r="C123" s="6">
        <v>45428</v>
      </c>
      <c r="D123" t="s">
        <v>996</v>
      </c>
      <c r="E123" s="6">
        <v>45429</v>
      </c>
      <c r="F123" t="s">
        <v>997</v>
      </c>
      <c r="G123" t="s">
        <v>169</v>
      </c>
      <c r="H123" t="s">
        <v>169</v>
      </c>
      <c r="I123" t="s">
        <v>104</v>
      </c>
      <c r="J123" t="s">
        <v>104</v>
      </c>
      <c r="K123" t="s">
        <v>998</v>
      </c>
      <c r="L123" t="str">
        <f>IF(TRIM(K123)="","Unknown",PROPER(TRIM(K123)))</f>
        <v>East</v>
      </c>
      <c r="M123" t="s">
        <v>116</v>
      </c>
      <c r="N123" t="s">
        <v>117</v>
      </c>
      <c r="O123" t="s">
        <v>83</v>
      </c>
      <c r="P123" t="str">
        <f>IF(TRIM(O123)="","Unknown",PROPER(TRIM(O123)))</f>
        <v>Technology</v>
      </c>
      <c r="Q123" t="s">
        <v>91</v>
      </c>
      <c r="R123" t="s">
        <v>999</v>
      </c>
      <c r="S123" t="s">
        <v>32</v>
      </c>
      <c r="T123" t="str">
        <f>IF(TRIM(S123)="","Unknown",PROPER(TRIM(S123)))</f>
        <v>Second Class</v>
      </c>
      <c r="U123">
        <v>8</v>
      </c>
      <c r="V123">
        <v>4221.95</v>
      </c>
      <c r="W123">
        <v>0.2</v>
      </c>
      <c r="Y123">
        <v>0.2</v>
      </c>
      <c r="Z123">
        <v>27020.48</v>
      </c>
      <c r="AA123">
        <v>22885.24</v>
      </c>
      <c r="AB123">
        <v>4135.24</v>
      </c>
      <c r="AC123" t="s">
        <v>33</v>
      </c>
      <c r="AD123" t="s">
        <v>34</v>
      </c>
      <c r="AE123">
        <f>ROUND((U123*V123)-(U123*V123*Y123),2)</f>
        <v>27020.48</v>
      </c>
      <c r="AF123">
        <f>AE123-AA123</f>
        <v>4135.239999999998</v>
      </c>
      <c r="AG123" s="7">
        <f>ROUND((AF123/AE123),4)</f>
        <v>0.153</v>
      </c>
      <c r="AH123">
        <f>IF(AND(C123&lt;&gt;"",E123&lt;&gt;""),E123 - C123,"")</f>
        <v>1</v>
      </c>
      <c r="AI123" t="str">
        <f>IF(C123="","",TEXT(C123, "mmmm"))</f>
        <v>May</v>
      </c>
      <c r="AJ123">
        <f>IF(C123="","",YEAR(C123))</f>
        <v>2024</v>
      </c>
      <c r="AM123" t="str">
        <f>IF(AN123="","clean","")</f>
        <v>clean</v>
      </c>
      <c r="AN123" t="s">
        <v>3595</v>
      </c>
    </row>
    <row r="124" spans="1:40">
      <c r="A124" t="s">
        <v>1000</v>
      </c>
      <c r="B124" t="s">
        <v>1001</v>
      </c>
      <c r="C124" s="6">
        <v>45556</v>
      </c>
      <c r="D124" t="s">
        <v>1002</v>
      </c>
      <c r="E124" s="6">
        <v>45556</v>
      </c>
      <c r="F124" t="s">
        <v>1003</v>
      </c>
      <c r="G124" t="s">
        <v>70</v>
      </c>
      <c r="H124" t="s">
        <v>70</v>
      </c>
      <c r="I124" t="s">
        <v>40</v>
      </c>
      <c r="J124" t="s">
        <v>40</v>
      </c>
      <c r="K124" t="s">
        <v>41</v>
      </c>
      <c r="L124" t="str">
        <f>IF(TRIM(K124)="","Unknown",PROPER(TRIM(K124)))</f>
        <v>East</v>
      </c>
      <c r="M124" t="s">
        <v>42</v>
      </c>
      <c r="N124" t="s">
        <v>43</v>
      </c>
      <c r="O124" t="s">
        <v>83</v>
      </c>
      <c r="P124" t="str">
        <f>IF(TRIM(O124)="","Unknown",PROPER(TRIM(O124)))</f>
        <v>Technology</v>
      </c>
      <c r="Q124" t="s">
        <v>207</v>
      </c>
      <c r="R124" t="s">
        <v>1004</v>
      </c>
      <c r="S124" t="s">
        <v>47</v>
      </c>
      <c r="T124" t="str">
        <f>IF(TRIM(S124)="","Unknown",PROPER(TRIM(S124)))</f>
        <v>Same Day</v>
      </c>
      <c r="U124">
        <v>2</v>
      </c>
      <c r="V124">
        <v>214.5</v>
      </c>
      <c r="W124">
        <v>0.15</v>
      </c>
      <c r="Y124">
        <v>0.15</v>
      </c>
      <c r="Z124">
        <v>364.65</v>
      </c>
      <c r="AA124">
        <v>280.74</v>
      </c>
      <c r="AB124">
        <v>83.91</v>
      </c>
      <c r="AC124" t="s">
        <v>33</v>
      </c>
      <c r="AD124" t="s">
        <v>34</v>
      </c>
      <c r="AE124">
        <f>ROUND((U124*V124)-(U124*V124*Y124),2)</f>
        <v>364.65</v>
      </c>
      <c r="AF124">
        <f>AE124-AA124</f>
        <v>83.909999999999968</v>
      </c>
      <c r="AG124" s="7">
        <f>ROUND((AF124/AE124),4)</f>
        <v>0.2301</v>
      </c>
      <c r="AH124">
        <f>IF(AND(C124&lt;&gt;"",E124&lt;&gt;""),E124 - C124,"")</f>
        <v>0</v>
      </c>
      <c r="AI124" t="str">
        <f>IF(C124="","",TEXT(C124, "mmmm"))</f>
        <v>September</v>
      </c>
      <c r="AJ124">
        <f>IF(C124="","",YEAR(C124))</f>
        <v>2024</v>
      </c>
      <c r="AM124" t="str">
        <f>IF(AN124="","clean","")</f>
        <v>clean</v>
      </c>
      <c r="AN124" t="s">
        <v>3595</v>
      </c>
    </row>
    <row r="125" spans="1:40">
      <c r="A125" t="s">
        <v>1005</v>
      </c>
      <c r="B125" t="s">
        <v>3736</v>
      </c>
      <c r="C125" s="6">
        <v>45427</v>
      </c>
      <c r="D125" t="s">
        <v>1006</v>
      </c>
      <c r="F125" t="s">
        <v>1007</v>
      </c>
      <c r="G125" t="s">
        <v>52</v>
      </c>
      <c r="H125" t="s">
        <v>52</v>
      </c>
      <c r="I125" t="s">
        <v>40</v>
      </c>
      <c r="J125" t="s">
        <v>40</v>
      </c>
      <c r="K125" t="s">
        <v>41</v>
      </c>
      <c r="L125" t="str">
        <f>IF(TRIM(K125)="","Unknown",PROPER(TRIM(K125)))</f>
        <v>East</v>
      </c>
      <c r="M125" t="s">
        <v>174</v>
      </c>
      <c r="N125" t="s">
        <v>175</v>
      </c>
      <c r="O125" t="s">
        <v>83</v>
      </c>
      <c r="P125" t="str">
        <f>IF(TRIM(O125)="","Unknown",PROPER(TRIM(O125)))</f>
        <v>Technology</v>
      </c>
      <c r="Q125" t="s">
        <v>84</v>
      </c>
      <c r="R125" t="s">
        <v>1008</v>
      </c>
      <c r="S125" t="s">
        <v>32</v>
      </c>
      <c r="T125" t="str">
        <f>IF(TRIM(S125)="","Unknown",PROPER(TRIM(S125)))</f>
        <v>Second Class</v>
      </c>
      <c r="U125">
        <v>4</v>
      </c>
      <c r="V125">
        <v>4332.7299999999996</v>
      </c>
      <c r="W125">
        <v>0.2</v>
      </c>
      <c r="Y125">
        <v>0.2</v>
      </c>
      <c r="Z125">
        <v>13864.74</v>
      </c>
      <c r="AA125">
        <v>11294.06</v>
      </c>
      <c r="AB125">
        <v>2570.6799999999998</v>
      </c>
      <c r="AC125" t="s">
        <v>33</v>
      </c>
      <c r="AD125" t="s">
        <v>34</v>
      </c>
      <c r="AE125">
        <f>ROUND((U125*V125)-(U125*V125*Y125),2)</f>
        <v>13864.74</v>
      </c>
      <c r="AF125">
        <f>AE125-AA125</f>
        <v>2570.6800000000003</v>
      </c>
      <c r="AG125" s="7">
        <f>ROUND((AF125/AE125),4)</f>
        <v>0.18540000000000001</v>
      </c>
      <c r="AH125" t="str">
        <f>IF(AND(C125&lt;&gt;"",E125&lt;&gt;""),E125 - C125,"")</f>
        <v/>
      </c>
      <c r="AI125" t="str">
        <f>IF(C125="","",TEXT(C125, "mmmm"))</f>
        <v>May</v>
      </c>
      <c r="AJ125">
        <f>IF(C125="","",YEAR(C125))</f>
        <v>2024</v>
      </c>
      <c r="AM125" t="s">
        <v>4144</v>
      </c>
      <c r="AN125" t="s">
        <v>4136</v>
      </c>
    </row>
    <row r="126" spans="1:40">
      <c r="A126" t="s">
        <v>1009</v>
      </c>
      <c r="B126" t="s">
        <v>3737</v>
      </c>
      <c r="C126" s="6">
        <v>45368</v>
      </c>
      <c r="D126" t="s">
        <v>1010</v>
      </c>
      <c r="F126" t="s">
        <v>1011</v>
      </c>
      <c r="G126" t="s">
        <v>141</v>
      </c>
      <c r="H126" t="s">
        <v>141</v>
      </c>
      <c r="I126" t="s">
        <v>25</v>
      </c>
      <c r="J126" t="s">
        <v>25</v>
      </c>
      <c r="K126" t="s">
        <v>26</v>
      </c>
      <c r="L126" t="str">
        <f>IF(TRIM(K126)="","Unknown",PROPER(TRIM(K126)))</f>
        <v>North</v>
      </c>
      <c r="M126" t="s">
        <v>294</v>
      </c>
      <c r="N126" t="s">
        <v>295</v>
      </c>
      <c r="O126" t="s">
        <v>83</v>
      </c>
      <c r="P126" t="str">
        <f>IF(TRIM(O126)="","Unknown",PROPER(TRIM(O126)))</f>
        <v>Technology</v>
      </c>
      <c r="Q126" t="s">
        <v>84</v>
      </c>
      <c r="R126" t="s">
        <v>1012</v>
      </c>
      <c r="S126" t="s">
        <v>55</v>
      </c>
      <c r="T126" t="str">
        <f>IF(TRIM(S126)="","Unknown",PROPER(TRIM(S126)))</f>
        <v>First Class</v>
      </c>
      <c r="U126">
        <v>3</v>
      </c>
      <c r="V126">
        <v>248.18</v>
      </c>
      <c r="W126">
        <v>0.05</v>
      </c>
      <c r="Y126">
        <v>0.05</v>
      </c>
      <c r="Z126">
        <v>707.31</v>
      </c>
      <c r="AA126">
        <v>569</v>
      </c>
      <c r="AB126">
        <v>138.31</v>
      </c>
      <c r="AC126" t="s">
        <v>33</v>
      </c>
      <c r="AD126" t="s">
        <v>34</v>
      </c>
      <c r="AE126">
        <f>ROUND((U126*V126)-(U126*V126*Y126),2)</f>
        <v>707.31</v>
      </c>
      <c r="AF126">
        <f>AE126-AA126</f>
        <v>138.30999999999995</v>
      </c>
      <c r="AG126" s="7">
        <f>ROUND((AF126/AE126),4)</f>
        <v>0.19550000000000001</v>
      </c>
      <c r="AH126" t="str">
        <f>IF(AND(C126&lt;&gt;"",E126&lt;&gt;""),E126 - C126,"")</f>
        <v/>
      </c>
      <c r="AI126" t="str">
        <f>IF(C126="","",TEXT(C126, "mmmm"))</f>
        <v>March</v>
      </c>
      <c r="AJ126">
        <f>IF(C126="","",YEAR(C126))</f>
        <v>2024</v>
      </c>
      <c r="AM126" t="s">
        <v>4144</v>
      </c>
      <c r="AN126" t="s">
        <v>4136</v>
      </c>
    </row>
    <row r="127" spans="1:40">
      <c r="A127" t="s">
        <v>1013</v>
      </c>
      <c r="B127" t="s">
        <v>3738</v>
      </c>
      <c r="C127" s="6">
        <v>45352</v>
      </c>
      <c r="D127" t="s">
        <v>193</v>
      </c>
      <c r="E127" s="6">
        <v>45355</v>
      </c>
      <c r="F127" t="s">
        <v>1014</v>
      </c>
      <c r="G127" t="s">
        <v>39</v>
      </c>
      <c r="H127" t="s">
        <v>39</v>
      </c>
      <c r="I127" t="s">
        <v>25</v>
      </c>
      <c r="J127" t="s">
        <v>25</v>
      </c>
      <c r="K127" t="s">
        <v>71</v>
      </c>
      <c r="L127" t="str">
        <f>IF(TRIM(K127)="","Unknown",PROPER(TRIM(K127)))</f>
        <v>West</v>
      </c>
      <c r="M127" t="s">
        <v>81</v>
      </c>
      <c r="N127" t="s">
        <v>82</v>
      </c>
      <c r="O127" t="s">
        <v>29</v>
      </c>
      <c r="P127" t="str">
        <f>IF(TRIM(O127)="","Unknown",PROPER(TRIM(O127)))</f>
        <v>Office Supplies</v>
      </c>
      <c r="Q127" t="s">
        <v>30</v>
      </c>
      <c r="R127" t="s">
        <v>1015</v>
      </c>
      <c r="S127" t="s">
        <v>55</v>
      </c>
      <c r="T127" t="str">
        <f>IF(TRIM(S127)="","Unknown",PROPER(TRIM(S127)))</f>
        <v>First Class</v>
      </c>
      <c r="U127">
        <v>8</v>
      </c>
      <c r="V127">
        <v>3202.4</v>
      </c>
      <c r="W127">
        <v>0.25</v>
      </c>
      <c r="Y127">
        <v>0.25</v>
      </c>
      <c r="Z127">
        <v>19214.400000000001</v>
      </c>
      <c r="AA127">
        <v>10916.01</v>
      </c>
      <c r="AB127">
        <v>8298.39</v>
      </c>
      <c r="AC127" t="s">
        <v>33</v>
      </c>
      <c r="AD127" t="s">
        <v>34</v>
      </c>
      <c r="AE127">
        <f>ROUND((U127*V127)-(U127*V127*Y127),2)</f>
        <v>19214.400000000001</v>
      </c>
      <c r="AF127">
        <f>AE127-AA127</f>
        <v>8298.3900000000012</v>
      </c>
      <c r="AG127" s="7">
        <f>ROUND((AF127/AE127),4)</f>
        <v>0.43190000000000001</v>
      </c>
      <c r="AH127">
        <f>IF(AND(C127&lt;&gt;"",E127&lt;&gt;""),E127 - C127,"")</f>
        <v>3</v>
      </c>
      <c r="AI127" t="str">
        <f>IF(C127="","",TEXT(C127, "mmmm"))</f>
        <v>March</v>
      </c>
      <c r="AJ127">
        <f>IF(C127="","",YEAR(C127))</f>
        <v>2024</v>
      </c>
      <c r="AM127" t="str">
        <f>IF(AN127="","clean","")</f>
        <v>clean</v>
      </c>
      <c r="AN127" t="s">
        <v>3595</v>
      </c>
    </row>
    <row r="128" spans="1:40">
      <c r="A128" t="s">
        <v>1028</v>
      </c>
      <c r="B128" t="s">
        <v>609</v>
      </c>
      <c r="C128" s="6">
        <v>45461</v>
      </c>
      <c r="D128" t="s">
        <v>1029</v>
      </c>
      <c r="E128" s="6">
        <v>45462</v>
      </c>
      <c r="F128" t="s">
        <v>1030</v>
      </c>
      <c r="G128" t="s">
        <v>141</v>
      </c>
      <c r="H128" t="s">
        <v>141</v>
      </c>
      <c r="I128" t="s">
        <v>25</v>
      </c>
      <c r="J128" t="s">
        <v>25</v>
      </c>
      <c r="K128" t="s">
        <v>41</v>
      </c>
      <c r="L128" t="str">
        <f>IF(TRIM(K128)="","Unknown",PROPER(TRIM(K128)))</f>
        <v>East</v>
      </c>
      <c r="M128" t="s">
        <v>174</v>
      </c>
      <c r="N128" t="s">
        <v>175</v>
      </c>
      <c r="O128" t="s">
        <v>83</v>
      </c>
      <c r="P128" t="str">
        <f>IF(TRIM(O128)="","Unknown",PROPER(TRIM(O128)))</f>
        <v>Technology</v>
      </c>
      <c r="Q128" t="s">
        <v>347</v>
      </c>
      <c r="R128" t="s">
        <v>1031</v>
      </c>
      <c r="S128" t="s">
        <v>55</v>
      </c>
      <c r="T128" t="str">
        <f>IF(TRIM(S128)="","Unknown",PROPER(TRIM(S128)))</f>
        <v>First Class</v>
      </c>
      <c r="U128">
        <v>2</v>
      </c>
      <c r="V128">
        <v>121.49</v>
      </c>
      <c r="W128" t="s">
        <v>1032</v>
      </c>
      <c r="Y128">
        <v>0</v>
      </c>
      <c r="Z128">
        <v>242.98</v>
      </c>
      <c r="AA128">
        <v>161.41999999999999</v>
      </c>
      <c r="AB128">
        <v>81.56</v>
      </c>
      <c r="AC128" t="s">
        <v>33</v>
      </c>
      <c r="AD128" t="s">
        <v>34</v>
      </c>
      <c r="AE128">
        <f>ROUND((U128*V128)-(U128*V128*Y128),2)</f>
        <v>242.98</v>
      </c>
      <c r="AF128">
        <f>AE128-AA128</f>
        <v>81.56</v>
      </c>
      <c r="AG128" s="7">
        <f>ROUND((AF128/AE128),4)</f>
        <v>0.3357</v>
      </c>
      <c r="AH128">
        <f>IF(AND(C128&lt;&gt;"",E128&lt;&gt;""),E128 - C128,"")</f>
        <v>1</v>
      </c>
      <c r="AI128" t="str">
        <f>IF(C128="","",TEXT(C128, "mmmm"))</f>
        <v>June</v>
      </c>
      <c r="AJ128">
        <f>IF(C128="","",YEAR(C128))</f>
        <v>2024</v>
      </c>
      <c r="AM128" t="s">
        <v>4145</v>
      </c>
      <c r="AN128" t="s">
        <v>3596</v>
      </c>
    </row>
    <row r="129" spans="1:40">
      <c r="A129" t="s">
        <v>1033</v>
      </c>
      <c r="B129" t="s">
        <v>1034</v>
      </c>
      <c r="C129" s="6">
        <v>45538</v>
      </c>
      <c r="D129" t="s">
        <v>1034</v>
      </c>
      <c r="E129" s="6">
        <v>45538</v>
      </c>
      <c r="F129" t="s">
        <v>1035</v>
      </c>
      <c r="G129" t="s">
        <v>158</v>
      </c>
      <c r="H129" t="s">
        <v>158</v>
      </c>
      <c r="I129" t="s">
        <v>25</v>
      </c>
      <c r="J129" t="s">
        <v>25</v>
      </c>
      <c r="K129" t="s">
        <v>60</v>
      </c>
      <c r="L129" t="str">
        <f>IF(TRIM(K129)="","Unknown",PROPER(TRIM(K129)))</f>
        <v>South</v>
      </c>
      <c r="M129" t="s">
        <v>224</v>
      </c>
      <c r="N129" t="s">
        <v>225</v>
      </c>
      <c r="O129" t="s">
        <v>29</v>
      </c>
      <c r="P129" t="str">
        <f>IF(TRIM(O129)="","Unknown",PROPER(TRIM(O129)))</f>
        <v>Office Supplies</v>
      </c>
      <c r="Q129" t="s">
        <v>148</v>
      </c>
      <c r="R129" t="s">
        <v>1036</v>
      </c>
      <c r="S129" t="s">
        <v>55</v>
      </c>
      <c r="T129" t="str">
        <f>IF(TRIM(S129)="","Unknown",PROPER(TRIM(S129)))</f>
        <v>First Class</v>
      </c>
      <c r="U129">
        <v>4</v>
      </c>
      <c r="V129">
        <v>2810.17</v>
      </c>
      <c r="W129">
        <v>0.15</v>
      </c>
      <c r="Y129">
        <v>0.15</v>
      </c>
      <c r="Z129">
        <v>9554.58</v>
      </c>
      <c r="AA129">
        <v>6068.47</v>
      </c>
      <c r="AB129">
        <v>3486.11</v>
      </c>
      <c r="AC129" t="s">
        <v>119</v>
      </c>
      <c r="AD129" t="s">
        <v>76</v>
      </c>
      <c r="AE129">
        <f>ROUND((U129*V129)-(U129*V129*Y129),2)</f>
        <v>9554.58</v>
      </c>
      <c r="AF129">
        <f>AE129-AA129</f>
        <v>3486.1099999999997</v>
      </c>
      <c r="AG129" s="7">
        <f>ROUND((AF129/AE129),4)</f>
        <v>0.3649</v>
      </c>
      <c r="AH129">
        <f>IF(AND(C129&lt;&gt;"",E129&lt;&gt;""),E129 - C129,"")</f>
        <v>0</v>
      </c>
      <c r="AI129" t="str">
        <f>IF(C129="","",TEXT(C129, "mmmm"))</f>
        <v>September</v>
      </c>
      <c r="AJ129">
        <f>IF(C129="","",YEAR(C129))</f>
        <v>2024</v>
      </c>
      <c r="AM129" t="str">
        <f>IF(AN129="","clean","")</f>
        <v>clean</v>
      </c>
      <c r="AN129" t="s">
        <v>3595</v>
      </c>
    </row>
    <row r="130" spans="1:40">
      <c r="A130" t="s">
        <v>1053</v>
      </c>
      <c r="B130" t="s">
        <v>1054</v>
      </c>
      <c r="C130" s="6">
        <v>45537</v>
      </c>
      <c r="D130" t="s">
        <v>1055</v>
      </c>
      <c r="E130" s="6">
        <v>45545</v>
      </c>
      <c r="F130" t="s">
        <v>1056</v>
      </c>
      <c r="G130" t="s">
        <v>39</v>
      </c>
      <c r="H130" t="s">
        <v>39</v>
      </c>
      <c r="I130" t="s">
        <v>104</v>
      </c>
      <c r="J130" t="s">
        <v>104</v>
      </c>
      <c r="K130" t="s">
        <v>71</v>
      </c>
      <c r="L130" t="str">
        <f>IF(TRIM(K130)="","Unknown",PROPER(TRIM(K130)))</f>
        <v>West</v>
      </c>
      <c r="M130" t="s">
        <v>230</v>
      </c>
      <c r="N130" t="s">
        <v>231</v>
      </c>
      <c r="O130" t="s">
        <v>83</v>
      </c>
      <c r="P130" t="str">
        <f>IF(TRIM(O130)="","Unknown",PROPER(TRIM(O130)))</f>
        <v>Technology</v>
      </c>
      <c r="Q130" t="s">
        <v>207</v>
      </c>
      <c r="R130" t="s">
        <v>1057</v>
      </c>
      <c r="S130" t="s">
        <v>65</v>
      </c>
      <c r="T130" t="str">
        <f>IF(TRIM(S130)="","Unknown",PROPER(TRIM(S130)))</f>
        <v>Standard Class</v>
      </c>
      <c r="U130">
        <v>6</v>
      </c>
      <c r="V130">
        <v>1032.47</v>
      </c>
      <c r="W130">
        <v>0.15</v>
      </c>
      <c r="Y130">
        <v>0.15</v>
      </c>
      <c r="Z130">
        <v>5265.6</v>
      </c>
      <c r="AA130">
        <v>4293.1099999999997</v>
      </c>
      <c r="AB130">
        <v>787.57</v>
      </c>
      <c r="AC130" t="s">
        <v>33</v>
      </c>
      <c r="AD130" t="s">
        <v>34</v>
      </c>
      <c r="AE130">
        <f>ROUND((U130*V130)-(U130*V130*Y130),2)</f>
        <v>5265.6</v>
      </c>
      <c r="AF130">
        <f>AE130-AA130</f>
        <v>972.49000000000069</v>
      </c>
      <c r="AG130" s="7">
        <f>ROUND((AF130/AE130),4)</f>
        <v>0.1847</v>
      </c>
      <c r="AH130">
        <f>IF(AND(C130&lt;&gt;"",E130&lt;&gt;""),E130 - C130,"")</f>
        <v>8</v>
      </c>
      <c r="AI130" t="str">
        <f>IF(C130="","",TEXT(C130, "mmmm"))</f>
        <v>September</v>
      </c>
      <c r="AJ130">
        <f>IF(C130="","",YEAR(C130))</f>
        <v>2024</v>
      </c>
      <c r="AM130" t="str">
        <f>IF(AN130="","clean","")</f>
        <v>clean</v>
      </c>
      <c r="AN130" t="s">
        <v>3595</v>
      </c>
    </row>
    <row r="131" spans="1:40">
      <c r="A131" t="s">
        <v>1061</v>
      </c>
      <c r="B131" t="s">
        <v>3745</v>
      </c>
      <c r="C131" s="6">
        <v>45478</v>
      </c>
      <c r="D131" t="s">
        <v>1062</v>
      </c>
      <c r="E131" s="6">
        <v>45485</v>
      </c>
      <c r="F131" t="s">
        <v>1063</v>
      </c>
      <c r="G131" t="s">
        <v>70</v>
      </c>
      <c r="H131" t="s">
        <v>70</v>
      </c>
      <c r="I131" t="s">
        <v>1064</v>
      </c>
      <c r="J131" t="s">
        <v>1064</v>
      </c>
      <c r="K131" t="s">
        <v>71</v>
      </c>
      <c r="L131" t="str">
        <f>IF(TRIM(K131)="","Unknown",PROPER(TRIM(K131)))</f>
        <v>West</v>
      </c>
      <c r="M131" t="s">
        <v>230</v>
      </c>
      <c r="N131" t="s">
        <v>231</v>
      </c>
      <c r="O131" t="s">
        <v>29</v>
      </c>
      <c r="P131" t="str">
        <f>IF(TRIM(O131)="","Unknown",PROPER(TRIM(O131)))</f>
        <v>Office Supplies</v>
      </c>
      <c r="Q131" t="s">
        <v>184</v>
      </c>
      <c r="R131" t="s">
        <v>1065</v>
      </c>
      <c r="S131" t="s">
        <v>55</v>
      </c>
      <c r="T131" t="str">
        <f>IF(TRIM(S131)="","Unknown",PROPER(TRIM(S131)))</f>
        <v>First Class</v>
      </c>
      <c r="U131">
        <v>3</v>
      </c>
      <c r="V131">
        <v>577.75</v>
      </c>
      <c r="W131">
        <v>0.15</v>
      </c>
      <c r="Y131">
        <v>0.15</v>
      </c>
      <c r="Z131">
        <v>1473.26</v>
      </c>
      <c r="AA131">
        <v>899.86</v>
      </c>
      <c r="AB131">
        <v>573.4</v>
      </c>
      <c r="AC131" t="s">
        <v>33</v>
      </c>
      <c r="AD131" t="s">
        <v>34</v>
      </c>
      <c r="AE131">
        <f>ROUND((U131*V131)-(U131*V131*Y131),2)</f>
        <v>1473.26</v>
      </c>
      <c r="AF131">
        <f>AE131-AA131</f>
        <v>573.4</v>
      </c>
      <c r="AG131" s="7">
        <f>ROUND((AF131/AE131),4)</f>
        <v>0.38919999999999999</v>
      </c>
      <c r="AH131">
        <f>IF(AND(C131&lt;&gt;"",E131&lt;&gt;""),E131 - C131,"")</f>
        <v>7</v>
      </c>
      <c r="AI131" t="str">
        <f>IF(C131="","",TEXT(C131, "mmmm"))</f>
        <v>July</v>
      </c>
      <c r="AJ131">
        <f>IF(C131="","",YEAR(C131))</f>
        <v>2024</v>
      </c>
      <c r="AM131" t="str">
        <f>IF(AN131="","clean","")</f>
        <v>clean</v>
      </c>
      <c r="AN131" t="s">
        <v>3595</v>
      </c>
    </row>
    <row r="132" spans="1:40">
      <c r="A132" t="s">
        <v>1066</v>
      </c>
      <c r="B132" t="s">
        <v>3746</v>
      </c>
      <c r="D132" t="s">
        <v>1067</v>
      </c>
      <c r="E132" s="6">
        <v>45410</v>
      </c>
      <c r="F132" t="s">
        <v>1068</v>
      </c>
      <c r="G132" t="s">
        <v>24</v>
      </c>
      <c r="H132" t="s">
        <v>24</v>
      </c>
      <c r="I132" t="s">
        <v>40</v>
      </c>
      <c r="J132" t="s">
        <v>40</v>
      </c>
      <c r="K132" t="s">
        <v>60</v>
      </c>
      <c r="L132" t="str">
        <f>IF(TRIM(K132)="","Unknown",PROPER(TRIM(K132)))</f>
        <v>South</v>
      </c>
      <c r="M132" t="s">
        <v>61</v>
      </c>
      <c r="N132" t="s">
        <v>62</v>
      </c>
      <c r="O132" t="s">
        <v>29</v>
      </c>
      <c r="P132" t="str">
        <f>IF(TRIM(O132)="","Unknown",PROPER(TRIM(O132)))</f>
        <v>Office Supplies</v>
      </c>
      <c r="Q132" t="s">
        <v>105</v>
      </c>
      <c r="R132" t="s">
        <v>1069</v>
      </c>
      <c r="S132" t="s">
        <v>32</v>
      </c>
      <c r="T132" t="str">
        <f>IF(TRIM(S132)="","Unknown",PROPER(TRIM(S132)))</f>
        <v>Second Class</v>
      </c>
      <c r="U132">
        <v>1</v>
      </c>
      <c r="V132">
        <v>3194.37</v>
      </c>
      <c r="W132">
        <v>0.15</v>
      </c>
      <c r="Y132">
        <v>0.15</v>
      </c>
      <c r="Z132">
        <v>2715.21</v>
      </c>
      <c r="AA132">
        <v>1551.55</v>
      </c>
      <c r="AB132">
        <v>1163.6600000000001</v>
      </c>
      <c r="AC132" t="s">
        <v>33</v>
      </c>
      <c r="AD132" t="s">
        <v>34</v>
      </c>
      <c r="AE132">
        <f>ROUND((U132*V132)-(U132*V132*Y132),2)</f>
        <v>2715.21</v>
      </c>
      <c r="AF132">
        <f>AE132-AA132</f>
        <v>1163.6600000000001</v>
      </c>
      <c r="AG132" s="7">
        <f>ROUND((AF132/AE132),4)</f>
        <v>0.42859999999999998</v>
      </c>
      <c r="AH132" t="str">
        <f>IF(AND(C132&lt;&gt;"",E132&lt;&gt;""),E132 - C132,"")</f>
        <v/>
      </c>
      <c r="AI132" t="str">
        <f>IF(C132="","",TEXT(C132, "mmmm"))</f>
        <v/>
      </c>
      <c r="AJ132" t="str">
        <f>IF(C132="","",YEAR(C132))</f>
        <v/>
      </c>
      <c r="AM132" t="s">
        <v>4144</v>
      </c>
      <c r="AN132" t="s">
        <v>4127</v>
      </c>
    </row>
    <row r="133" spans="1:40">
      <c r="A133" t="s">
        <v>1075</v>
      </c>
      <c r="B133" t="s">
        <v>78</v>
      </c>
      <c r="D133" t="s">
        <v>1076</v>
      </c>
      <c r="E133" s="6">
        <v>45446</v>
      </c>
      <c r="F133" t="s">
        <v>1077</v>
      </c>
      <c r="G133" t="s">
        <v>90</v>
      </c>
      <c r="H133" t="s">
        <v>90</v>
      </c>
      <c r="I133" t="s">
        <v>40</v>
      </c>
      <c r="J133" t="s">
        <v>40</v>
      </c>
      <c r="K133" t="s">
        <v>26</v>
      </c>
      <c r="L133" t="str">
        <f>IF(TRIM(K133)="","Unknown",PROPER(TRIM(K133)))</f>
        <v>North</v>
      </c>
      <c r="M133" t="s">
        <v>27</v>
      </c>
      <c r="N133" t="s">
        <v>28</v>
      </c>
      <c r="O133" t="s">
        <v>29</v>
      </c>
      <c r="P133" t="str">
        <f>IF(TRIM(O133)="","Unknown",PROPER(TRIM(O133)))</f>
        <v>Office Supplies</v>
      </c>
      <c r="Q133" t="s">
        <v>30</v>
      </c>
      <c r="R133" t="s">
        <v>1078</v>
      </c>
      <c r="S133" t="s">
        <v>65</v>
      </c>
      <c r="T133" t="str">
        <f>IF(TRIM(S133)="","Unknown",PROPER(TRIM(S133)))</f>
        <v>Standard Class</v>
      </c>
      <c r="U133">
        <v>8</v>
      </c>
      <c r="V133">
        <v>1540.33</v>
      </c>
      <c r="W133">
        <v>0.1</v>
      </c>
      <c r="Y133">
        <v>0.1</v>
      </c>
      <c r="Z133">
        <v>11090.38</v>
      </c>
      <c r="AA133">
        <v>8840.9500000000007</v>
      </c>
      <c r="AB133">
        <v>2249.4299999999998</v>
      </c>
      <c r="AC133" t="s">
        <v>33</v>
      </c>
      <c r="AD133" t="s">
        <v>34</v>
      </c>
      <c r="AE133">
        <f>ROUND((U133*V133)-(U133*V133*Y133),2)</f>
        <v>11090.38</v>
      </c>
      <c r="AF133">
        <f>AE133-AA133</f>
        <v>2249.4299999999985</v>
      </c>
      <c r="AG133" s="7">
        <f>ROUND((AF133/AE133),4)</f>
        <v>0.20280000000000001</v>
      </c>
      <c r="AH133" t="str">
        <f>IF(AND(C133&lt;&gt;"",E133&lt;&gt;""),E133 - C133,"")</f>
        <v/>
      </c>
      <c r="AI133" t="str">
        <f>IF(C133="","",TEXT(C133, "mmmm"))</f>
        <v/>
      </c>
      <c r="AJ133" t="str">
        <f>IF(C133="","",YEAR(C133))</f>
        <v/>
      </c>
      <c r="AM133" t="s">
        <v>4144</v>
      </c>
      <c r="AN133" t="s">
        <v>4127</v>
      </c>
    </row>
    <row r="134" spans="1:40">
      <c r="A134" t="s">
        <v>1079</v>
      </c>
      <c r="B134" t="s">
        <v>3747</v>
      </c>
      <c r="C134" s="6">
        <v>45414</v>
      </c>
      <c r="D134" t="s">
        <v>1080</v>
      </c>
      <c r="E134" s="6">
        <v>45414</v>
      </c>
      <c r="F134" t="s">
        <v>1081</v>
      </c>
      <c r="G134" t="s">
        <v>70</v>
      </c>
      <c r="H134" t="s">
        <v>70</v>
      </c>
      <c r="I134" t="s">
        <v>104</v>
      </c>
      <c r="J134" t="s">
        <v>104</v>
      </c>
      <c r="K134" t="s">
        <v>26</v>
      </c>
      <c r="L134" t="str">
        <f>IF(TRIM(K134)="","Unknown",PROPER(TRIM(K134)))</f>
        <v>North</v>
      </c>
      <c r="M134" t="s">
        <v>27</v>
      </c>
      <c r="N134" t="s">
        <v>28</v>
      </c>
      <c r="O134" t="s">
        <v>1082</v>
      </c>
      <c r="P134" t="str">
        <f>IF(TRIM(O134)="","Unknown",PROPER(TRIM(O134)))</f>
        <v>Office Supplies</v>
      </c>
      <c r="Q134" t="s">
        <v>105</v>
      </c>
      <c r="R134" t="s">
        <v>1083</v>
      </c>
      <c r="S134" t="s">
        <v>55</v>
      </c>
      <c r="T134" t="str">
        <f>IF(TRIM(S134)="","Unknown",PROPER(TRIM(S134)))</f>
        <v>First Class</v>
      </c>
      <c r="U134">
        <v>7</v>
      </c>
      <c r="V134">
        <v>2183.38</v>
      </c>
      <c r="W134">
        <v>0.25</v>
      </c>
      <c r="Y134">
        <v>0.25</v>
      </c>
      <c r="Z134">
        <v>11462.74</v>
      </c>
      <c r="AA134">
        <v>7163.54</v>
      </c>
      <c r="AB134">
        <v>4299.2</v>
      </c>
      <c r="AC134" t="s">
        <v>119</v>
      </c>
      <c r="AD134" t="s">
        <v>76</v>
      </c>
      <c r="AE134">
        <f>ROUND((U134*V134)-(U134*V134*Y134),2)</f>
        <v>11462.75</v>
      </c>
      <c r="AF134">
        <f>AE134-AA134</f>
        <v>4299.21</v>
      </c>
      <c r="AG134" s="7">
        <f>ROUND((AF134/AE134),4)</f>
        <v>0.37509999999999999</v>
      </c>
      <c r="AH134">
        <f>IF(AND(C134&lt;&gt;"",E134&lt;&gt;""),E134 - C134,"")</f>
        <v>0</v>
      </c>
      <c r="AI134" t="str">
        <f>IF(C134="","",TEXT(C134, "mmmm"))</f>
        <v>May</v>
      </c>
      <c r="AJ134">
        <f>IF(C134="","",YEAR(C134))</f>
        <v>2024</v>
      </c>
      <c r="AM134" t="s">
        <v>4145</v>
      </c>
      <c r="AN134" t="s">
        <v>4143</v>
      </c>
    </row>
    <row r="135" spans="1:40">
      <c r="A135" t="s">
        <v>1088</v>
      </c>
      <c r="B135" t="s">
        <v>3749</v>
      </c>
      <c r="C135" s="6">
        <v>45579</v>
      </c>
      <c r="D135" t="s">
        <v>1089</v>
      </c>
      <c r="E135" s="6">
        <v>45579</v>
      </c>
      <c r="F135" t="s">
        <v>1090</v>
      </c>
      <c r="G135" t="s">
        <v>80</v>
      </c>
      <c r="H135" t="s">
        <v>80</v>
      </c>
      <c r="I135" t="s">
        <v>104</v>
      </c>
      <c r="J135" t="s">
        <v>104</v>
      </c>
      <c r="K135" t="s">
        <v>60</v>
      </c>
      <c r="L135" t="str">
        <f>IF(TRIM(K135)="","Unknown",PROPER(TRIM(K135)))</f>
        <v>South</v>
      </c>
      <c r="M135" t="s">
        <v>212</v>
      </c>
      <c r="N135" t="s">
        <v>213</v>
      </c>
      <c r="O135" t="s">
        <v>44</v>
      </c>
      <c r="P135" t="str">
        <f>IF(TRIM(O135)="","Unknown",PROPER(TRIM(O135)))</f>
        <v>Furniture</v>
      </c>
      <c r="Q135" t="s">
        <v>190</v>
      </c>
      <c r="R135" t="s">
        <v>1091</v>
      </c>
      <c r="T135" t="str">
        <f>IF(TRIM(S135)="","Unknown",PROPER(TRIM(S135)))</f>
        <v>Unknown</v>
      </c>
      <c r="U135">
        <v>8</v>
      </c>
      <c r="V135">
        <v>3904.59</v>
      </c>
      <c r="W135">
        <v>0</v>
      </c>
      <c r="Y135">
        <v>0</v>
      </c>
      <c r="Z135">
        <v>31236.720000000001</v>
      </c>
      <c r="AA135">
        <v>26377.7</v>
      </c>
      <c r="AB135">
        <v>4859.0200000000004</v>
      </c>
      <c r="AC135" t="s">
        <v>33</v>
      </c>
      <c r="AD135" t="s">
        <v>34</v>
      </c>
      <c r="AE135">
        <f>ROUND((U135*V135)-(U135*V135*Y135),2)</f>
        <v>31236.720000000001</v>
      </c>
      <c r="AF135">
        <f>AE135-AA135</f>
        <v>4859.0200000000004</v>
      </c>
      <c r="AG135" s="7">
        <f>ROUND((AF135/AE135),4)</f>
        <v>0.15559999999999999</v>
      </c>
      <c r="AH135">
        <f>IF(AND(C135&lt;&gt;"",E135&lt;&gt;""),E135 - C135,"")</f>
        <v>0</v>
      </c>
      <c r="AI135" t="str">
        <f>IF(C135="","",TEXT(C135, "mmmm"))</f>
        <v>October</v>
      </c>
      <c r="AJ135">
        <f>IF(C135="","",YEAR(C135))</f>
        <v>2024</v>
      </c>
      <c r="AM135" t="s">
        <v>4145</v>
      </c>
      <c r="AN135" t="s">
        <v>3600</v>
      </c>
    </row>
    <row r="136" spans="1:40">
      <c r="A136" t="s">
        <v>1092</v>
      </c>
      <c r="B136" t="s">
        <v>3750</v>
      </c>
      <c r="C136" s="6">
        <v>45537</v>
      </c>
      <c r="D136" t="s">
        <v>1093</v>
      </c>
      <c r="E136" s="6">
        <v>45538</v>
      </c>
      <c r="F136" t="s">
        <v>1094</v>
      </c>
      <c r="G136" t="s">
        <v>334</v>
      </c>
      <c r="H136" t="s">
        <v>334</v>
      </c>
      <c r="I136" t="s">
        <v>110</v>
      </c>
      <c r="J136" t="s">
        <v>110</v>
      </c>
      <c r="K136" t="s">
        <v>26</v>
      </c>
      <c r="L136" t="str">
        <f>IF(TRIM(K136)="","Unknown",PROPER(TRIM(K136)))</f>
        <v>North</v>
      </c>
      <c r="M136" t="s">
        <v>454</v>
      </c>
      <c r="N136" t="s">
        <v>455</v>
      </c>
      <c r="O136" t="s">
        <v>44</v>
      </c>
      <c r="P136" t="str">
        <f>IF(TRIM(O136)="","Unknown",PROPER(TRIM(O136)))</f>
        <v>Furniture</v>
      </c>
      <c r="Q136" t="s">
        <v>63</v>
      </c>
      <c r="R136" t="s">
        <v>1095</v>
      </c>
      <c r="S136" t="s">
        <v>55</v>
      </c>
      <c r="T136" t="str">
        <f>IF(TRIM(S136)="","Unknown",PROPER(TRIM(S136)))</f>
        <v>First Class</v>
      </c>
      <c r="U136">
        <v>9</v>
      </c>
      <c r="V136">
        <v>1353.61</v>
      </c>
      <c r="W136">
        <v>0.1</v>
      </c>
      <c r="Y136">
        <v>0.1</v>
      </c>
      <c r="Z136">
        <v>10964.24</v>
      </c>
      <c r="AA136">
        <v>9262.4699999999993</v>
      </c>
      <c r="AB136">
        <v>1701.77</v>
      </c>
      <c r="AC136" t="s">
        <v>33</v>
      </c>
      <c r="AD136" t="s">
        <v>34</v>
      </c>
      <c r="AE136">
        <f>ROUND((U136*V136)-(U136*V136*Y136),2)</f>
        <v>10964.24</v>
      </c>
      <c r="AF136">
        <f>AE136-AA136</f>
        <v>1701.7700000000004</v>
      </c>
      <c r="AG136" s="7">
        <f>ROUND((AF136/AE136),4)</f>
        <v>0.1552</v>
      </c>
      <c r="AH136">
        <f>IF(AND(C136&lt;&gt;"",E136&lt;&gt;""),E136 - C136,"")</f>
        <v>1</v>
      </c>
      <c r="AI136" t="str">
        <f>IF(C136="","",TEXT(C136, "mmmm"))</f>
        <v>September</v>
      </c>
      <c r="AJ136">
        <f>IF(C136="","",YEAR(C136))</f>
        <v>2024</v>
      </c>
      <c r="AM136" t="str">
        <f>IF(AN136="","clean","")</f>
        <v>clean</v>
      </c>
      <c r="AN136" t="s">
        <v>3595</v>
      </c>
    </row>
    <row r="137" spans="1:40">
      <c r="A137" t="s">
        <v>1096</v>
      </c>
      <c r="B137" t="s">
        <v>3751</v>
      </c>
      <c r="C137" s="6">
        <v>45598</v>
      </c>
      <c r="D137" t="s">
        <v>1097</v>
      </c>
      <c r="E137" s="6">
        <v>45599</v>
      </c>
      <c r="F137" t="s">
        <v>1098</v>
      </c>
      <c r="G137" t="s">
        <v>141</v>
      </c>
      <c r="H137" t="s">
        <v>141</v>
      </c>
      <c r="I137" t="s">
        <v>40</v>
      </c>
      <c r="J137" t="s">
        <v>40</v>
      </c>
      <c r="K137" t="s">
        <v>71</v>
      </c>
      <c r="L137" t="str">
        <f>IF(TRIM(K137)="","Unknown",PROPER(TRIM(K137)))</f>
        <v>West</v>
      </c>
      <c r="M137" t="s">
        <v>27</v>
      </c>
      <c r="N137" t="s">
        <v>129</v>
      </c>
      <c r="O137" t="s">
        <v>29</v>
      </c>
      <c r="P137" t="str">
        <f>IF(TRIM(O137)="","Unknown",PROPER(TRIM(O137)))</f>
        <v>Office Supplies</v>
      </c>
      <c r="Q137" t="s">
        <v>148</v>
      </c>
      <c r="R137" t="s">
        <v>1099</v>
      </c>
      <c r="S137" t="s">
        <v>65</v>
      </c>
      <c r="T137" t="str">
        <f>IF(TRIM(S137)="","Unknown",PROPER(TRIM(S137)))</f>
        <v>Standard Class</v>
      </c>
      <c r="U137">
        <v>6</v>
      </c>
      <c r="V137">
        <v>2671.29</v>
      </c>
      <c r="W137">
        <v>0.05</v>
      </c>
      <c r="Y137">
        <v>0.05</v>
      </c>
      <c r="Z137">
        <v>15226.35</v>
      </c>
      <c r="AA137">
        <v>11145.28</v>
      </c>
      <c r="AB137">
        <v>4081.07</v>
      </c>
      <c r="AC137" t="s">
        <v>33</v>
      </c>
      <c r="AD137" t="s">
        <v>34</v>
      </c>
      <c r="AE137">
        <f>ROUND((U137*V137)-(U137*V137*Y137),2)</f>
        <v>15226.35</v>
      </c>
      <c r="AF137">
        <f>AE137-AA137</f>
        <v>4081.0699999999997</v>
      </c>
      <c r="AG137" s="7">
        <f>ROUND((AF137/AE137),4)</f>
        <v>0.26800000000000002</v>
      </c>
      <c r="AH137">
        <f>IF(AND(C137&lt;&gt;"",E137&lt;&gt;""),E137 - C137,"")</f>
        <v>1</v>
      </c>
      <c r="AI137" t="str">
        <f>IF(C137="","",TEXT(C137, "mmmm"))</f>
        <v>November</v>
      </c>
      <c r="AJ137">
        <f>IF(C137="","",YEAR(C137))</f>
        <v>2024</v>
      </c>
      <c r="AM137" t="str">
        <f>IF(AN137="","clean","")</f>
        <v>clean</v>
      </c>
      <c r="AN137" t="s">
        <v>3595</v>
      </c>
    </row>
    <row r="138" spans="1:40">
      <c r="A138" t="s">
        <v>1100</v>
      </c>
      <c r="B138" t="s">
        <v>1089</v>
      </c>
      <c r="C138" s="6">
        <v>45579</v>
      </c>
      <c r="D138" t="s">
        <v>1101</v>
      </c>
      <c r="E138" s="6">
        <v>45586</v>
      </c>
      <c r="F138" t="s">
        <v>1102</v>
      </c>
      <c r="G138" t="s">
        <v>136</v>
      </c>
      <c r="H138" t="s">
        <v>136</v>
      </c>
      <c r="I138" t="s">
        <v>104</v>
      </c>
      <c r="J138" t="s">
        <v>104</v>
      </c>
      <c r="K138" t="s">
        <v>26</v>
      </c>
      <c r="L138" t="str">
        <f>IF(TRIM(K138)="","Unknown",PROPER(TRIM(K138)))</f>
        <v>North</v>
      </c>
      <c r="M138" t="s">
        <v>163</v>
      </c>
      <c r="N138" t="s">
        <v>164</v>
      </c>
      <c r="O138" t="s">
        <v>44</v>
      </c>
      <c r="P138" t="str">
        <f>IF(TRIM(O138)="","Unknown",PROPER(TRIM(O138)))</f>
        <v>Furniture</v>
      </c>
      <c r="Q138" t="s">
        <v>190</v>
      </c>
      <c r="R138" t="s">
        <v>1103</v>
      </c>
      <c r="S138" t="s">
        <v>55</v>
      </c>
      <c r="T138" t="str">
        <f>IF(TRIM(S138)="","Unknown",PROPER(TRIM(S138)))</f>
        <v>First Class</v>
      </c>
      <c r="U138">
        <v>6</v>
      </c>
      <c r="V138">
        <v>4062.78</v>
      </c>
      <c r="W138">
        <v>0</v>
      </c>
      <c r="Y138">
        <v>0</v>
      </c>
      <c r="Z138">
        <v>24376.68</v>
      </c>
      <c r="AA138">
        <v>18533.39</v>
      </c>
      <c r="AB138">
        <v>5843.29</v>
      </c>
      <c r="AC138" t="s">
        <v>33</v>
      </c>
      <c r="AD138" t="s">
        <v>34</v>
      </c>
      <c r="AE138">
        <f>ROUND((U138*V138)-(U138*V138*Y138),2)</f>
        <v>24376.68</v>
      </c>
      <c r="AF138">
        <f>AE138-AA138</f>
        <v>5843.2900000000009</v>
      </c>
      <c r="AG138" s="7">
        <f>ROUND((AF138/AE138),4)</f>
        <v>0.2397</v>
      </c>
      <c r="AH138">
        <f>IF(AND(C138&lt;&gt;"",E138&lt;&gt;""),E138 - C138,"")</f>
        <v>7</v>
      </c>
      <c r="AI138" t="str">
        <f>IF(C138="","",TEXT(C138, "mmmm"))</f>
        <v>October</v>
      </c>
      <c r="AJ138">
        <f>IF(C138="","",YEAR(C138))</f>
        <v>2024</v>
      </c>
      <c r="AM138" t="str">
        <f>IF(AN138="","clean","")</f>
        <v>clean</v>
      </c>
      <c r="AN138" t="s">
        <v>3595</v>
      </c>
    </row>
    <row r="139" spans="1:40">
      <c r="A139" t="s">
        <v>1104</v>
      </c>
      <c r="B139" t="s">
        <v>1105</v>
      </c>
      <c r="C139" s="6">
        <v>45531</v>
      </c>
      <c r="D139" t="s">
        <v>1105</v>
      </c>
      <c r="E139" s="6">
        <v>45531</v>
      </c>
      <c r="F139" t="s">
        <v>1106</v>
      </c>
      <c r="G139" t="s">
        <v>39</v>
      </c>
      <c r="H139" t="s">
        <v>39</v>
      </c>
      <c r="I139" t="s">
        <v>25</v>
      </c>
      <c r="J139" t="s">
        <v>25</v>
      </c>
      <c r="K139" t="s">
        <v>26</v>
      </c>
      <c r="L139" t="str">
        <f>IF(TRIM(K139)="","Unknown",PROPER(TRIM(K139)))</f>
        <v>North</v>
      </c>
      <c r="M139" t="s">
        <v>294</v>
      </c>
      <c r="N139" t="s">
        <v>295</v>
      </c>
      <c r="O139" t="s">
        <v>83</v>
      </c>
      <c r="P139" t="str">
        <f>IF(TRIM(O139)="","Unknown",PROPER(TRIM(O139)))</f>
        <v>Technology</v>
      </c>
      <c r="Q139" t="s">
        <v>91</v>
      </c>
      <c r="R139" t="s">
        <v>1107</v>
      </c>
      <c r="S139" t="s">
        <v>65</v>
      </c>
      <c r="T139" t="str">
        <f>IF(TRIM(S139)="","Unknown",PROPER(TRIM(S139)))</f>
        <v>Standard Class</v>
      </c>
      <c r="U139">
        <v>9</v>
      </c>
      <c r="V139">
        <v>2330.3000000000002</v>
      </c>
      <c r="W139">
        <v>0</v>
      </c>
      <c r="Y139">
        <v>0</v>
      </c>
      <c r="Z139">
        <v>20972.7</v>
      </c>
      <c r="AA139">
        <v>13504.88</v>
      </c>
      <c r="AB139">
        <v>7467.82</v>
      </c>
      <c r="AC139" t="s">
        <v>33</v>
      </c>
      <c r="AD139" t="s">
        <v>34</v>
      </c>
      <c r="AE139">
        <f>ROUND((U139*V139)-(U139*V139*Y139),2)</f>
        <v>20972.7</v>
      </c>
      <c r="AF139">
        <f>AE139-AA139</f>
        <v>7467.8200000000015</v>
      </c>
      <c r="AG139" s="7">
        <f>ROUND((AF139/AE139),4)</f>
        <v>0.35610000000000003</v>
      </c>
      <c r="AH139">
        <f>IF(AND(C139&lt;&gt;"",E139&lt;&gt;""),E139 - C139,"")</f>
        <v>0</v>
      </c>
      <c r="AI139" t="str">
        <f>IF(C139="","",TEXT(C139, "mmmm"))</f>
        <v>August</v>
      </c>
      <c r="AJ139">
        <f>IF(C139="","",YEAR(C139))</f>
        <v>2024</v>
      </c>
      <c r="AM139" t="str">
        <f>IF(AN139="","clean","")</f>
        <v>clean</v>
      </c>
      <c r="AN139" t="s">
        <v>3595</v>
      </c>
    </row>
    <row r="140" spans="1:40">
      <c r="A140" t="s">
        <v>1108</v>
      </c>
      <c r="B140" t="s">
        <v>3752</v>
      </c>
      <c r="C140" s="6">
        <v>45303</v>
      </c>
      <c r="D140" t="s">
        <v>1109</v>
      </c>
      <c r="E140" s="6">
        <v>45308</v>
      </c>
      <c r="F140" t="s">
        <v>1110</v>
      </c>
      <c r="G140" t="s">
        <v>59</v>
      </c>
      <c r="H140" t="s">
        <v>59</v>
      </c>
      <c r="I140" t="s">
        <v>25</v>
      </c>
      <c r="J140" t="s">
        <v>25</v>
      </c>
      <c r="K140" t="s">
        <v>60</v>
      </c>
      <c r="L140" t="str">
        <f>IF(TRIM(K140)="","Unknown",PROPER(TRIM(K140)))</f>
        <v>South</v>
      </c>
      <c r="M140" t="s">
        <v>97</v>
      </c>
      <c r="N140" t="s">
        <v>98</v>
      </c>
      <c r="O140" t="s">
        <v>29</v>
      </c>
      <c r="P140" t="str">
        <f>IF(TRIM(O140)="","Unknown",PROPER(TRIM(O140)))</f>
        <v>Office Supplies</v>
      </c>
      <c r="Q140" t="s">
        <v>148</v>
      </c>
      <c r="R140" t="s">
        <v>1111</v>
      </c>
      <c r="S140" t="s">
        <v>55</v>
      </c>
      <c r="T140" t="str">
        <f>IF(TRIM(S140)="","Unknown",PROPER(TRIM(S140)))</f>
        <v>First Class</v>
      </c>
      <c r="U140">
        <v>7</v>
      </c>
      <c r="V140">
        <v>4005.05</v>
      </c>
      <c r="W140">
        <v>0.55000000000000004</v>
      </c>
      <c r="Y140">
        <v>0.05</v>
      </c>
      <c r="Z140">
        <v>26633.58</v>
      </c>
      <c r="AA140">
        <v>18838.75</v>
      </c>
      <c r="AB140">
        <v>7794.83</v>
      </c>
      <c r="AC140" t="s">
        <v>33</v>
      </c>
      <c r="AD140" t="s">
        <v>34</v>
      </c>
      <c r="AE140">
        <f>ROUND((U140*V140)-(U140*V140*Y140),2)</f>
        <v>26633.58</v>
      </c>
      <c r="AF140">
        <f>AE140-AA140</f>
        <v>7794.8300000000017</v>
      </c>
      <c r="AG140" s="7">
        <f>ROUND((AF140/AE140),4)</f>
        <v>0.29270000000000002</v>
      </c>
      <c r="AH140">
        <f>IF(AND(C140&lt;&gt;"",E140&lt;&gt;""),E140 - C140,"")</f>
        <v>5</v>
      </c>
      <c r="AI140" t="str">
        <f>IF(C140="","",TEXT(C140, "mmmm"))</f>
        <v>January</v>
      </c>
      <c r="AJ140">
        <f>IF(C140="","",YEAR(C140))</f>
        <v>2024</v>
      </c>
      <c r="AM140" t="s">
        <v>4145</v>
      </c>
      <c r="AN140" t="s">
        <v>3596</v>
      </c>
    </row>
    <row r="141" spans="1:40">
      <c r="A141" t="s">
        <v>1112</v>
      </c>
      <c r="B141" t="s">
        <v>3753</v>
      </c>
      <c r="D141" t="s">
        <v>1001</v>
      </c>
      <c r="E141" s="6">
        <v>45556</v>
      </c>
      <c r="F141" t="s">
        <v>1113</v>
      </c>
      <c r="G141" t="s">
        <v>334</v>
      </c>
      <c r="H141" t="s">
        <v>334</v>
      </c>
      <c r="I141" t="s">
        <v>104</v>
      </c>
      <c r="J141" t="s">
        <v>104</v>
      </c>
      <c r="K141" t="s">
        <v>60</v>
      </c>
      <c r="L141" t="str">
        <f>IF(TRIM(K141)="","Unknown",PROPER(TRIM(K141)))</f>
        <v>South</v>
      </c>
      <c r="M141" t="s">
        <v>212</v>
      </c>
      <c r="N141" t="s">
        <v>213</v>
      </c>
      <c r="O141" t="s">
        <v>83</v>
      </c>
      <c r="P141" t="str">
        <f>IF(TRIM(O141)="","Unknown",PROPER(TRIM(O141)))</f>
        <v>Technology</v>
      </c>
      <c r="Q141" t="s">
        <v>347</v>
      </c>
      <c r="R141" t="s">
        <v>1114</v>
      </c>
      <c r="S141" t="s">
        <v>55</v>
      </c>
      <c r="T141" t="str">
        <f>IF(TRIM(S141)="","Unknown",PROPER(TRIM(S141)))</f>
        <v>First Class</v>
      </c>
      <c r="U141">
        <v>2</v>
      </c>
      <c r="V141">
        <v>1960.06</v>
      </c>
      <c r="W141">
        <v>0.2</v>
      </c>
      <c r="Y141">
        <v>0.2</v>
      </c>
      <c r="Z141">
        <v>3136.1</v>
      </c>
      <c r="AA141">
        <v>2279.4899999999998</v>
      </c>
      <c r="AB141">
        <v>856.61</v>
      </c>
      <c r="AC141" t="s">
        <v>33</v>
      </c>
      <c r="AD141" t="s">
        <v>34</v>
      </c>
      <c r="AE141">
        <f>ROUND((U141*V141)-(U141*V141*Y141),2)</f>
        <v>3136.1</v>
      </c>
      <c r="AF141">
        <f>AE141-AA141</f>
        <v>856.61000000000013</v>
      </c>
      <c r="AG141" s="7">
        <f>ROUND((AF141/AE141),4)</f>
        <v>0.27310000000000001</v>
      </c>
      <c r="AH141" t="str">
        <f>IF(AND(C141&lt;&gt;"",E141&lt;&gt;""),E141 - C141,"")</f>
        <v/>
      </c>
      <c r="AI141" t="str">
        <f>IF(C141="","",TEXT(C141, "mmmm"))</f>
        <v/>
      </c>
      <c r="AJ141" t="str">
        <f>IF(C141="","",YEAR(C141))</f>
        <v/>
      </c>
      <c r="AM141" t="s">
        <v>4144</v>
      </c>
      <c r="AN141" t="s">
        <v>4127</v>
      </c>
    </row>
    <row r="142" spans="1:40">
      <c r="A142" t="s">
        <v>1115</v>
      </c>
      <c r="B142" t="s">
        <v>3754</v>
      </c>
      <c r="C142" s="6">
        <v>45643</v>
      </c>
      <c r="D142" t="s">
        <v>733</v>
      </c>
      <c r="F142" t="s">
        <v>1116</v>
      </c>
      <c r="G142" t="s">
        <v>153</v>
      </c>
      <c r="H142" t="s">
        <v>153</v>
      </c>
      <c r="I142" t="s">
        <v>104</v>
      </c>
      <c r="J142" t="s">
        <v>104</v>
      </c>
      <c r="K142" t="s">
        <v>60</v>
      </c>
      <c r="L142" t="str">
        <f>IF(TRIM(K142)="","Unknown",PROPER(TRIM(K142)))</f>
        <v>South</v>
      </c>
      <c r="M142" t="s">
        <v>61</v>
      </c>
      <c r="N142" t="s">
        <v>62</v>
      </c>
      <c r="O142" t="s">
        <v>29</v>
      </c>
      <c r="P142" t="str">
        <f>IF(TRIM(O142)="","Unknown",PROPER(TRIM(O142)))</f>
        <v>Office Supplies</v>
      </c>
      <c r="Q142" t="s">
        <v>184</v>
      </c>
      <c r="R142" t="s">
        <v>1117</v>
      </c>
      <c r="S142" t="s">
        <v>55</v>
      </c>
      <c r="T142" t="str">
        <f>IF(TRIM(S142)="","Unknown",PROPER(TRIM(S142)))</f>
        <v>First Class</v>
      </c>
      <c r="U142">
        <v>9</v>
      </c>
      <c r="V142">
        <v>2315.1</v>
      </c>
      <c r="W142">
        <v>0</v>
      </c>
      <c r="Y142">
        <v>0</v>
      </c>
      <c r="Z142">
        <v>20835.900000000001</v>
      </c>
      <c r="AA142">
        <v>13928.19</v>
      </c>
      <c r="AB142">
        <v>6907.71</v>
      </c>
      <c r="AC142" t="s">
        <v>33</v>
      </c>
      <c r="AD142" t="s">
        <v>34</v>
      </c>
      <c r="AE142">
        <f>ROUND((U142*V142)-(U142*V142*Y142),2)</f>
        <v>20835.900000000001</v>
      </c>
      <c r="AF142">
        <f>AE142-AA142</f>
        <v>6907.7100000000009</v>
      </c>
      <c r="AG142" s="7">
        <f>ROUND((AF142/AE142),4)</f>
        <v>0.33150000000000002</v>
      </c>
      <c r="AH142" t="str">
        <f>IF(AND(C142&lt;&gt;"",E142&lt;&gt;""),E142 - C142,"")</f>
        <v/>
      </c>
      <c r="AI142" t="str">
        <f>IF(C142="","",TEXT(C142, "mmmm"))</f>
        <v>December</v>
      </c>
      <c r="AJ142">
        <f>IF(C142="","",YEAR(C142))</f>
        <v>2024</v>
      </c>
      <c r="AM142" t="s">
        <v>4144</v>
      </c>
      <c r="AN142" t="s">
        <v>4136</v>
      </c>
    </row>
    <row r="143" spans="1:40">
      <c r="A143" t="s">
        <v>1130</v>
      </c>
      <c r="B143" t="s">
        <v>568</v>
      </c>
      <c r="C143" s="6">
        <v>45527</v>
      </c>
      <c r="D143" t="s">
        <v>1131</v>
      </c>
      <c r="E143" s="6">
        <v>45528</v>
      </c>
      <c r="F143" t="s">
        <v>1132</v>
      </c>
      <c r="G143" t="s">
        <v>90</v>
      </c>
      <c r="H143" t="s">
        <v>90</v>
      </c>
      <c r="I143" t="s">
        <v>25</v>
      </c>
      <c r="J143" t="s">
        <v>25</v>
      </c>
      <c r="K143" t="s">
        <v>60</v>
      </c>
      <c r="L143" t="str">
        <f>IF(TRIM(K143)="","Unknown",PROPER(TRIM(K143)))</f>
        <v>South</v>
      </c>
      <c r="M143" t="s">
        <v>61</v>
      </c>
      <c r="N143" t="s">
        <v>62</v>
      </c>
      <c r="O143" t="s">
        <v>44</v>
      </c>
      <c r="P143" t="str">
        <f>IF(TRIM(O143)="","Unknown",PROPER(TRIM(O143)))</f>
        <v>Furniture</v>
      </c>
      <c r="Q143" t="s">
        <v>190</v>
      </c>
      <c r="R143" t="s">
        <v>1133</v>
      </c>
      <c r="S143" t="s">
        <v>47</v>
      </c>
      <c r="T143" t="str">
        <f>IF(TRIM(S143)="","Unknown",PROPER(TRIM(S143)))</f>
        <v>Same Day</v>
      </c>
      <c r="U143">
        <v>6</v>
      </c>
      <c r="V143">
        <v>1021.89</v>
      </c>
      <c r="W143">
        <v>0</v>
      </c>
      <c r="Y143">
        <v>0</v>
      </c>
      <c r="Z143">
        <v>6131.34</v>
      </c>
      <c r="AA143">
        <v>4060.88</v>
      </c>
      <c r="AB143">
        <v>2070.46</v>
      </c>
      <c r="AC143" t="s">
        <v>33</v>
      </c>
      <c r="AD143" t="s">
        <v>34</v>
      </c>
      <c r="AE143">
        <f>ROUND((U143*V143)-(U143*V143*Y143),2)</f>
        <v>6131.34</v>
      </c>
      <c r="AF143">
        <f>AE143-AA143</f>
        <v>2070.46</v>
      </c>
      <c r="AG143" s="7">
        <f>ROUND((AF143/AE143),4)</f>
        <v>0.3377</v>
      </c>
      <c r="AH143">
        <f>IF(AND(C143&lt;&gt;"",E143&lt;&gt;""),E143 - C143,"")</f>
        <v>1</v>
      </c>
      <c r="AI143" t="str">
        <f>IF(C143="","",TEXT(C143, "mmmm"))</f>
        <v>August</v>
      </c>
      <c r="AJ143">
        <f>IF(C143="","",YEAR(C143))</f>
        <v>2024</v>
      </c>
      <c r="AM143" t="str">
        <f>IF(AN143="","clean","")</f>
        <v>clean</v>
      </c>
      <c r="AN143" t="s">
        <v>3595</v>
      </c>
    </row>
    <row r="144" spans="1:40">
      <c r="A144" t="s">
        <v>1134</v>
      </c>
      <c r="B144" t="s">
        <v>3671</v>
      </c>
      <c r="C144" s="6">
        <v>45583</v>
      </c>
      <c r="D144" t="s">
        <v>773</v>
      </c>
      <c r="F144" t="s">
        <v>1135</v>
      </c>
      <c r="G144" t="s">
        <v>90</v>
      </c>
      <c r="H144" t="s">
        <v>90</v>
      </c>
      <c r="I144" t="s">
        <v>110</v>
      </c>
      <c r="J144" t="s">
        <v>110</v>
      </c>
      <c r="K144" t="s">
        <v>60</v>
      </c>
      <c r="L144" t="str">
        <f>IF(TRIM(K144)="","Unknown",PROPER(TRIM(K144)))</f>
        <v>South</v>
      </c>
      <c r="M144" t="s">
        <v>224</v>
      </c>
      <c r="N144" t="s">
        <v>225</v>
      </c>
      <c r="O144" t="s">
        <v>1136</v>
      </c>
      <c r="P144" t="str">
        <f>IF(TRIM(O144)="","Unknown",PROPER(TRIM(O144)))</f>
        <v>Furniture</v>
      </c>
      <c r="Q144" t="s">
        <v>74</v>
      </c>
      <c r="R144" t="s">
        <v>1137</v>
      </c>
      <c r="S144" t="s">
        <v>32</v>
      </c>
      <c r="T144" t="str">
        <f>IF(TRIM(S144)="","Unknown",PROPER(TRIM(S144)))</f>
        <v>Second Class</v>
      </c>
      <c r="U144">
        <v>3</v>
      </c>
      <c r="V144">
        <v>3275.93</v>
      </c>
      <c r="W144">
        <v>0</v>
      </c>
      <c r="Y144">
        <v>0</v>
      </c>
      <c r="Z144">
        <v>9827.7900000000009</v>
      </c>
      <c r="AA144">
        <v>5478.28</v>
      </c>
      <c r="AB144">
        <v>4349.51</v>
      </c>
      <c r="AC144" t="s">
        <v>33</v>
      </c>
      <c r="AD144" t="s">
        <v>34</v>
      </c>
      <c r="AE144">
        <f>ROUND((U144*V144)-(U144*V144*Y144),2)</f>
        <v>9827.7900000000009</v>
      </c>
      <c r="AF144">
        <f>AE144-AA144</f>
        <v>4349.5100000000011</v>
      </c>
      <c r="AG144" s="7">
        <f>ROUND((AF144/AE144),4)</f>
        <v>0.44259999999999999</v>
      </c>
      <c r="AH144" t="str">
        <f>IF(AND(C144&lt;&gt;"",E144&lt;&gt;""),E144 - C144,"")</f>
        <v/>
      </c>
      <c r="AI144" t="str">
        <f>IF(C144="","",TEXT(C144, "mmmm"))</f>
        <v>October</v>
      </c>
      <c r="AJ144">
        <f>IF(C144="","",YEAR(C144))</f>
        <v>2024</v>
      </c>
      <c r="AM144" t="s">
        <v>4144</v>
      </c>
      <c r="AN144" t="s">
        <v>4136</v>
      </c>
    </row>
    <row r="145" spans="1:40">
      <c r="A145" t="s">
        <v>1138</v>
      </c>
      <c r="B145" t="s">
        <v>1139</v>
      </c>
      <c r="C145" s="6">
        <v>45416</v>
      </c>
      <c r="D145" t="s">
        <v>1140</v>
      </c>
      <c r="E145" s="6">
        <v>45421</v>
      </c>
      <c r="F145" t="s">
        <v>1141</v>
      </c>
      <c r="G145" t="s">
        <v>70</v>
      </c>
      <c r="H145" t="s">
        <v>70</v>
      </c>
      <c r="I145" t="s">
        <v>104</v>
      </c>
      <c r="J145" t="s">
        <v>104</v>
      </c>
      <c r="K145" t="s">
        <v>26</v>
      </c>
      <c r="L145" t="str">
        <f>IF(TRIM(K145)="","Unknown",PROPER(TRIM(K145)))</f>
        <v>North</v>
      </c>
      <c r="M145" t="s">
        <v>146</v>
      </c>
      <c r="N145" t="s">
        <v>147</v>
      </c>
      <c r="O145" t="s">
        <v>83</v>
      </c>
      <c r="P145" t="str">
        <f>IF(TRIM(O145)="","Unknown",PROPER(TRIM(O145)))</f>
        <v>Technology</v>
      </c>
      <c r="Q145" t="s">
        <v>347</v>
      </c>
      <c r="R145" t="s">
        <v>1142</v>
      </c>
      <c r="S145" t="s">
        <v>47</v>
      </c>
      <c r="T145" t="str">
        <f>IF(TRIM(S145)="","Unknown",PROPER(TRIM(S145)))</f>
        <v>Same Day</v>
      </c>
      <c r="U145">
        <v>3</v>
      </c>
      <c r="V145">
        <v>231.95</v>
      </c>
      <c r="W145">
        <v>0.25</v>
      </c>
      <c r="Y145">
        <v>0.25</v>
      </c>
      <c r="Z145">
        <v>521.89</v>
      </c>
      <c r="AA145">
        <v>444.52</v>
      </c>
      <c r="AB145">
        <v>77.37</v>
      </c>
      <c r="AC145" t="s">
        <v>119</v>
      </c>
      <c r="AD145" t="s">
        <v>76</v>
      </c>
      <c r="AE145">
        <f>ROUND((U145*V145)-(U145*V145*Y145),2)</f>
        <v>521.89</v>
      </c>
      <c r="AF145">
        <f>AE145-AA145</f>
        <v>77.37</v>
      </c>
      <c r="AG145" s="7">
        <f>ROUND((AF145/AE145),4)</f>
        <v>0.1482</v>
      </c>
      <c r="AH145">
        <f>IF(AND(C145&lt;&gt;"",E145&lt;&gt;""),E145 - C145,"")</f>
        <v>5</v>
      </c>
      <c r="AI145" t="str">
        <f>IF(C145="","",TEXT(C145, "mmmm"))</f>
        <v>May</v>
      </c>
      <c r="AJ145">
        <f>IF(C145="","",YEAR(C145))</f>
        <v>2024</v>
      </c>
      <c r="AM145" t="str">
        <f>IF(AN145="","clean","")</f>
        <v>clean</v>
      </c>
      <c r="AN145" t="s">
        <v>3595</v>
      </c>
    </row>
    <row r="146" spans="1:40">
      <c r="A146" t="s">
        <v>1143</v>
      </c>
      <c r="B146" t="s">
        <v>3757</v>
      </c>
      <c r="C146" s="6">
        <v>45498</v>
      </c>
      <c r="D146" t="s">
        <v>1144</v>
      </c>
      <c r="E146" s="6">
        <v>45505</v>
      </c>
      <c r="F146" t="s">
        <v>1145</v>
      </c>
      <c r="G146" t="s">
        <v>141</v>
      </c>
      <c r="H146" t="s">
        <v>141</v>
      </c>
      <c r="I146" t="s">
        <v>104</v>
      </c>
      <c r="J146" t="s">
        <v>104</v>
      </c>
      <c r="K146" t="s">
        <v>26</v>
      </c>
      <c r="L146" t="str">
        <f>IF(TRIM(K146)="","Unknown",PROPER(TRIM(K146)))</f>
        <v>North</v>
      </c>
      <c r="M146" t="s">
        <v>27</v>
      </c>
      <c r="N146" t="s">
        <v>28</v>
      </c>
      <c r="O146" t="s">
        <v>83</v>
      </c>
      <c r="P146" t="str">
        <f>IF(TRIM(O146)="","Unknown",PROPER(TRIM(O146)))</f>
        <v>Technology</v>
      </c>
      <c r="Q146" t="s">
        <v>84</v>
      </c>
      <c r="R146" t="s">
        <v>1146</v>
      </c>
      <c r="S146" t="s">
        <v>32</v>
      </c>
      <c r="T146" t="str">
        <f>IF(TRIM(S146)="","Unknown",PROPER(TRIM(S146)))</f>
        <v>Second Class</v>
      </c>
      <c r="U146">
        <v>8</v>
      </c>
      <c r="V146">
        <v>2493.4</v>
      </c>
      <c r="W146">
        <v>0.25</v>
      </c>
      <c r="Y146">
        <v>0.25</v>
      </c>
      <c r="Z146">
        <v>14960.4</v>
      </c>
      <c r="AA146">
        <v>12500.84</v>
      </c>
      <c r="AB146">
        <v>2459.56</v>
      </c>
      <c r="AC146" t="s">
        <v>33</v>
      </c>
      <c r="AD146" t="s">
        <v>34</v>
      </c>
      <c r="AE146">
        <f>ROUND((U146*V146)-(U146*V146*Y146),2)</f>
        <v>14960.4</v>
      </c>
      <c r="AF146">
        <f>AE146-AA146</f>
        <v>2459.5599999999995</v>
      </c>
      <c r="AG146" s="7">
        <f>ROUND((AF146/AE146),4)</f>
        <v>0.16439999999999999</v>
      </c>
      <c r="AH146">
        <f>IF(AND(C146&lt;&gt;"",E146&lt;&gt;""),E146 - C146,"")</f>
        <v>7</v>
      </c>
      <c r="AI146" t="str">
        <f>IF(C146="","",TEXT(C146, "mmmm"))</f>
        <v>July</v>
      </c>
      <c r="AJ146">
        <f>IF(C146="","",YEAR(C146))</f>
        <v>2024</v>
      </c>
      <c r="AM146" t="str">
        <f>IF(AN146="","clean","")</f>
        <v>clean</v>
      </c>
      <c r="AN146" t="s">
        <v>3595</v>
      </c>
    </row>
    <row r="147" spans="1:40">
      <c r="A147" t="s">
        <v>1147</v>
      </c>
      <c r="B147" t="s">
        <v>3758</v>
      </c>
      <c r="C147" s="6">
        <v>45445</v>
      </c>
      <c r="D147" t="s">
        <v>520</v>
      </c>
      <c r="E147" s="6">
        <v>45450</v>
      </c>
      <c r="F147" t="s">
        <v>1148</v>
      </c>
      <c r="G147" t="s">
        <v>169</v>
      </c>
      <c r="H147" t="s">
        <v>169</v>
      </c>
      <c r="I147" t="s">
        <v>110</v>
      </c>
      <c r="J147" t="s">
        <v>110</v>
      </c>
      <c r="K147" t="s">
        <v>41</v>
      </c>
      <c r="L147" t="str">
        <f>IF(TRIM(K147)="","Unknown",PROPER(TRIM(K147)))</f>
        <v>East</v>
      </c>
      <c r="M147" t="s">
        <v>42</v>
      </c>
      <c r="N147" t="s">
        <v>43</v>
      </c>
      <c r="O147" t="s">
        <v>29</v>
      </c>
      <c r="P147" t="str">
        <f>IF(TRIM(O147)="","Unknown",PROPER(TRIM(O147)))</f>
        <v>Office Supplies</v>
      </c>
      <c r="Q147" t="s">
        <v>105</v>
      </c>
      <c r="R147" t="s">
        <v>1149</v>
      </c>
      <c r="S147" t="s">
        <v>32</v>
      </c>
      <c r="T147" t="str">
        <f>IF(TRIM(S147)="","Unknown",PROPER(TRIM(S147)))</f>
        <v>Second Class</v>
      </c>
      <c r="U147">
        <v>9</v>
      </c>
      <c r="V147">
        <v>787.91</v>
      </c>
      <c r="W147">
        <v>0.15</v>
      </c>
      <c r="Y147">
        <v>0.15</v>
      </c>
      <c r="Z147">
        <v>6027.51</v>
      </c>
      <c r="AA147">
        <v>4883.82</v>
      </c>
      <c r="AB147">
        <v>1143.69</v>
      </c>
      <c r="AC147" t="s">
        <v>33</v>
      </c>
      <c r="AD147" t="s">
        <v>34</v>
      </c>
      <c r="AE147">
        <f>ROUND((U147*V147)-(U147*V147*Y147),2)</f>
        <v>6027.51</v>
      </c>
      <c r="AF147">
        <f>AE147-AA147</f>
        <v>1143.6900000000005</v>
      </c>
      <c r="AG147" s="7">
        <f>ROUND((AF147/AE147),4)</f>
        <v>0.18970000000000001</v>
      </c>
      <c r="AH147">
        <f>IF(AND(C147&lt;&gt;"",E147&lt;&gt;""),E147 - C147,"")</f>
        <v>5</v>
      </c>
      <c r="AI147" t="str">
        <f>IF(C147="","",TEXT(C147, "mmmm"))</f>
        <v>June</v>
      </c>
      <c r="AJ147">
        <f>IF(C147="","",YEAR(C147))</f>
        <v>2024</v>
      </c>
      <c r="AM147" t="str">
        <f>IF(AN147="","clean","")</f>
        <v>clean</v>
      </c>
      <c r="AN147" t="s">
        <v>3595</v>
      </c>
    </row>
    <row r="148" spans="1:40">
      <c r="A148" t="s">
        <v>1154</v>
      </c>
      <c r="B148" t="s">
        <v>3759</v>
      </c>
      <c r="C148" s="6">
        <v>45343</v>
      </c>
      <c r="D148" t="s">
        <v>1155</v>
      </c>
      <c r="E148" s="6">
        <v>45349</v>
      </c>
      <c r="F148" t="s">
        <v>1156</v>
      </c>
      <c r="G148" t="s">
        <v>59</v>
      </c>
      <c r="H148" t="s">
        <v>59</v>
      </c>
      <c r="I148" t="s">
        <v>40</v>
      </c>
      <c r="J148" t="s">
        <v>40</v>
      </c>
      <c r="K148" t="s">
        <v>41</v>
      </c>
      <c r="L148" t="str">
        <f>IF(TRIM(K148)="","Unknown",PROPER(TRIM(K148)))</f>
        <v>East</v>
      </c>
      <c r="M148" t="s">
        <v>116</v>
      </c>
      <c r="N148" t="s">
        <v>117</v>
      </c>
      <c r="O148" t="s">
        <v>44</v>
      </c>
      <c r="P148" t="str">
        <f>IF(TRIM(O148)="","Unknown",PROPER(TRIM(O148)))</f>
        <v>Furniture</v>
      </c>
      <c r="Q148" t="s">
        <v>63</v>
      </c>
      <c r="R148" t="s">
        <v>1157</v>
      </c>
      <c r="S148" t="s">
        <v>65</v>
      </c>
      <c r="T148" t="str">
        <f>IF(TRIM(S148)="","Unknown",PROPER(TRIM(S148)))</f>
        <v>Standard Class</v>
      </c>
      <c r="U148">
        <v>5</v>
      </c>
      <c r="V148">
        <v>3373.86</v>
      </c>
      <c r="W148">
        <v>0.15</v>
      </c>
      <c r="Y148">
        <v>0.15</v>
      </c>
      <c r="Z148">
        <v>14338.9</v>
      </c>
      <c r="AA148">
        <v>11897.65</v>
      </c>
      <c r="AB148">
        <v>2441.25</v>
      </c>
      <c r="AC148" t="s">
        <v>131</v>
      </c>
      <c r="AD148" t="s">
        <v>120</v>
      </c>
      <c r="AE148">
        <f>ROUND((U148*V148)-(U148*V148*Y148),2)</f>
        <v>14338.91</v>
      </c>
      <c r="AF148">
        <f>AE148-AA148</f>
        <v>2441.2600000000002</v>
      </c>
      <c r="AG148" s="7">
        <f>ROUND((AF148/AE148),4)</f>
        <v>0.17030000000000001</v>
      </c>
      <c r="AH148">
        <f>IF(AND(C148&lt;&gt;"",E148&lt;&gt;""),E148 - C148,"")</f>
        <v>6</v>
      </c>
      <c r="AI148" t="str">
        <f>IF(C148="","",TEXT(C148, "mmmm"))</f>
        <v>February</v>
      </c>
      <c r="AJ148">
        <f>IF(C148="","",YEAR(C148))</f>
        <v>2024</v>
      </c>
      <c r="AM148" t="str">
        <f>IF(AN148="","clean","")</f>
        <v>clean</v>
      </c>
    </row>
    <row r="149" spans="1:40">
      <c r="A149" t="s">
        <v>1154</v>
      </c>
      <c r="B149" t="s">
        <v>3759</v>
      </c>
      <c r="C149" s="6">
        <v>45343</v>
      </c>
      <c r="D149" t="s">
        <v>1155</v>
      </c>
      <c r="E149" s="6">
        <v>45349</v>
      </c>
      <c r="F149" t="s">
        <v>1156</v>
      </c>
      <c r="G149" t="s">
        <v>59</v>
      </c>
      <c r="H149" t="s">
        <v>59</v>
      </c>
      <c r="I149" t="s">
        <v>40</v>
      </c>
      <c r="J149" t="s">
        <v>40</v>
      </c>
      <c r="K149" t="s">
        <v>41</v>
      </c>
      <c r="L149" t="str">
        <f>IF(TRIM(K149)="","Unknown",PROPER(TRIM(K149)))</f>
        <v>East</v>
      </c>
      <c r="M149" t="s">
        <v>116</v>
      </c>
      <c r="N149" t="s">
        <v>117</v>
      </c>
      <c r="O149" t="s">
        <v>44</v>
      </c>
      <c r="P149" t="str">
        <f>IF(TRIM(O149)="","Unknown",PROPER(TRIM(O149)))</f>
        <v>Furniture</v>
      </c>
      <c r="Q149" t="s">
        <v>63</v>
      </c>
      <c r="R149" t="s">
        <v>1157</v>
      </c>
      <c r="S149" t="s">
        <v>65</v>
      </c>
      <c r="T149" t="str">
        <f>IF(TRIM(S149)="","Unknown",PROPER(TRIM(S149)))</f>
        <v>Standard Class</v>
      </c>
      <c r="U149">
        <v>5</v>
      </c>
      <c r="V149">
        <v>3373.86</v>
      </c>
      <c r="W149">
        <v>0.15</v>
      </c>
      <c r="Y149">
        <v>0.15</v>
      </c>
      <c r="Z149">
        <v>14338.9</v>
      </c>
      <c r="AA149">
        <v>11897.65</v>
      </c>
      <c r="AB149">
        <v>2441.25</v>
      </c>
      <c r="AC149" t="s">
        <v>131</v>
      </c>
      <c r="AD149" t="s">
        <v>120</v>
      </c>
      <c r="AE149">
        <f>ROUND((U149*V149)-(U149*V149*Y149),2)</f>
        <v>14338.91</v>
      </c>
      <c r="AF149">
        <f>AE149-AA149</f>
        <v>2441.2600000000002</v>
      </c>
      <c r="AG149" s="7">
        <f>ROUND((AF149/AE149),4)</f>
        <v>0.17030000000000001</v>
      </c>
      <c r="AH149">
        <f>IF(AND(C149&lt;&gt;"",E149&lt;&gt;""),E149 - C149,"")</f>
        <v>6</v>
      </c>
      <c r="AI149" t="str">
        <f>IF(C149="","",TEXT(C149, "mmmm"))</f>
        <v>February</v>
      </c>
      <c r="AJ149">
        <f>IF(C149="","",YEAR(C149))</f>
        <v>2024</v>
      </c>
      <c r="AL149" t="s">
        <v>4152</v>
      </c>
      <c r="AM149" t="s">
        <v>4144</v>
      </c>
      <c r="AN149" t="s">
        <v>4149</v>
      </c>
    </row>
    <row r="150" spans="1:40">
      <c r="A150" t="s">
        <v>1164</v>
      </c>
      <c r="B150" t="s">
        <v>3762</v>
      </c>
      <c r="C150" s="6">
        <v>45547</v>
      </c>
      <c r="D150" t="s">
        <v>1165</v>
      </c>
      <c r="E150" s="6">
        <v>45548</v>
      </c>
      <c r="F150" t="s">
        <v>1166</v>
      </c>
      <c r="G150" t="s">
        <v>136</v>
      </c>
      <c r="H150" t="s">
        <v>136</v>
      </c>
      <c r="I150" t="s">
        <v>40</v>
      </c>
      <c r="J150" t="s">
        <v>40</v>
      </c>
      <c r="K150" t="s">
        <v>26</v>
      </c>
      <c r="L150" t="str">
        <f>IF(TRIM(K150)="","Unknown",PROPER(TRIM(K150)))</f>
        <v>North</v>
      </c>
      <c r="M150" t="s">
        <v>27</v>
      </c>
      <c r="N150" t="s">
        <v>28</v>
      </c>
      <c r="O150" t="s">
        <v>83</v>
      </c>
      <c r="P150" t="str">
        <f>IF(TRIM(O150)="","Unknown",PROPER(TRIM(O150)))</f>
        <v>Technology</v>
      </c>
      <c r="Q150" t="s">
        <v>207</v>
      </c>
      <c r="R150" t="s">
        <v>1167</v>
      </c>
      <c r="S150" t="s">
        <v>47</v>
      </c>
      <c r="T150" t="str">
        <f>IF(TRIM(S150)="","Unknown",PROPER(TRIM(S150)))</f>
        <v>Same Day</v>
      </c>
      <c r="U150">
        <v>6</v>
      </c>
      <c r="V150">
        <v>832.79</v>
      </c>
      <c r="W150">
        <v>0.05</v>
      </c>
      <c r="Y150">
        <v>0.05</v>
      </c>
      <c r="Z150">
        <v>4746.8999999999996</v>
      </c>
      <c r="AA150">
        <v>2825.38</v>
      </c>
      <c r="AB150">
        <v>1472.89</v>
      </c>
      <c r="AC150" t="s">
        <v>119</v>
      </c>
      <c r="AD150" t="s">
        <v>76</v>
      </c>
      <c r="AE150">
        <f>ROUND((U150*V150)-(U150*V150*Y150),2)</f>
        <v>4746.8999999999996</v>
      </c>
      <c r="AF150">
        <f>AE150-AA150</f>
        <v>1921.5199999999995</v>
      </c>
      <c r="AG150" s="7">
        <f>ROUND((AF150/AE150),4)</f>
        <v>0.40479999999999999</v>
      </c>
      <c r="AH150">
        <f>IF(AND(C150&lt;&gt;"",E150&lt;&gt;""),E150 - C150,"")</f>
        <v>1</v>
      </c>
      <c r="AI150" t="str">
        <f>IF(C150="","",TEXT(C150, "mmmm"))</f>
        <v>September</v>
      </c>
      <c r="AJ150">
        <f>IF(C150="","",YEAR(C150))</f>
        <v>2024</v>
      </c>
      <c r="AM150" t="str">
        <f>IF(AN150="","clean","")</f>
        <v>clean</v>
      </c>
      <c r="AN150" t="s">
        <v>3595</v>
      </c>
    </row>
    <row r="151" spans="1:40">
      <c r="A151" t="s">
        <v>1176</v>
      </c>
      <c r="B151" t="s">
        <v>3765</v>
      </c>
      <c r="C151" s="6">
        <v>45601</v>
      </c>
      <c r="D151" t="s">
        <v>434</v>
      </c>
      <c r="E151" s="6">
        <v>45599</v>
      </c>
      <c r="F151" t="s">
        <v>1177</v>
      </c>
      <c r="G151" t="s">
        <v>70</v>
      </c>
      <c r="H151" t="s">
        <v>70</v>
      </c>
      <c r="I151" t="s">
        <v>25</v>
      </c>
      <c r="J151" t="s">
        <v>25</v>
      </c>
      <c r="K151" t="s">
        <v>41</v>
      </c>
      <c r="L151" t="str">
        <f>IF(TRIM(K151)="","Unknown",PROPER(TRIM(K151)))</f>
        <v>East</v>
      </c>
      <c r="M151" t="s">
        <v>116</v>
      </c>
      <c r="N151" t="s">
        <v>117</v>
      </c>
      <c r="O151" t="s">
        <v>44</v>
      </c>
      <c r="P151" t="str">
        <f>IF(TRIM(O151)="","Unknown",PROPER(TRIM(O151)))</f>
        <v>Furniture</v>
      </c>
      <c r="Q151" t="s">
        <v>45</v>
      </c>
      <c r="R151" t="s">
        <v>1178</v>
      </c>
      <c r="S151" t="s">
        <v>55</v>
      </c>
      <c r="T151" t="str">
        <f>IF(TRIM(S151)="","Unknown",PROPER(TRIM(S151)))</f>
        <v>First Class</v>
      </c>
      <c r="U151">
        <v>9</v>
      </c>
      <c r="V151">
        <v>2260.61</v>
      </c>
      <c r="W151">
        <v>0.05</v>
      </c>
      <c r="Y151">
        <v>0.05</v>
      </c>
      <c r="Z151">
        <v>19328.22</v>
      </c>
      <c r="AA151">
        <v>12039.5</v>
      </c>
      <c r="AB151">
        <v>7288.72</v>
      </c>
      <c r="AC151" t="s">
        <v>33</v>
      </c>
      <c r="AD151" t="s">
        <v>34</v>
      </c>
      <c r="AE151">
        <f>ROUND((U151*V151)-(U151*V151*Y151),2)</f>
        <v>19328.22</v>
      </c>
      <c r="AF151">
        <f>AE151-AA151</f>
        <v>7288.7200000000012</v>
      </c>
      <c r="AG151" s="7">
        <f>ROUND((AF151/AE151),4)</f>
        <v>0.37709999999999999</v>
      </c>
      <c r="AH151">
        <f>IF(AND(C151&lt;&gt;"",E151&lt;&gt;""),E151 - C151,"")</f>
        <v>-2</v>
      </c>
      <c r="AI151" t="str">
        <f>IF(C151="","",TEXT(C151, "mmmm"))</f>
        <v>November</v>
      </c>
      <c r="AJ151">
        <f>IF(C151="","",YEAR(C151))</f>
        <v>2024</v>
      </c>
      <c r="AM151" t="s">
        <v>4145</v>
      </c>
      <c r="AN151" t="s">
        <v>4140</v>
      </c>
    </row>
    <row r="152" spans="1:40">
      <c r="A152" t="s">
        <v>1183</v>
      </c>
      <c r="B152" t="s">
        <v>734</v>
      </c>
      <c r="C152" s="6">
        <v>45656</v>
      </c>
      <c r="D152" t="s">
        <v>1184</v>
      </c>
      <c r="E152" s="6">
        <v>45661</v>
      </c>
      <c r="F152" t="s">
        <v>1185</v>
      </c>
      <c r="G152" t="s">
        <v>158</v>
      </c>
      <c r="H152" t="s">
        <v>158</v>
      </c>
      <c r="I152" t="s">
        <v>104</v>
      </c>
      <c r="J152" t="s">
        <v>104</v>
      </c>
      <c r="K152" t="s">
        <v>60</v>
      </c>
      <c r="L152" t="str">
        <f>IF(TRIM(K152)="","Unknown",PROPER(TRIM(K152)))</f>
        <v>South</v>
      </c>
      <c r="M152" t="s">
        <v>309</v>
      </c>
      <c r="N152" t="s">
        <v>310</v>
      </c>
      <c r="O152" t="s">
        <v>44</v>
      </c>
      <c r="P152" t="str">
        <f>IF(TRIM(O152)="","Unknown",PROPER(TRIM(O152)))</f>
        <v>Furniture</v>
      </c>
      <c r="Q152" t="s">
        <v>45</v>
      </c>
      <c r="R152" t="s">
        <v>1186</v>
      </c>
      <c r="S152" t="s">
        <v>47</v>
      </c>
      <c r="T152" t="str">
        <f>IF(TRIM(S152)="","Unknown",PROPER(TRIM(S152)))</f>
        <v>Same Day</v>
      </c>
      <c r="U152">
        <v>2</v>
      </c>
      <c r="V152">
        <v>3720.07</v>
      </c>
      <c r="W152">
        <v>0.25</v>
      </c>
      <c r="Y152">
        <v>0.25</v>
      </c>
      <c r="Z152">
        <v>5580.11</v>
      </c>
      <c r="AA152">
        <v>4307.01</v>
      </c>
      <c r="AB152">
        <v>1273.0999999999999</v>
      </c>
      <c r="AC152" t="s">
        <v>33</v>
      </c>
      <c r="AD152" t="s">
        <v>34</v>
      </c>
      <c r="AE152">
        <f>ROUND((U152*V152)-(U152*V152*Y152),2)</f>
        <v>5580.11</v>
      </c>
      <c r="AF152">
        <f>AE152-AA152</f>
        <v>1273.0999999999995</v>
      </c>
      <c r="AG152" s="7">
        <f>ROUND((AF152/AE152),4)</f>
        <v>0.2281</v>
      </c>
      <c r="AH152">
        <f>IF(AND(C152&lt;&gt;"",E152&lt;&gt;""),E152 - C152,"")</f>
        <v>5</v>
      </c>
      <c r="AI152" t="str">
        <f>IF(C152="","",TEXT(C152, "mmmm"))</f>
        <v>December</v>
      </c>
      <c r="AJ152">
        <f>IF(C152="","",YEAR(C152))</f>
        <v>2024</v>
      </c>
      <c r="AM152" t="str">
        <f>IF(AN152="","clean","")</f>
        <v>clean</v>
      </c>
      <c r="AN152" t="s">
        <v>3595</v>
      </c>
    </row>
    <row r="153" spans="1:40">
      <c r="A153" t="s">
        <v>1187</v>
      </c>
      <c r="B153" t="s">
        <v>3767</v>
      </c>
      <c r="C153" s="6">
        <v>45464</v>
      </c>
      <c r="D153" t="s">
        <v>1188</v>
      </c>
      <c r="E153" s="6">
        <v>45472</v>
      </c>
      <c r="F153" t="s">
        <v>1189</v>
      </c>
      <c r="G153" t="s">
        <v>90</v>
      </c>
      <c r="H153" t="s">
        <v>90</v>
      </c>
      <c r="I153" t="s">
        <v>25</v>
      </c>
      <c r="J153" t="s">
        <v>25</v>
      </c>
      <c r="K153" t="s">
        <v>60</v>
      </c>
      <c r="L153" t="str">
        <f>IF(TRIM(K153)="","Unknown",PROPER(TRIM(K153)))</f>
        <v>South</v>
      </c>
      <c r="M153" t="s">
        <v>309</v>
      </c>
      <c r="N153" t="s">
        <v>310</v>
      </c>
      <c r="O153" t="s">
        <v>83</v>
      </c>
      <c r="P153" t="str">
        <f>IF(TRIM(O153)="","Unknown",PROPER(TRIM(O153)))</f>
        <v>Technology</v>
      </c>
      <c r="Q153" t="s">
        <v>347</v>
      </c>
      <c r="R153" t="s">
        <v>1190</v>
      </c>
      <c r="S153" t="s">
        <v>65</v>
      </c>
      <c r="T153" t="str">
        <f>IF(TRIM(S153)="","Unknown",PROPER(TRIM(S153)))</f>
        <v>Standard Class</v>
      </c>
      <c r="U153">
        <v>8</v>
      </c>
      <c r="V153">
        <v>2853.92</v>
      </c>
      <c r="W153">
        <v>0.2</v>
      </c>
      <c r="Y153">
        <v>0.2</v>
      </c>
      <c r="Z153">
        <v>18265.09</v>
      </c>
      <c r="AA153">
        <v>10437.14</v>
      </c>
      <c r="AB153">
        <v>7827.95</v>
      </c>
      <c r="AC153" t="s">
        <v>33</v>
      </c>
      <c r="AD153" t="s">
        <v>34</v>
      </c>
      <c r="AE153">
        <f>ROUND((U153*V153)-(U153*V153*Y153),2)</f>
        <v>18265.09</v>
      </c>
      <c r="AF153">
        <f>AE153-AA153</f>
        <v>7827.9500000000007</v>
      </c>
      <c r="AG153" s="7">
        <f>ROUND((AF153/AE153),4)</f>
        <v>0.42859999999999998</v>
      </c>
      <c r="AH153">
        <f>IF(AND(C153&lt;&gt;"",E153&lt;&gt;""),E153 - C153,"")</f>
        <v>8</v>
      </c>
      <c r="AI153" t="str">
        <f>IF(C153="","",TEXT(C153, "mmmm"))</f>
        <v>June</v>
      </c>
      <c r="AJ153">
        <f>IF(C153="","",YEAR(C153))</f>
        <v>2024</v>
      </c>
      <c r="AM153" t="str">
        <f>IF(AN153="","clean","")</f>
        <v>clean</v>
      </c>
      <c r="AN153" t="s">
        <v>3595</v>
      </c>
    </row>
    <row r="154" spans="1:40">
      <c r="A154" t="s">
        <v>1205</v>
      </c>
      <c r="B154" t="s">
        <v>1206</v>
      </c>
      <c r="C154" s="6">
        <v>45428</v>
      </c>
      <c r="D154" t="s">
        <v>1207</v>
      </c>
      <c r="E154" s="6">
        <v>45433</v>
      </c>
      <c r="F154" t="s">
        <v>1208</v>
      </c>
      <c r="G154" t="s">
        <v>196</v>
      </c>
      <c r="H154" t="s">
        <v>196</v>
      </c>
      <c r="I154" t="s">
        <v>40</v>
      </c>
      <c r="J154" t="s">
        <v>40</v>
      </c>
      <c r="K154" t="s">
        <v>41</v>
      </c>
      <c r="L154" t="str">
        <f>IF(TRIM(K154)="","Unknown",PROPER(TRIM(K154)))</f>
        <v>East</v>
      </c>
      <c r="M154" t="s">
        <v>174</v>
      </c>
      <c r="N154" t="s">
        <v>175</v>
      </c>
      <c r="O154" t="s">
        <v>83</v>
      </c>
      <c r="P154" t="str">
        <f>IF(TRIM(O154)="","Unknown",PROPER(TRIM(O154)))</f>
        <v>Technology</v>
      </c>
      <c r="Q154" t="s">
        <v>91</v>
      </c>
      <c r="R154" t="s">
        <v>1209</v>
      </c>
      <c r="S154" t="s">
        <v>65</v>
      </c>
      <c r="T154" t="str">
        <f>IF(TRIM(S154)="","Unknown",PROPER(TRIM(S154)))</f>
        <v>Standard Class</v>
      </c>
      <c r="U154">
        <v>4</v>
      </c>
      <c r="V154">
        <v>1503.07</v>
      </c>
      <c r="W154">
        <v>0</v>
      </c>
      <c r="Y154">
        <v>0</v>
      </c>
      <c r="Z154">
        <v>6012.28</v>
      </c>
      <c r="AA154">
        <v>3927.64</v>
      </c>
      <c r="AB154">
        <v>2084.64</v>
      </c>
      <c r="AC154" t="s">
        <v>33</v>
      </c>
      <c r="AD154" t="s">
        <v>34</v>
      </c>
      <c r="AE154">
        <f>ROUND((U154*V154)-(U154*V154*Y154),2)</f>
        <v>6012.28</v>
      </c>
      <c r="AF154">
        <f>AE154-AA154</f>
        <v>2084.64</v>
      </c>
      <c r="AG154" s="7">
        <f>ROUND((AF154/AE154),4)</f>
        <v>0.34670000000000001</v>
      </c>
      <c r="AH154">
        <f>IF(AND(C154&lt;&gt;"",E154&lt;&gt;""),E154 - C154,"")</f>
        <v>5</v>
      </c>
      <c r="AI154" t="str">
        <f>IF(C154="","",TEXT(C154, "mmmm"))</f>
        <v>May</v>
      </c>
      <c r="AJ154">
        <f>IF(C154="","",YEAR(C154))</f>
        <v>2024</v>
      </c>
      <c r="AM154" t="str">
        <f>IF(AN154="","clean","")</f>
        <v>clean</v>
      </c>
      <c r="AN154" t="s">
        <v>3595</v>
      </c>
    </row>
    <row r="155" spans="1:40">
      <c r="A155" t="s">
        <v>1210</v>
      </c>
      <c r="B155" t="s">
        <v>1211</v>
      </c>
      <c r="C155" s="6">
        <v>45610</v>
      </c>
      <c r="D155" t="s">
        <v>807</v>
      </c>
      <c r="E155" s="6">
        <v>45618</v>
      </c>
      <c r="F155" t="s">
        <v>1212</v>
      </c>
      <c r="G155" t="s">
        <v>136</v>
      </c>
      <c r="H155" t="s">
        <v>136</v>
      </c>
      <c r="I155" t="s">
        <v>104</v>
      </c>
      <c r="J155" t="s">
        <v>104</v>
      </c>
      <c r="K155" t="s">
        <v>41</v>
      </c>
      <c r="L155" t="str">
        <f>IF(TRIM(K155)="","Unknown",PROPER(TRIM(K155)))</f>
        <v>East</v>
      </c>
      <c r="M155" t="s">
        <v>174</v>
      </c>
      <c r="N155" t="s">
        <v>175</v>
      </c>
      <c r="O155" t="s">
        <v>44</v>
      </c>
      <c r="P155" t="str">
        <f>IF(TRIM(O155)="","Unknown",PROPER(TRIM(O155)))</f>
        <v>Furniture</v>
      </c>
      <c r="Q155" t="s">
        <v>190</v>
      </c>
      <c r="R155" t="s">
        <v>1213</v>
      </c>
      <c r="S155" t="s">
        <v>47</v>
      </c>
      <c r="T155" t="str">
        <f>IF(TRIM(S155)="","Unknown",PROPER(TRIM(S155)))</f>
        <v>Same Day</v>
      </c>
      <c r="U155">
        <v>1</v>
      </c>
      <c r="V155">
        <v>582.37</v>
      </c>
      <c r="W155">
        <v>0.15</v>
      </c>
      <c r="Y155">
        <v>0.15</v>
      </c>
      <c r="Z155">
        <v>495.01</v>
      </c>
      <c r="AA155">
        <v>285.13</v>
      </c>
      <c r="AB155">
        <v>209.88</v>
      </c>
      <c r="AC155" t="s">
        <v>119</v>
      </c>
      <c r="AD155" t="s">
        <v>76</v>
      </c>
      <c r="AE155">
        <f>ROUND((U155*V155)-(U155*V155*Y155),2)</f>
        <v>495.01</v>
      </c>
      <c r="AF155">
        <f>AE155-AA155</f>
        <v>209.88</v>
      </c>
      <c r="AG155" s="7">
        <f>ROUND((AF155/AE155),4)</f>
        <v>0.42399999999999999</v>
      </c>
      <c r="AH155">
        <f>IF(AND(C155&lt;&gt;"",E155&lt;&gt;""),E155 - C155,"")</f>
        <v>8</v>
      </c>
      <c r="AI155" t="str">
        <f>IF(C155="","",TEXT(C155, "mmmm"))</f>
        <v>November</v>
      </c>
      <c r="AJ155">
        <f>IF(C155="","",YEAR(C155))</f>
        <v>2024</v>
      </c>
      <c r="AM155" t="str">
        <f>IF(AN155="","clean","")</f>
        <v>clean</v>
      </c>
      <c r="AN155" t="s">
        <v>3595</v>
      </c>
    </row>
    <row r="156" spans="1:40">
      <c r="A156" t="s">
        <v>1230</v>
      </c>
      <c r="B156" t="s">
        <v>3752</v>
      </c>
      <c r="C156" s="6">
        <v>45303</v>
      </c>
      <c r="D156" t="s">
        <v>506</v>
      </c>
      <c r="E156" s="6">
        <v>45304</v>
      </c>
      <c r="F156" t="s">
        <v>1231</v>
      </c>
      <c r="G156" t="s">
        <v>103</v>
      </c>
      <c r="H156" t="s">
        <v>103</v>
      </c>
      <c r="I156" t="s">
        <v>104</v>
      </c>
      <c r="J156" t="s">
        <v>104</v>
      </c>
      <c r="K156" t="s">
        <v>26</v>
      </c>
      <c r="L156" t="str">
        <f>IF(TRIM(K156)="","Unknown",PROPER(TRIM(K156)))</f>
        <v>North</v>
      </c>
      <c r="M156" t="s">
        <v>163</v>
      </c>
      <c r="N156" t="s">
        <v>164</v>
      </c>
      <c r="O156" t="s">
        <v>83</v>
      </c>
      <c r="P156" t="str">
        <f>IF(TRIM(O156)="","Unknown",PROPER(TRIM(O156)))</f>
        <v>Technology</v>
      </c>
      <c r="Q156" t="s">
        <v>347</v>
      </c>
      <c r="R156" t="s">
        <v>1232</v>
      </c>
      <c r="S156" t="s">
        <v>47</v>
      </c>
      <c r="T156" t="str">
        <f>IF(TRIM(S156)="","Unknown",PROPER(TRIM(S156)))</f>
        <v>Same Day</v>
      </c>
      <c r="U156">
        <v>3</v>
      </c>
      <c r="V156">
        <v>827.44</v>
      </c>
      <c r="W156">
        <v>0</v>
      </c>
      <c r="Y156">
        <v>0</v>
      </c>
      <c r="Z156">
        <v>2482.3200000000002</v>
      </c>
      <c r="AA156">
        <v>1520.21</v>
      </c>
      <c r="AB156">
        <v>962.11</v>
      </c>
      <c r="AC156" t="s">
        <v>33</v>
      </c>
      <c r="AD156" t="s">
        <v>34</v>
      </c>
      <c r="AE156">
        <f>ROUND((U156*V156)-(U156*V156*Y156),2)</f>
        <v>2482.3200000000002</v>
      </c>
      <c r="AF156">
        <f>AE156-AA156</f>
        <v>962.11000000000013</v>
      </c>
      <c r="AG156" s="7">
        <f>ROUND((AF156/AE156),4)</f>
        <v>0.3876</v>
      </c>
      <c r="AH156">
        <f>IF(AND(C156&lt;&gt;"",E156&lt;&gt;""),E156 - C156,"")</f>
        <v>1</v>
      </c>
      <c r="AI156" t="str">
        <f>IF(C156="","",TEXT(C156, "mmmm"))</f>
        <v>January</v>
      </c>
      <c r="AJ156">
        <f>IF(C156="","",YEAR(C156))</f>
        <v>2024</v>
      </c>
      <c r="AM156" t="str">
        <f>IF(AN156="","clean","")</f>
        <v>clean</v>
      </c>
      <c r="AN156" t="s">
        <v>3595</v>
      </c>
    </row>
    <row r="157" spans="1:40">
      <c r="A157" t="s">
        <v>1233</v>
      </c>
      <c r="B157" t="s">
        <v>1234</v>
      </c>
      <c r="C157" s="6">
        <v>45647</v>
      </c>
      <c r="D157" t="s">
        <v>1235</v>
      </c>
      <c r="E157" s="6">
        <v>45651</v>
      </c>
      <c r="F157" t="s">
        <v>1236</v>
      </c>
      <c r="G157" t="s">
        <v>103</v>
      </c>
      <c r="H157" t="s">
        <v>103</v>
      </c>
      <c r="I157" t="s">
        <v>25</v>
      </c>
      <c r="J157" t="s">
        <v>25</v>
      </c>
      <c r="K157" t="s">
        <v>60</v>
      </c>
      <c r="L157" t="str">
        <f>IF(TRIM(K157)="","Unknown",PROPER(TRIM(K157)))</f>
        <v>South</v>
      </c>
      <c r="M157" t="s">
        <v>61</v>
      </c>
      <c r="N157" t="s">
        <v>62</v>
      </c>
      <c r="O157" t="s">
        <v>29</v>
      </c>
      <c r="P157" t="str">
        <f>IF(TRIM(O157)="","Unknown",PROPER(TRIM(O157)))</f>
        <v>Office Supplies</v>
      </c>
      <c r="Q157" t="s">
        <v>184</v>
      </c>
      <c r="R157" t="s">
        <v>1237</v>
      </c>
      <c r="S157" t="s">
        <v>65</v>
      </c>
      <c r="T157" t="str">
        <f>IF(TRIM(S157)="","Unknown",PROPER(TRIM(S157)))</f>
        <v>Standard Class</v>
      </c>
      <c r="U157">
        <v>7</v>
      </c>
      <c r="V157">
        <v>1667.75</v>
      </c>
      <c r="W157">
        <v>0</v>
      </c>
      <c r="Y157">
        <v>0</v>
      </c>
      <c r="Z157">
        <v>11674.25</v>
      </c>
      <c r="AA157">
        <v>9621.19</v>
      </c>
      <c r="AB157">
        <v>2053.06</v>
      </c>
      <c r="AC157" t="s">
        <v>186</v>
      </c>
      <c r="AD157" t="s">
        <v>76</v>
      </c>
      <c r="AE157">
        <f>ROUND((U157*V157)-(U157*V157*Y157),2)</f>
        <v>11674.25</v>
      </c>
      <c r="AF157">
        <f>AE157-AA157</f>
        <v>2053.0599999999995</v>
      </c>
      <c r="AG157" s="7">
        <f>ROUND((AF157/AE157),4)</f>
        <v>0.1759</v>
      </c>
      <c r="AH157">
        <f>IF(AND(C157&lt;&gt;"",E157&lt;&gt;""),E157 - C157,"")</f>
        <v>4</v>
      </c>
      <c r="AI157" t="str">
        <f>IF(C157="","",TEXT(C157, "mmmm"))</f>
        <v>December</v>
      </c>
      <c r="AJ157">
        <f>IF(C157="","",YEAR(C157))</f>
        <v>2024</v>
      </c>
      <c r="AM157" t="str">
        <f>IF(AN157="","clean","")</f>
        <v>clean</v>
      </c>
      <c r="AN157" t="s">
        <v>3595</v>
      </c>
    </row>
    <row r="158" spans="1:40">
      <c r="A158" t="s">
        <v>1238</v>
      </c>
      <c r="B158" t="s">
        <v>3773</v>
      </c>
      <c r="C158" s="6">
        <v>45522</v>
      </c>
      <c r="D158" t="s">
        <v>1239</v>
      </c>
      <c r="E158" s="6">
        <v>45528</v>
      </c>
      <c r="F158" t="s">
        <v>1240</v>
      </c>
      <c r="G158" t="s">
        <v>59</v>
      </c>
      <c r="H158" t="s">
        <v>59</v>
      </c>
      <c r="I158" t="s">
        <v>25</v>
      </c>
      <c r="J158" t="s">
        <v>25</v>
      </c>
      <c r="K158" t="s">
        <v>60</v>
      </c>
      <c r="L158" t="str">
        <f>IF(TRIM(K158)="","Unknown",PROPER(TRIM(K158)))</f>
        <v>South</v>
      </c>
      <c r="M158" t="s">
        <v>97</v>
      </c>
      <c r="N158" t="s">
        <v>98</v>
      </c>
      <c r="O158" t="s">
        <v>44</v>
      </c>
      <c r="P158" t="str">
        <f>IF(TRIM(O158)="","Unknown",PROPER(TRIM(O158)))</f>
        <v>Furniture</v>
      </c>
      <c r="Q158" t="s">
        <v>74</v>
      </c>
      <c r="R158" t="s">
        <v>1241</v>
      </c>
      <c r="S158" t="s">
        <v>55</v>
      </c>
      <c r="T158" t="str">
        <f>IF(TRIM(S158)="","Unknown",PROPER(TRIM(S158)))</f>
        <v>First Class</v>
      </c>
      <c r="U158">
        <v>7</v>
      </c>
      <c r="V158">
        <v>557.21</v>
      </c>
      <c r="W158">
        <v>0.1</v>
      </c>
      <c r="Y158">
        <v>0.1</v>
      </c>
      <c r="Z158">
        <v>3510.42</v>
      </c>
      <c r="AA158">
        <v>2191.5</v>
      </c>
      <c r="AB158">
        <v>1213.48</v>
      </c>
      <c r="AC158" t="s">
        <v>33</v>
      </c>
      <c r="AD158" t="s">
        <v>34</v>
      </c>
      <c r="AE158">
        <f>ROUND((U158*V158)-(U158*V158*Y158),2)</f>
        <v>3510.42</v>
      </c>
      <c r="AF158">
        <f>AE158-AA158</f>
        <v>1318.92</v>
      </c>
      <c r="AG158" s="7">
        <f>ROUND((AF158/AE158),4)</f>
        <v>0.37569999999999998</v>
      </c>
      <c r="AH158">
        <f>IF(AND(C158&lt;&gt;"",E158&lt;&gt;""),E158 - C158,"")</f>
        <v>6</v>
      </c>
      <c r="AI158" t="str">
        <f>IF(C158="","",TEXT(C158, "mmmm"))</f>
        <v>August</v>
      </c>
      <c r="AJ158">
        <f>IF(C158="","",YEAR(C158))</f>
        <v>2024</v>
      </c>
      <c r="AM158" t="str">
        <f>IF(AN158="","clean","")</f>
        <v>clean</v>
      </c>
      <c r="AN158" t="s">
        <v>3595</v>
      </c>
    </row>
    <row r="159" spans="1:40">
      <c r="A159" t="s">
        <v>1238</v>
      </c>
      <c r="B159" t="s">
        <v>3773</v>
      </c>
      <c r="C159" s="6">
        <v>45522</v>
      </c>
      <c r="D159" t="s">
        <v>1239</v>
      </c>
      <c r="E159" s="6">
        <v>45528</v>
      </c>
      <c r="F159" t="s">
        <v>1240</v>
      </c>
      <c r="G159" t="s">
        <v>59</v>
      </c>
      <c r="H159" t="s">
        <v>59</v>
      </c>
      <c r="I159" t="s">
        <v>25</v>
      </c>
      <c r="J159" t="s">
        <v>25</v>
      </c>
      <c r="K159" t="s">
        <v>60</v>
      </c>
      <c r="L159" t="str">
        <f>IF(TRIM(K159)="","Unknown",PROPER(TRIM(K159)))</f>
        <v>South</v>
      </c>
      <c r="M159" t="s">
        <v>97</v>
      </c>
      <c r="N159" t="s">
        <v>98</v>
      </c>
      <c r="O159" t="s">
        <v>44</v>
      </c>
      <c r="P159" t="str">
        <f>IF(TRIM(O159)="","Unknown",PROPER(TRIM(O159)))</f>
        <v>Furniture</v>
      </c>
      <c r="Q159" t="s">
        <v>74</v>
      </c>
      <c r="R159" t="s">
        <v>1241</v>
      </c>
      <c r="S159" t="s">
        <v>55</v>
      </c>
      <c r="T159" t="str">
        <f>IF(TRIM(S159)="","Unknown",PROPER(TRIM(S159)))</f>
        <v>First Class</v>
      </c>
      <c r="U159">
        <v>7</v>
      </c>
      <c r="V159">
        <v>557.21</v>
      </c>
      <c r="W159">
        <v>0.1</v>
      </c>
      <c r="Y159">
        <v>0.03</v>
      </c>
      <c r="Z159">
        <v>3797.79</v>
      </c>
      <c r="AA159">
        <v>2191.5</v>
      </c>
      <c r="AB159">
        <v>1213.48</v>
      </c>
      <c r="AC159" t="s">
        <v>33</v>
      </c>
      <c r="AD159" t="s">
        <v>120</v>
      </c>
      <c r="AE159">
        <f>ROUND((U159*V159)-(U159*V159*Y159),2)</f>
        <v>3783.46</v>
      </c>
      <c r="AF159">
        <f>AE159-AA159</f>
        <v>1591.96</v>
      </c>
      <c r="AG159" s="7">
        <f>ROUND((AF159/AE159),4)</f>
        <v>0.42080000000000001</v>
      </c>
      <c r="AH159">
        <f>IF(AND(C159&lt;&gt;"",E159&lt;&gt;""),E159 - C159,"")</f>
        <v>6</v>
      </c>
      <c r="AI159" t="str">
        <f>IF(C159="","",TEXT(C159, "mmmm"))</f>
        <v>August</v>
      </c>
      <c r="AJ159">
        <f>IF(C159="","",YEAR(C159))</f>
        <v>2024</v>
      </c>
      <c r="AK159" t="s">
        <v>4152</v>
      </c>
      <c r="AM159" t="s">
        <v>4145</v>
      </c>
      <c r="AN159" t="s">
        <v>4155</v>
      </c>
    </row>
    <row r="160" spans="1:40">
      <c r="A160" t="s">
        <v>1246</v>
      </c>
      <c r="B160" t="s">
        <v>1247</v>
      </c>
      <c r="C160" s="6">
        <v>45389</v>
      </c>
      <c r="D160" t="s">
        <v>1248</v>
      </c>
      <c r="E160" s="6">
        <v>45396</v>
      </c>
      <c r="F160" t="s">
        <v>1249</v>
      </c>
      <c r="G160" t="s">
        <v>169</v>
      </c>
      <c r="H160" t="s">
        <v>169</v>
      </c>
      <c r="I160" t="s">
        <v>25</v>
      </c>
      <c r="J160" t="s">
        <v>25</v>
      </c>
      <c r="K160" t="s">
        <v>60</v>
      </c>
      <c r="L160" t="str">
        <f>IF(TRIM(K160)="","Unknown",PROPER(TRIM(K160)))</f>
        <v>South</v>
      </c>
      <c r="M160" t="s">
        <v>224</v>
      </c>
      <c r="N160" t="s">
        <v>225</v>
      </c>
      <c r="O160" t="s">
        <v>83</v>
      </c>
      <c r="P160" t="str">
        <f>IF(TRIM(O160)="","Unknown",PROPER(TRIM(O160)))</f>
        <v>Technology</v>
      </c>
      <c r="Q160" t="s">
        <v>91</v>
      </c>
      <c r="R160" t="s">
        <v>1250</v>
      </c>
      <c r="S160" t="s">
        <v>65</v>
      </c>
      <c r="T160" t="str">
        <f>IF(TRIM(S160)="","Unknown",PROPER(TRIM(S160)))</f>
        <v>Standard Class</v>
      </c>
      <c r="U160">
        <v>6</v>
      </c>
      <c r="V160">
        <v>4246.71</v>
      </c>
      <c r="W160">
        <v>0.15</v>
      </c>
      <c r="Y160">
        <v>0.15</v>
      </c>
      <c r="Z160">
        <v>21658.22</v>
      </c>
      <c r="AA160">
        <v>15490.69</v>
      </c>
      <c r="AB160">
        <v>6167.53</v>
      </c>
      <c r="AC160" t="s">
        <v>186</v>
      </c>
      <c r="AD160" t="s">
        <v>120</v>
      </c>
      <c r="AE160">
        <f>ROUND((U160*V160)-(U160*V160*Y160),2)</f>
        <v>21658.22</v>
      </c>
      <c r="AF160">
        <f>AE160-AA160</f>
        <v>6167.5300000000007</v>
      </c>
      <c r="AG160" s="7">
        <f>ROUND((AF160/AE160),4)</f>
        <v>0.2848</v>
      </c>
      <c r="AH160">
        <f>IF(AND(C160&lt;&gt;"",E160&lt;&gt;""),E160 - C160,"")</f>
        <v>7</v>
      </c>
      <c r="AI160" t="str">
        <f>IF(C160="","",TEXT(C160, "mmmm"))</f>
        <v>April</v>
      </c>
      <c r="AJ160">
        <f>IF(C160="","",YEAR(C160))</f>
        <v>2024</v>
      </c>
      <c r="AM160" t="str">
        <f>IF(AN160="","clean","")</f>
        <v>clean</v>
      </c>
      <c r="AN160" t="s">
        <v>3595</v>
      </c>
    </row>
    <row r="161" spans="1:40">
      <c r="A161" t="s">
        <v>1251</v>
      </c>
      <c r="B161" t="s">
        <v>3676</v>
      </c>
      <c r="C161" s="6">
        <v>45337</v>
      </c>
      <c r="D161" t="s">
        <v>1252</v>
      </c>
      <c r="E161" s="6">
        <v>45344</v>
      </c>
      <c r="F161" t="s">
        <v>1253</v>
      </c>
      <c r="G161" t="s">
        <v>136</v>
      </c>
      <c r="H161" t="s">
        <v>136</v>
      </c>
      <c r="I161" t="s">
        <v>40</v>
      </c>
      <c r="J161" t="s">
        <v>40</v>
      </c>
      <c r="K161" t="s">
        <v>41</v>
      </c>
      <c r="L161" t="str">
        <f>IF(TRIM(K161)="","Unknown",PROPER(TRIM(K161)))</f>
        <v>East</v>
      </c>
      <c r="M161" t="s">
        <v>116</v>
      </c>
      <c r="N161" t="s">
        <v>117</v>
      </c>
      <c r="O161" t="s">
        <v>44</v>
      </c>
      <c r="P161" t="str">
        <f>IF(TRIM(O161)="","Unknown",PROPER(TRIM(O161)))</f>
        <v>Furniture</v>
      </c>
      <c r="Q161" t="s">
        <v>63</v>
      </c>
      <c r="R161" t="s">
        <v>1254</v>
      </c>
      <c r="S161" t="s">
        <v>47</v>
      </c>
      <c r="T161" t="str">
        <f>IF(TRIM(S161)="","Unknown",PROPER(TRIM(S161)))</f>
        <v>Same Day</v>
      </c>
      <c r="U161">
        <v>1</v>
      </c>
      <c r="V161">
        <v>980.51</v>
      </c>
      <c r="W161">
        <v>0</v>
      </c>
      <c r="Y161">
        <v>0</v>
      </c>
      <c r="Z161">
        <v>980.51</v>
      </c>
      <c r="AA161">
        <v>660.92</v>
      </c>
      <c r="AB161">
        <v>319.58999999999997</v>
      </c>
      <c r="AC161" t="s">
        <v>33</v>
      </c>
      <c r="AD161" t="s">
        <v>34</v>
      </c>
      <c r="AE161">
        <f>ROUND((U161*V161)-(U161*V161*Y161),2)</f>
        <v>980.51</v>
      </c>
      <c r="AF161">
        <f>AE161-AA161</f>
        <v>319.59000000000003</v>
      </c>
      <c r="AG161" s="7">
        <f>ROUND((AF161/AE161),4)</f>
        <v>0.32590000000000002</v>
      </c>
      <c r="AH161">
        <f>IF(AND(C161&lt;&gt;"",E161&lt;&gt;""),E161 - C161,"")</f>
        <v>7</v>
      </c>
      <c r="AI161" t="str">
        <f>IF(C161="","",TEXT(C161, "mmmm"))</f>
        <v>February</v>
      </c>
      <c r="AJ161">
        <f>IF(C161="","",YEAR(C161))</f>
        <v>2024</v>
      </c>
      <c r="AM161" t="str">
        <f>IF(AN161="","clean","")</f>
        <v>clean</v>
      </c>
      <c r="AN161" t="s">
        <v>3595</v>
      </c>
    </row>
    <row r="162" spans="1:40">
      <c r="A162" t="s">
        <v>1255</v>
      </c>
      <c r="B162" t="s">
        <v>935</v>
      </c>
      <c r="D162" t="s">
        <v>1256</v>
      </c>
      <c r="F162" t="s">
        <v>1257</v>
      </c>
      <c r="G162" t="s">
        <v>153</v>
      </c>
      <c r="H162" t="s">
        <v>153</v>
      </c>
      <c r="I162" t="s">
        <v>40</v>
      </c>
      <c r="J162" t="s">
        <v>40</v>
      </c>
      <c r="L162" t="str">
        <f>IF(TRIM(K162)="","Unknown",PROPER(TRIM(K162)))</f>
        <v>Unknown</v>
      </c>
      <c r="M162" t="s">
        <v>201</v>
      </c>
      <c r="N162" t="s">
        <v>202</v>
      </c>
      <c r="O162" t="s">
        <v>44</v>
      </c>
      <c r="P162" t="str">
        <f>IF(TRIM(O162)="","Unknown",PROPER(TRIM(O162)))</f>
        <v>Furniture</v>
      </c>
      <c r="Q162" t="s">
        <v>74</v>
      </c>
      <c r="R162" t="s">
        <v>1258</v>
      </c>
      <c r="S162" t="s">
        <v>32</v>
      </c>
      <c r="T162" t="str">
        <f>IF(TRIM(S162)="","Unknown",PROPER(TRIM(S162)))</f>
        <v>Second Class</v>
      </c>
      <c r="U162">
        <v>6</v>
      </c>
      <c r="V162">
        <v>3391.53</v>
      </c>
      <c r="W162">
        <v>-0.14000000000000001</v>
      </c>
      <c r="Y162">
        <v>0.25</v>
      </c>
      <c r="Z162">
        <v>15261.89</v>
      </c>
      <c r="AA162">
        <v>8413.5300000000007</v>
      </c>
      <c r="AB162">
        <v>6848.36</v>
      </c>
      <c r="AC162" t="s">
        <v>33</v>
      </c>
      <c r="AD162" t="s">
        <v>34</v>
      </c>
      <c r="AE162">
        <f>ROUND((U162*V162)-(U162*V162*Y162),2)</f>
        <v>15261.89</v>
      </c>
      <c r="AF162">
        <f>AE162-AA162</f>
        <v>6848.3599999999988</v>
      </c>
      <c r="AG162" s="7">
        <f>ROUND((AF162/AE162),4)</f>
        <v>0.44869999999999999</v>
      </c>
      <c r="AH162" t="str">
        <f>IF(AND(C162&lt;&gt;"",E162&lt;&gt;""),E162 - C162,"")</f>
        <v/>
      </c>
      <c r="AI162" t="str">
        <f>IF(C162="","",TEXT(C162, "mmmm"))</f>
        <v/>
      </c>
      <c r="AJ162" t="str">
        <f>IF(C162="","",YEAR(C162))</f>
        <v/>
      </c>
      <c r="AM162" t="s">
        <v>4144</v>
      </c>
      <c r="AN162" t="s">
        <v>4125</v>
      </c>
    </row>
    <row r="163" spans="1:40">
      <c r="A163" t="s">
        <v>1255</v>
      </c>
      <c r="B163" t="s">
        <v>935</v>
      </c>
      <c r="D163" t="s">
        <v>1256</v>
      </c>
      <c r="F163" t="s">
        <v>1257</v>
      </c>
      <c r="G163" t="s">
        <v>153</v>
      </c>
      <c r="H163" t="s">
        <v>153</v>
      </c>
      <c r="I163" t="s">
        <v>40</v>
      </c>
      <c r="J163" t="s">
        <v>40</v>
      </c>
      <c r="L163" t="str">
        <f>IF(TRIM(K163)="","Unknown",PROPER(TRIM(K163)))</f>
        <v>Unknown</v>
      </c>
      <c r="M163" t="s">
        <v>201</v>
      </c>
      <c r="N163" t="s">
        <v>202</v>
      </c>
      <c r="O163" t="s">
        <v>44</v>
      </c>
      <c r="P163" t="str">
        <f>IF(TRIM(O163)="","Unknown",PROPER(TRIM(O163)))</f>
        <v>Furniture</v>
      </c>
      <c r="Q163" t="s">
        <v>74</v>
      </c>
      <c r="R163" t="s">
        <v>1258</v>
      </c>
      <c r="S163" t="s">
        <v>32</v>
      </c>
      <c r="T163" t="str">
        <f>IF(TRIM(S163)="","Unknown",PROPER(TRIM(S163)))</f>
        <v>Second Class</v>
      </c>
      <c r="U163">
        <v>6</v>
      </c>
      <c r="V163">
        <v>3391.53</v>
      </c>
      <c r="W163">
        <v>-0.14000000000000001</v>
      </c>
      <c r="Y163">
        <v>0.25</v>
      </c>
      <c r="Z163">
        <v>15261.89</v>
      </c>
      <c r="AA163">
        <v>8413.5300000000007</v>
      </c>
      <c r="AB163">
        <v>6848.36</v>
      </c>
      <c r="AC163" t="s">
        <v>33</v>
      </c>
      <c r="AD163" t="s">
        <v>34</v>
      </c>
      <c r="AE163">
        <f>ROUND((U163*V163)-(U163*V163*Y163),2)</f>
        <v>15261.89</v>
      </c>
      <c r="AF163">
        <f>AE163-AA163</f>
        <v>6848.3599999999988</v>
      </c>
      <c r="AG163" s="7">
        <f>ROUND((AF163/AE163),4)</f>
        <v>0.44869999999999999</v>
      </c>
      <c r="AH163" t="str">
        <f>IF(AND(C163&lt;&gt;"",E163&lt;&gt;""),E163 - C163,"")</f>
        <v/>
      </c>
      <c r="AI163" t="str">
        <f>IF(C163="","",TEXT(C163, "mmmm"))</f>
        <v/>
      </c>
      <c r="AJ163" t="str">
        <f>IF(C163="","",YEAR(C163))</f>
        <v/>
      </c>
      <c r="AL163" t="s">
        <v>4152</v>
      </c>
      <c r="AM163" t="s">
        <v>4144</v>
      </c>
      <c r="AN163" t="s">
        <v>4147</v>
      </c>
    </row>
    <row r="164" spans="1:40">
      <c r="A164" t="s">
        <v>1266</v>
      </c>
      <c r="B164" t="s">
        <v>3775</v>
      </c>
      <c r="C164" s="6">
        <v>45391</v>
      </c>
      <c r="D164" t="s">
        <v>1267</v>
      </c>
      <c r="E164" s="6">
        <v>45392</v>
      </c>
      <c r="F164" t="s">
        <v>1268</v>
      </c>
      <c r="G164" t="s">
        <v>169</v>
      </c>
      <c r="H164" t="s">
        <v>169</v>
      </c>
      <c r="I164" t="s">
        <v>40</v>
      </c>
      <c r="J164" t="s">
        <v>40</v>
      </c>
      <c r="K164" t="s">
        <v>71</v>
      </c>
      <c r="L164" t="str">
        <f>IF(TRIM(K164)="","Unknown",PROPER(TRIM(K164)))</f>
        <v>West</v>
      </c>
      <c r="M164" t="s">
        <v>72</v>
      </c>
      <c r="N164" t="s">
        <v>73</v>
      </c>
      <c r="O164" t="s">
        <v>29</v>
      </c>
      <c r="P164" t="str">
        <f>IF(TRIM(O164)="","Unknown",PROPER(TRIM(O164)))</f>
        <v>Office Supplies</v>
      </c>
      <c r="Q164" t="s">
        <v>148</v>
      </c>
      <c r="R164" t="s">
        <v>1269</v>
      </c>
      <c r="S164" t="s">
        <v>55</v>
      </c>
      <c r="T164" t="str">
        <f>IF(TRIM(S164)="","Unknown",PROPER(TRIM(S164)))</f>
        <v>First Class</v>
      </c>
      <c r="U164">
        <v>1</v>
      </c>
      <c r="V164">
        <v>4359.12</v>
      </c>
      <c r="W164">
        <v>0.05</v>
      </c>
      <c r="Y164">
        <v>0.05</v>
      </c>
      <c r="Z164">
        <v>4141.16</v>
      </c>
      <c r="AA164">
        <v>2754.17</v>
      </c>
      <c r="AB164">
        <v>1386.99</v>
      </c>
      <c r="AC164" t="s">
        <v>33</v>
      </c>
      <c r="AD164" t="s">
        <v>34</v>
      </c>
      <c r="AE164">
        <f>ROUND((U164*V164)-(U164*V164*Y164),2)</f>
        <v>4141.16</v>
      </c>
      <c r="AF164">
        <f>AE164-AA164</f>
        <v>1386.9899999999998</v>
      </c>
      <c r="AG164" s="7">
        <f>ROUND((AF164/AE164),4)</f>
        <v>0.33489999999999998</v>
      </c>
      <c r="AH164">
        <f>IF(AND(C164&lt;&gt;"",E164&lt;&gt;""),E164 - C164,"")</f>
        <v>1</v>
      </c>
      <c r="AI164" t="str">
        <f>IF(C164="","",TEXT(C164, "mmmm"))</f>
        <v>April</v>
      </c>
      <c r="AJ164">
        <f>IF(C164="","",YEAR(C164))</f>
        <v>2024</v>
      </c>
      <c r="AM164" t="str">
        <f>IF(AN164="","clean","")</f>
        <v>clean</v>
      </c>
      <c r="AN164" t="s">
        <v>3595</v>
      </c>
    </row>
    <row r="165" spans="1:40">
      <c r="A165" t="s">
        <v>1270</v>
      </c>
      <c r="B165" t="s">
        <v>3776</v>
      </c>
      <c r="C165" s="6">
        <v>45649</v>
      </c>
      <c r="D165" t="s">
        <v>1271</v>
      </c>
      <c r="F165" t="s">
        <v>1272</v>
      </c>
      <c r="G165" t="s">
        <v>103</v>
      </c>
      <c r="H165" t="s">
        <v>103</v>
      </c>
      <c r="I165" t="s">
        <v>25</v>
      </c>
      <c r="J165" t="s">
        <v>25</v>
      </c>
      <c r="K165" t="s">
        <v>60</v>
      </c>
      <c r="L165" t="str">
        <f>IF(TRIM(K165)="","Unknown",PROPER(TRIM(K165)))</f>
        <v>South</v>
      </c>
      <c r="M165" t="s">
        <v>212</v>
      </c>
      <c r="N165" t="s">
        <v>213</v>
      </c>
      <c r="O165" t="s">
        <v>83</v>
      </c>
      <c r="P165" t="str">
        <f>IF(TRIM(O165)="","Unknown",PROPER(TRIM(O165)))</f>
        <v>Technology</v>
      </c>
      <c r="Q165" t="s">
        <v>91</v>
      </c>
      <c r="R165" t="s">
        <v>1273</v>
      </c>
      <c r="S165" t="s">
        <v>65</v>
      </c>
      <c r="T165" t="str">
        <f>IF(TRIM(S165)="","Unknown",PROPER(TRIM(S165)))</f>
        <v>Standard Class</v>
      </c>
      <c r="U165">
        <v>9</v>
      </c>
      <c r="V165">
        <v>993.67</v>
      </c>
      <c r="W165">
        <v>0</v>
      </c>
      <c r="Y165">
        <v>0</v>
      </c>
      <c r="Z165">
        <v>8943.0300000000007</v>
      </c>
      <c r="AA165">
        <v>5165.38</v>
      </c>
      <c r="AB165">
        <v>3777.65</v>
      </c>
      <c r="AC165" t="s">
        <v>33</v>
      </c>
      <c r="AD165" t="s">
        <v>34</v>
      </c>
      <c r="AE165">
        <f>ROUND((U165*V165)-(U165*V165*Y165),2)</f>
        <v>8943.0300000000007</v>
      </c>
      <c r="AF165">
        <f>AE165-AA165</f>
        <v>3777.6500000000005</v>
      </c>
      <c r="AG165" s="7">
        <f>ROUND((AF165/AE165),4)</f>
        <v>0.4224</v>
      </c>
      <c r="AH165" t="str">
        <f>IF(AND(C165&lt;&gt;"",E165&lt;&gt;""),E165 - C165,"")</f>
        <v/>
      </c>
      <c r="AI165" t="str">
        <f>IF(C165="","",TEXT(C165, "mmmm"))</f>
        <v>December</v>
      </c>
      <c r="AJ165">
        <f>IF(C165="","",YEAR(C165))</f>
        <v>2024</v>
      </c>
      <c r="AM165" t="s">
        <v>4144</v>
      </c>
      <c r="AN165" t="s">
        <v>4136</v>
      </c>
    </row>
    <row r="166" spans="1:40">
      <c r="A166" t="s">
        <v>1270</v>
      </c>
      <c r="B166" t="s">
        <v>3776</v>
      </c>
      <c r="C166" s="6">
        <v>45649</v>
      </c>
      <c r="D166" t="s">
        <v>1271</v>
      </c>
      <c r="F166" t="s">
        <v>1272</v>
      </c>
      <c r="G166" t="s">
        <v>103</v>
      </c>
      <c r="H166" t="s">
        <v>103</v>
      </c>
      <c r="I166" t="s">
        <v>25</v>
      </c>
      <c r="J166" t="s">
        <v>25</v>
      </c>
      <c r="K166" t="s">
        <v>60</v>
      </c>
      <c r="L166" t="str">
        <f>IF(TRIM(K166)="","Unknown",PROPER(TRIM(K166)))</f>
        <v>South</v>
      </c>
      <c r="M166" t="s">
        <v>212</v>
      </c>
      <c r="N166" t="s">
        <v>213</v>
      </c>
      <c r="O166" t="s">
        <v>83</v>
      </c>
      <c r="P166" t="str">
        <f>IF(TRIM(O166)="","Unknown",PROPER(TRIM(O166)))</f>
        <v>Technology</v>
      </c>
      <c r="Q166" t="s">
        <v>91</v>
      </c>
      <c r="R166" t="s">
        <v>1273</v>
      </c>
      <c r="S166" t="s">
        <v>65</v>
      </c>
      <c r="T166" t="str">
        <f>IF(TRIM(S166)="","Unknown",PROPER(TRIM(S166)))</f>
        <v>Standard Class</v>
      </c>
      <c r="U166">
        <v>9</v>
      </c>
      <c r="V166">
        <v>993.67</v>
      </c>
      <c r="W166">
        <v>0</v>
      </c>
      <c r="Y166">
        <v>0</v>
      </c>
      <c r="Z166">
        <v>8943.0300000000007</v>
      </c>
      <c r="AA166">
        <v>5165.38</v>
      </c>
      <c r="AB166">
        <v>3777.65</v>
      </c>
      <c r="AC166" t="s">
        <v>33</v>
      </c>
      <c r="AD166" t="s">
        <v>34</v>
      </c>
      <c r="AE166">
        <f>ROUND((U166*V166)-(U166*V166*Y166),2)</f>
        <v>8943.0300000000007</v>
      </c>
      <c r="AF166">
        <f>AE166-AA166</f>
        <v>3777.6500000000005</v>
      </c>
      <c r="AG166" s="7">
        <f>ROUND((AF166/AE166),4)</f>
        <v>0.4224</v>
      </c>
      <c r="AH166" t="str">
        <f>IF(AND(C166&lt;&gt;"",E166&lt;&gt;""),E166 - C166,"")</f>
        <v/>
      </c>
      <c r="AI166" t="str">
        <f>IF(C166="","",TEXT(C166, "mmmm"))</f>
        <v>December</v>
      </c>
      <c r="AJ166">
        <f>IF(C166="","",YEAR(C166))</f>
        <v>2024</v>
      </c>
      <c r="AL166" t="s">
        <v>4152</v>
      </c>
      <c r="AM166" t="s">
        <v>4144</v>
      </c>
      <c r="AN166" t="s">
        <v>4148</v>
      </c>
    </row>
    <row r="167" spans="1:40">
      <c r="A167" t="s">
        <v>1278</v>
      </c>
      <c r="B167" t="s">
        <v>3778</v>
      </c>
      <c r="C167" s="6">
        <v>45566</v>
      </c>
      <c r="D167" t="s">
        <v>1279</v>
      </c>
      <c r="E167" s="6">
        <v>45567</v>
      </c>
      <c r="F167" t="s">
        <v>1280</v>
      </c>
      <c r="G167" t="s">
        <v>24</v>
      </c>
      <c r="H167" t="s">
        <v>24</v>
      </c>
      <c r="I167" t="s">
        <v>110</v>
      </c>
      <c r="J167" t="s">
        <v>110</v>
      </c>
      <c r="K167" t="s">
        <v>41</v>
      </c>
      <c r="L167" t="str">
        <f>IF(TRIM(K167)="","Unknown",PROPER(TRIM(K167)))</f>
        <v>East</v>
      </c>
      <c r="M167" t="s">
        <v>201</v>
      </c>
      <c r="N167" t="s">
        <v>202</v>
      </c>
      <c r="O167" t="s">
        <v>44</v>
      </c>
      <c r="P167" t="str">
        <f>IF(TRIM(O167)="","Unknown",PROPER(TRIM(O167)))</f>
        <v>Furniture</v>
      </c>
      <c r="Q167" t="s">
        <v>45</v>
      </c>
      <c r="R167" t="s">
        <v>1281</v>
      </c>
      <c r="S167" t="s">
        <v>32</v>
      </c>
      <c r="T167" t="str">
        <f>IF(TRIM(S167)="","Unknown",PROPER(TRIM(S167)))</f>
        <v>Second Class</v>
      </c>
      <c r="U167">
        <v>2</v>
      </c>
      <c r="V167">
        <v>2298</v>
      </c>
      <c r="W167">
        <v>0</v>
      </c>
      <c r="Y167">
        <v>0</v>
      </c>
      <c r="Z167">
        <v>4596</v>
      </c>
      <c r="AA167">
        <v>3220.33</v>
      </c>
      <c r="AB167">
        <v>1375.67</v>
      </c>
      <c r="AC167" t="s">
        <v>33</v>
      </c>
      <c r="AD167" t="s">
        <v>34</v>
      </c>
      <c r="AE167">
        <f>ROUND((U167*V167)-(U167*V167*Y167),2)</f>
        <v>4596</v>
      </c>
      <c r="AF167">
        <f>AE167-AA167</f>
        <v>1375.67</v>
      </c>
      <c r="AG167" s="7">
        <f>ROUND((AF167/AE167),4)</f>
        <v>0.29930000000000001</v>
      </c>
      <c r="AH167">
        <f>IF(AND(C167&lt;&gt;"",E167&lt;&gt;""),E167 - C167,"")</f>
        <v>1</v>
      </c>
      <c r="AI167" t="str">
        <f>IF(C167="","",TEXT(C167, "mmmm"))</f>
        <v>October</v>
      </c>
      <c r="AJ167">
        <f>IF(C167="","",YEAR(C167))</f>
        <v>2024</v>
      </c>
      <c r="AM167" t="str">
        <f>IF(AN167="","clean","")</f>
        <v>clean</v>
      </c>
      <c r="AN167" t="s">
        <v>3595</v>
      </c>
    </row>
    <row r="168" spans="1:40">
      <c r="A168" t="s">
        <v>1287</v>
      </c>
      <c r="B168" t="s">
        <v>1288</v>
      </c>
      <c r="C168" s="6">
        <v>45634</v>
      </c>
      <c r="D168" t="s">
        <v>1289</v>
      </c>
      <c r="E168" s="6">
        <v>45640</v>
      </c>
      <c r="F168" t="s">
        <v>1290</v>
      </c>
      <c r="G168" t="s">
        <v>24</v>
      </c>
      <c r="H168" t="s">
        <v>24</v>
      </c>
      <c r="I168" t="s">
        <v>25</v>
      </c>
      <c r="J168" t="s">
        <v>25</v>
      </c>
      <c r="K168" t="s">
        <v>41</v>
      </c>
      <c r="L168" t="str">
        <f>IF(TRIM(K168)="","Unknown",PROPER(TRIM(K168)))</f>
        <v>East</v>
      </c>
      <c r="M168" t="s">
        <v>42</v>
      </c>
      <c r="N168" t="s">
        <v>43</v>
      </c>
      <c r="O168" t="s">
        <v>44</v>
      </c>
      <c r="P168" t="str">
        <f>IF(TRIM(O168)="","Unknown",PROPER(TRIM(O168)))</f>
        <v>Furniture</v>
      </c>
      <c r="Q168" t="s">
        <v>45</v>
      </c>
      <c r="R168" t="s">
        <v>1291</v>
      </c>
      <c r="S168" t="s">
        <v>47</v>
      </c>
      <c r="T168" t="str">
        <f>IF(TRIM(S168)="","Unknown",PROPER(TRIM(S168)))</f>
        <v>Same Day</v>
      </c>
      <c r="U168">
        <v>3</v>
      </c>
      <c r="V168">
        <v>1576.92</v>
      </c>
      <c r="W168">
        <v>0</v>
      </c>
      <c r="Y168">
        <v>0</v>
      </c>
      <c r="Z168">
        <v>4730.76</v>
      </c>
      <c r="AA168">
        <v>3139.73</v>
      </c>
      <c r="AB168">
        <v>1591.03</v>
      </c>
      <c r="AC168" t="s">
        <v>33</v>
      </c>
      <c r="AD168" t="s">
        <v>120</v>
      </c>
      <c r="AE168">
        <f>ROUND((U168*V168)-(U168*V168*Y168),2)</f>
        <v>4730.76</v>
      </c>
      <c r="AF168">
        <f>AE168-AA168</f>
        <v>1591.0300000000002</v>
      </c>
      <c r="AG168" s="7">
        <f>ROUND((AF168/AE168),4)</f>
        <v>0.33629999999999999</v>
      </c>
      <c r="AH168">
        <f>IF(AND(C168&lt;&gt;"",E168&lt;&gt;""),E168 - C168,"")</f>
        <v>6</v>
      </c>
      <c r="AI168" t="str">
        <f>IF(C168="","",TEXT(C168, "mmmm"))</f>
        <v>December</v>
      </c>
      <c r="AJ168">
        <f>IF(C168="","",YEAR(C168))</f>
        <v>2024</v>
      </c>
      <c r="AM168" t="str">
        <f>IF(AN168="","clean","")</f>
        <v>clean</v>
      </c>
      <c r="AN168" t="s">
        <v>3595</v>
      </c>
    </row>
    <row r="169" spans="1:40">
      <c r="A169" t="s">
        <v>1296</v>
      </c>
      <c r="B169" t="s">
        <v>1297</v>
      </c>
      <c r="D169" t="s">
        <v>1298</v>
      </c>
      <c r="E169" s="6">
        <v>45353</v>
      </c>
      <c r="F169" t="s">
        <v>1299</v>
      </c>
      <c r="G169" t="s">
        <v>136</v>
      </c>
      <c r="H169" t="s">
        <v>136</v>
      </c>
      <c r="I169" t="s">
        <v>40</v>
      </c>
      <c r="J169" t="s">
        <v>40</v>
      </c>
      <c r="K169" t="s">
        <v>26</v>
      </c>
      <c r="L169" t="str">
        <f>IF(TRIM(K169)="","Unknown",PROPER(TRIM(K169)))</f>
        <v>North</v>
      </c>
      <c r="M169" t="s">
        <v>454</v>
      </c>
      <c r="N169" t="s">
        <v>455</v>
      </c>
      <c r="O169" t="s">
        <v>44</v>
      </c>
      <c r="P169" t="str">
        <f>IF(TRIM(O169)="","Unknown",PROPER(TRIM(O169)))</f>
        <v>Furniture</v>
      </c>
      <c r="Q169" t="s">
        <v>63</v>
      </c>
      <c r="R169" t="s">
        <v>1300</v>
      </c>
      <c r="S169" t="s">
        <v>55</v>
      </c>
      <c r="T169" t="str">
        <f>IF(TRIM(S169)="","Unknown",PROPER(TRIM(S169)))</f>
        <v>First Class</v>
      </c>
      <c r="U169">
        <v>7</v>
      </c>
      <c r="V169">
        <v>701.8</v>
      </c>
      <c r="W169">
        <v>0.1</v>
      </c>
      <c r="Y169">
        <v>0.1</v>
      </c>
      <c r="Z169">
        <v>4421.34</v>
      </c>
      <c r="AA169">
        <v>2489.98</v>
      </c>
      <c r="AB169">
        <v>1931.36</v>
      </c>
      <c r="AC169" t="s">
        <v>131</v>
      </c>
      <c r="AD169" t="s">
        <v>120</v>
      </c>
      <c r="AE169">
        <f>ROUND((U169*V169)-(U169*V169*Y169),2)</f>
        <v>4421.34</v>
      </c>
      <c r="AF169">
        <f>AE169-AA169</f>
        <v>1931.3600000000001</v>
      </c>
      <c r="AG169" s="7">
        <f>ROUND((AF169/AE169),4)</f>
        <v>0.43680000000000002</v>
      </c>
      <c r="AH169" t="str">
        <f>IF(AND(C169&lt;&gt;"",E169&lt;&gt;""),E169 - C169,"")</f>
        <v/>
      </c>
      <c r="AI169" t="str">
        <f>IF(C169="","",TEXT(C169, "mmmm"))</f>
        <v/>
      </c>
      <c r="AJ169" t="str">
        <f>IF(C169="","",YEAR(C169))</f>
        <v/>
      </c>
      <c r="AM169" t="s">
        <v>4144</v>
      </c>
      <c r="AN169" t="s">
        <v>4127</v>
      </c>
    </row>
    <row r="170" spans="1:40">
      <c r="A170" t="s">
        <v>1301</v>
      </c>
      <c r="B170" t="s">
        <v>3780</v>
      </c>
      <c r="C170" s="6">
        <v>45540</v>
      </c>
      <c r="D170" t="s">
        <v>1302</v>
      </c>
      <c r="E170" s="6">
        <v>45542</v>
      </c>
      <c r="F170" t="s">
        <v>1303</v>
      </c>
      <c r="G170" t="s">
        <v>90</v>
      </c>
      <c r="H170" t="s">
        <v>90</v>
      </c>
      <c r="I170" t="s">
        <v>40</v>
      </c>
      <c r="J170" t="s">
        <v>40</v>
      </c>
      <c r="K170" t="s">
        <v>60</v>
      </c>
      <c r="L170" t="str">
        <f>IF(TRIM(K170)="","Unknown",PROPER(TRIM(K170)))</f>
        <v>South</v>
      </c>
      <c r="M170" t="s">
        <v>309</v>
      </c>
      <c r="N170" t="s">
        <v>310</v>
      </c>
      <c r="O170" t="s">
        <v>83</v>
      </c>
      <c r="P170" t="str">
        <f>IF(TRIM(O170)="","Unknown",PROPER(TRIM(O170)))</f>
        <v>Technology</v>
      </c>
      <c r="Q170" t="s">
        <v>91</v>
      </c>
      <c r="R170" t="s">
        <v>1304</v>
      </c>
      <c r="S170" t="s">
        <v>65</v>
      </c>
      <c r="T170" t="str">
        <f>IF(TRIM(S170)="","Unknown",PROPER(TRIM(S170)))</f>
        <v>Standard Class</v>
      </c>
      <c r="U170">
        <v>3</v>
      </c>
      <c r="V170">
        <v>2555.66</v>
      </c>
      <c r="W170">
        <v>0.15</v>
      </c>
      <c r="Y170">
        <v>0.15</v>
      </c>
      <c r="Z170">
        <v>6516.93</v>
      </c>
      <c r="AA170">
        <v>4511.54</v>
      </c>
      <c r="AB170">
        <v>2005.39</v>
      </c>
      <c r="AC170" t="s">
        <v>33</v>
      </c>
      <c r="AD170" t="s">
        <v>76</v>
      </c>
      <c r="AE170">
        <f>ROUND((U170*V170)-(U170*V170*Y170),2)</f>
        <v>6516.93</v>
      </c>
      <c r="AF170">
        <f>AE170-AA170</f>
        <v>2005.3900000000003</v>
      </c>
      <c r="AG170" s="7">
        <f>ROUND((AF170/AE170),4)</f>
        <v>0.30769999999999997</v>
      </c>
      <c r="AH170">
        <f>IF(AND(C170&lt;&gt;"",E170&lt;&gt;""),E170 - C170,"")</f>
        <v>2</v>
      </c>
      <c r="AI170" t="str">
        <f>IF(C170="","",TEXT(C170, "mmmm"))</f>
        <v>September</v>
      </c>
      <c r="AJ170">
        <f>IF(C170="","",YEAR(C170))</f>
        <v>2024</v>
      </c>
      <c r="AM170" t="str">
        <f>IF(AN170="","clean","")</f>
        <v>clean</v>
      </c>
      <c r="AN170" t="s">
        <v>3595</v>
      </c>
    </row>
    <row r="171" spans="1:40">
      <c r="A171" t="s">
        <v>1305</v>
      </c>
      <c r="B171" t="s">
        <v>1306</v>
      </c>
      <c r="C171" s="6">
        <v>45467</v>
      </c>
      <c r="D171" t="s">
        <v>1306</v>
      </c>
      <c r="E171" s="6">
        <v>45467</v>
      </c>
      <c r="F171" t="s">
        <v>1307</v>
      </c>
      <c r="G171" t="s">
        <v>169</v>
      </c>
      <c r="H171" t="s">
        <v>169</v>
      </c>
      <c r="I171" t="s">
        <v>40</v>
      </c>
      <c r="J171" t="s">
        <v>40</v>
      </c>
      <c r="K171" t="s">
        <v>41</v>
      </c>
      <c r="L171" t="str">
        <f>IF(TRIM(K171)="","Unknown",PROPER(TRIM(K171)))</f>
        <v>East</v>
      </c>
      <c r="M171" t="s">
        <v>174</v>
      </c>
      <c r="N171" t="s">
        <v>175</v>
      </c>
      <c r="O171" t="s">
        <v>29</v>
      </c>
      <c r="P171" t="str">
        <f>IF(TRIM(O171)="","Unknown",PROPER(TRIM(O171)))</f>
        <v>Office Supplies</v>
      </c>
      <c r="Q171" t="s">
        <v>184</v>
      </c>
      <c r="R171" t="s">
        <v>1308</v>
      </c>
      <c r="S171" t="s">
        <v>47</v>
      </c>
      <c r="T171" t="str">
        <f>IF(TRIM(S171)="","Unknown",PROPER(TRIM(S171)))</f>
        <v>Same Day</v>
      </c>
      <c r="U171">
        <v>2</v>
      </c>
      <c r="V171">
        <v>4359.8999999999996</v>
      </c>
      <c r="W171">
        <v>0.15</v>
      </c>
      <c r="Y171">
        <v>0.15</v>
      </c>
      <c r="Z171">
        <v>7411.83</v>
      </c>
      <c r="AA171">
        <v>4904.63</v>
      </c>
      <c r="AB171">
        <v>2507.1999999999998</v>
      </c>
      <c r="AC171" t="s">
        <v>33</v>
      </c>
      <c r="AD171" t="s">
        <v>34</v>
      </c>
      <c r="AE171">
        <f>ROUND((U171*V171)-(U171*V171*Y171),2)</f>
        <v>7411.83</v>
      </c>
      <c r="AF171">
        <f>AE171-AA171</f>
        <v>2507.1999999999998</v>
      </c>
      <c r="AG171" s="7">
        <f>ROUND((AF171/AE171),4)</f>
        <v>0.33829999999999999</v>
      </c>
      <c r="AH171">
        <f>IF(AND(C171&lt;&gt;"",E171&lt;&gt;""),E171 - C171,"")</f>
        <v>0</v>
      </c>
      <c r="AI171" t="str">
        <f>IF(C171="","",TEXT(C171, "mmmm"))</f>
        <v>June</v>
      </c>
      <c r="AJ171">
        <f>IF(C171="","",YEAR(C171))</f>
        <v>2024</v>
      </c>
      <c r="AM171" t="str">
        <f>IF(AN171="","clean","")</f>
        <v>clean</v>
      </c>
      <c r="AN171" t="s">
        <v>3595</v>
      </c>
    </row>
    <row r="172" spans="1:40">
      <c r="A172" t="s">
        <v>1317</v>
      </c>
      <c r="B172" t="s">
        <v>3781</v>
      </c>
      <c r="C172" s="6">
        <v>45387</v>
      </c>
      <c r="D172" t="s">
        <v>1318</v>
      </c>
      <c r="E172" s="6">
        <v>45392</v>
      </c>
      <c r="F172" t="s">
        <v>1319</v>
      </c>
      <c r="G172" t="s">
        <v>136</v>
      </c>
      <c r="H172" t="s">
        <v>136</v>
      </c>
      <c r="I172" t="s">
        <v>110</v>
      </c>
      <c r="J172" t="s">
        <v>110</v>
      </c>
      <c r="K172" t="s">
        <v>26</v>
      </c>
      <c r="L172" t="str">
        <f>IF(TRIM(K172)="","Unknown",PROPER(TRIM(K172)))</f>
        <v>North</v>
      </c>
      <c r="M172" t="s">
        <v>27</v>
      </c>
      <c r="N172" t="s">
        <v>28</v>
      </c>
      <c r="O172" t="s">
        <v>29</v>
      </c>
      <c r="P172" t="str">
        <f>IF(TRIM(O172)="","Unknown",PROPER(TRIM(O172)))</f>
        <v>Office Supplies</v>
      </c>
      <c r="Q172" t="s">
        <v>184</v>
      </c>
      <c r="R172" t="s">
        <v>1320</v>
      </c>
      <c r="S172" t="s">
        <v>65</v>
      </c>
      <c r="T172" t="str">
        <f>IF(TRIM(S172)="","Unknown",PROPER(TRIM(S172)))</f>
        <v>Standard Class</v>
      </c>
      <c r="U172">
        <v>4</v>
      </c>
      <c r="V172">
        <v>3228.66</v>
      </c>
      <c r="W172">
        <v>0.25</v>
      </c>
      <c r="Y172">
        <v>0.25</v>
      </c>
      <c r="Z172">
        <v>9685.98</v>
      </c>
      <c r="AA172">
        <v>7730.04</v>
      </c>
      <c r="AB172">
        <v>1955.94</v>
      </c>
      <c r="AC172" t="s">
        <v>33</v>
      </c>
      <c r="AD172" t="s">
        <v>34</v>
      </c>
      <c r="AE172">
        <f>ROUND((U172*V172)-(U172*V172*Y172),2)</f>
        <v>9685.98</v>
      </c>
      <c r="AF172">
        <f>AE172-AA172</f>
        <v>1955.9399999999996</v>
      </c>
      <c r="AG172" s="7">
        <f>ROUND((AF172/AE172),4)</f>
        <v>0.2019</v>
      </c>
      <c r="AH172">
        <f>IF(AND(C172&lt;&gt;"",E172&lt;&gt;""),E172 - C172,"")</f>
        <v>5</v>
      </c>
      <c r="AI172" t="str">
        <f>IF(C172="","",TEXT(C172, "mmmm"))</f>
        <v>April</v>
      </c>
      <c r="AJ172">
        <f>IF(C172="","",YEAR(C172))</f>
        <v>2024</v>
      </c>
      <c r="AM172" t="str">
        <f>IF(AN172="","clean","")</f>
        <v>clean</v>
      </c>
      <c r="AN172" t="s">
        <v>3595</v>
      </c>
    </row>
    <row r="173" spans="1:40">
      <c r="A173" t="s">
        <v>1325</v>
      </c>
      <c r="B173" t="s">
        <v>1326</v>
      </c>
      <c r="C173" s="6">
        <v>45358</v>
      </c>
      <c r="D173" t="s">
        <v>1327</v>
      </c>
      <c r="E173" s="6">
        <v>45362</v>
      </c>
      <c r="F173" t="s">
        <v>1328</v>
      </c>
      <c r="G173" t="s">
        <v>59</v>
      </c>
      <c r="H173" t="s">
        <v>59</v>
      </c>
      <c r="I173" t="s">
        <v>110</v>
      </c>
      <c r="J173" t="s">
        <v>110</v>
      </c>
      <c r="K173" t="s">
        <v>60</v>
      </c>
      <c r="L173" t="str">
        <f>IF(TRIM(K173)="","Unknown",PROPER(TRIM(K173)))</f>
        <v>South</v>
      </c>
      <c r="M173" t="s">
        <v>61</v>
      </c>
      <c r="N173" t="s">
        <v>62</v>
      </c>
      <c r="O173" t="s">
        <v>83</v>
      </c>
      <c r="P173" t="str">
        <f>IF(TRIM(O173)="","Unknown",PROPER(TRIM(O173)))</f>
        <v>Technology</v>
      </c>
      <c r="Q173" t="s">
        <v>207</v>
      </c>
      <c r="R173" t="s">
        <v>1329</v>
      </c>
      <c r="S173" t="s">
        <v>55</v>
      </c>
      <c r="T173" t="str">
        <f>IF(TRIM(S173)="","Unknown",PROPER(TRIM(S173)))</f>
        <v>First Class</v>
      </c>
      <c r="U173">
        <v>2</v>
      </c>
      <c r="V173">
        <v>4401.51</v>
      </c>
      <c r="W173">
        <v>0.65</v>
      </c>
      <c r="Y173">
        <v>0.05</v>
      </c>
      <c r="Z173">
        <v>8362.8700000000008</v>
      </c>
      <c r="AA173">
        <v>6541.04</v>
      </c>
      <c r="AB173">
        <v>1821.83</v>
      </c>
      <c r="AC173" t="s">
        <v>33</v>
      </c>
      <c r="AD173" t="s">
        <v>34</v>
      </c>
      <c r="AE173">
        <f>ROUND((U173*V173)-(U173*V173*Y173),2)</f>
        <v>8362.8700000000008</v>
      </c>
      <c r="AF173">
        <f>AE173-AA173</f>
        <v>1821.8300000000008</v>
      </c>
      <c r="AG173" s="7">
        <f>ROUND((AF173/AE173),4)</f>
        <v>0.21779999999999999</v>
      </c>
      <c r="AH173">
        <f>IF(AND(C173&lt;&gt;"",E173&lt;&gt;""),E173 - C173,"")</f>
        <v>4</v>
      </c>
      <c r="AI173" t="str">
        <f>IF(C173="","",TEXT(C173, "mmmm"))</f>
        <v>March</v>
      </c>
      <c r="AJ173">
        <f>IF(C173="","",YEAR(C173))</f>
        <v>2024</v>
      </c>
      <c r="AM173" t="s">
        <v>4145</v>
      </c>
      <c r="AN173" t="s">
        <v>3596</v>
      </c>
    </row>
    <row r="174" spans="1:40">
      <c r="A174" t="s">
        <v>1344</v>
      </c>
      <c r="B174" t="s">
        <v>3784</v>
      </c>
      <c r="C174" s="6">
        <v>45594</v>
      </c>
      <c r="D174" t="s">
        <v>1345</v>
      </c>
      <c r="E174" s="6">
        <v>45602</v>
      </c>
      <c r="F174" t="s">
        <v>1346</v>
      </c>
      <c r="G174" t="s">
        <v>158</v>
      </c>
      <c r="H174" t="s">
        <v>158</v>
      </c>
      <c r="I174" t="s">
        <v>104</v>
      </c>
      <c r="J174" t="s">
        <v>104</v>
      </c>
      <c r="K174" t="s">
        <v>60</v>
      </c>
      <c r="L174" t="str">
        <f>IF(TRIM(K174)="","Unknown",PROPER(TRIM(K174)))</f>
        <v>South</v>
      </c>
      <c r="M174" t="s">
        <v>309</v>
      </c>
      <c r="N174" t="s">
        <v>310</v>
      </c>
      <c r="O174" t="s">
        <v>83</v>
      </c>
      <c r="P174" t="str">
        <f>IF(TRIM(O174)="","Unknown",PROPER(TRIM(O174)))</f>
        <v>Technology</v>
      </c>
      <c r="Q174" t="s">
        <v>91</v>
      </c>
      <c r="R174" t="s">
        <v>1347</v>
      </c>
      <c r="S174" t="s">
        <v>47</v>
      </c>
      <c r="T174" t="str">
        <f>IF(TRIM(S174)="","Unknown",PROPER(TRIM(S174)))</f>
        <v>Same Day</v>
      </c>
      <c r="U174">
        <v>6</v>
      </c>
      <c r="V174">
        <v>1169.92</v>
      </c>
      <c r="W174">
        <v>0.15</v>
      </c>
      <c r="Y174">
        <v>0.15</v>
      </c>
      <c r="Z174">
        <v>5966.59</v>
      </c>
      <c r="AA174">
        <v>3994.72</v>
      </c>
      <c r="AB174">
        <v>1971.87</v>
      </c>
      <c r="AC174" t="s">
        <v>33</v>
      </c>
      <c r="AD174" t="s">
        <v>34</v>
      </c>
      <c r="AE174">
        <f>ROUND((U174*V174)-(U174*V174*Y174),2)</f>
        <v>5966.59</v>
      </c>
      <c r="AF174">
        <f>AE174-AA174</f>
        <v>1971.8700000000003</v>
      </c>
      <c r="AG174" s="7">
        <f>ROUND((AF174/AE174),4)</f>
        <v>0.33050000000000002</v>
      </c>
      <c r="AH174">
        <f>IF(AND(C174&lt;&gt;"",E174&lt;&gt;""),E174 - C174,"")</f>
        <v>8</v>
      </c>
      <c r="AI174" t="str">
        <f>IF(C174="","",TEXT(C174, "mmmm"))</f>
        <v>October</v>
      </c>
      <c r="AJ174">
        <f>IF(C174="","",YEAR(C174))</f>
        <v>2024</v>
      </c>
      <c r="AM174" t="str">
        <f>IF(AN174="","clean","")</f>
        <v>clean</v>
      </c>
      <c r="AN174" t="s">
        <v>3595</v>
      </c>
    </row>
    <row r="175" spans="1:40">
      <c r="A175" t="s">
        <v>1352</v>
      </c>
      <c r="B175" t="s">
        <v>1345</v>
      </c>
      <c r="C175" s="6">
        <v>45602</v>
      </c>
      <c r="D175" t="s">
        <v>1353</v>
      </c>
      <c r="E175" s="6">
        <v>45608</v>
      </c>
      <c r="F175" t="s">
        <v>1354</v>
      </c>
      <c r="G175" t="s">
        <v>141</v>
      </c>
      <c r="H175" t="s">
        <v>141</v>
      </c>
      <c r="I175" t="s">
        <v>40</v>
      </c>
      <c r="J175" t="s">
        <v>40</v>
      </c>
      <c r="K175" t="s">
        <v>71</v>
      </c>
      <c r="L175" t="str">
        <f>IF(TRIM(K175)="","Unknown",PROPER(TRIM(K175)))</f>
        <v>West</v>
      </c>
      <c r="M175" t="s">
        <v>218</v>
      </c>
      <c r="N175" t="s">
        <v>219</v>
      </c>
      <c r="O175" t="s">
        <v>83</v>
      </c>
      <c r="P175" t="str">
        <f>IF(TRIM(O175)="","Unknown",PROPER(TRIM(O175)))</f>
        <v>Technology</v>
      </c>
      <c r="Q175" t="s">
        <v>84</v>
      </c>
      <c r="R175" t="s">
        <v>1355</v>
      </c>
      <c r="S175" t="s">
        <v>65</v>
      </c>
      <c r="T175" t="str">
        <f>IF(TRIM(S175)="","Unknown",PROPER(TRIM(S175)))</f>
        <v>Standard Class</v>
      </c>
      <c r="U175">
        <v>7</v>
      </c>
      <c r="V175">
        <v>1719.05</v>
      </c>
      <c r="W175">
        <v>0.1</v>
      </c>
      <c r="Y175">
        <v>0.1</v>
      </c>
      <c r="Z175">
        <v>10830.02</v>
      </c>
      <c r="AA175">
        <v>7055.31</v>
      </c>
      <c r="AB175">
        <v>3774.71</v>
      </c>
      <c r="AC175" t="s">
        <v>33</v>
      </c>
      <c r="AD175" t="s">
        <v>34</v>
      </c>
      <c r="AE175">
        <f>ROUND((U175*V175)-(U175*V175*Y175),2)</f>
        <v>10830.02</v>
      </c>
      <c r="AF175">
        <f>AE175-AA175</f>
        <v>3774.71</v>
      </c>
      <c r="AG175" s="7">
        <f>ROUND((AF175/AE175),4)</f>
        <v>0.34849999999999998</v>
      </c>
      <c r="AH175">
        <f>IF(AND(C175&lt;&gt;"",E175&lt;&gt;""),E175 - C175,"")</f>
        <v>6</v>
      </c>
      <c r="AI175" t="str">
        <f>IF(C175="","",TEXT(C175, "mmmm"))</f>
        <v>November</v>
      </c>
      <c r="AJ175">
        <f>IF(C175="","",YEAR(C175))</f>
        <v>2024</v>
      </c>
      <c r="AM175" t="str">
        <f>IF(AN175="","clean","")</f>
        <v>clean</v>
      </c>
      <c r="AN175" t="s">
        <v>3595</v>
      </c>
    </row>
    <row r="176" spans="1:40">
      <c r="A176" t="s">
        <v>1356</v>
      </c>
      <c r="B176" t="s">
        <v>1357</v>
      </c>
      <c r="C176" s="6">
        <v>45397</v>
      </c>
      <c r="D176" t="s">
        <v>1358</v>
      </c>
      <c r="E176" s="6">
        <v>45405</v>
      </c>
      <c r="F176" t="s">
        <v>1359</v>
      </c>
      <c r="G176" t="s">
        <v>196</v>
      </c>
      <c r="H176" t="s">
        <v>196</v>
      </c>
      <c r="I176" t="s">
        <v>40</v>
      </c>
      <c r="J176" t="s">
        <v>40</v>
      </c>
      <c r="K176" t="s">
        <v>26</v>
      </c>
      <c r="L176" t="str">
        <f>IF(TRIM(K176)="","Unknown",PROPER(TRIM(K176)))</f>
        <v>North</v>
      </c>
      <c r="M176" t="s">
        <v>146</v>
      </c>
      <c r="N176" t="s">
        <v>147</v>
      </c>
      <c r="O176" t="s">
        <v>83</v>
      </c>
      <c r="P176" t="str">
        <f>IF(TRIM(O176)="","Unknown",PROPER(TRIM(O176)))</f>
        <v>Technology</v>
      </c>
      <c r="Q176" t="s">
        <v>84</v>
      </c>
      <c r="R176" t="s">
        <v>1360</v>
      </c>
      <c r="S176" t="s">
        <v>32</v>
      </c>
      <c r="T176" t="str">
        <f>IF(TRIM(S176)="","Unknown",PROPER(TRIM(S176)))</f>
        <v>Second Class</v>
      </c>
      <c r="U176">
        <v>9</v>
      </c>
      <c r="V176">
        <v>3893.74</v>
      </c>
      <c r="W176">
        <v>0.1</v>
      </c>
      <c r="Y176">
        <v>0.1</v>
      </c>
      <c r="Z176">
        <v>31539.29</v>
      </c>
      <c r="AA176">
        <v>22100.14</v>
      </c>
      <c r="AB176">
        <v>9439.15</v>
      </c>
      <c r="AC176" t="s">
        <v>33</v>
      </c>
      <c r="AD176" t="s">
        <v>34</v>
      </c>
      <c r="AE176">
        <f>ROUND((U176*V176)-(U176*V176*Y176),2)</f>
        <v>31539.29</v>
      </c>
      <c r="AF176">
        <f>AE176-AA176</f>
        <v>9439.1500000000015</v>
      </c>
      <c r="AG176" s="7">
        <f>ROUND((AF176/AE176),4)</f>
        <v>0.29930000000000001</v>
      </c>
      <c r="AH176">
        <f>IF(AND(C176&lt;&gt;"",E176&lt;&gt;""),E176 - C176,"")</f>
        <v>8</v>
      </c>
      <c r="AI176" t="str">
        <f>IF(C176="","",TEXT(C176, "mmmm"))</f>
        <v>April</v>
      </c>
      <c r="AJ176">
        <f>IF(C176="","",YEAR(C176))</f>
        <v>2024</v>
      </c>
      <c r="AM176" t="str">
        <f>IF(AN176="","clean","")</f>
        <v>clean</v>
      </c>
      <c r="AN176" t="s">
        <v>3595</v>
      </c>
    </row>
    <row r="177" spans="1:40">
      <c r="A177" t="s">
        <v>1369</v>
      </c>
      <c r="B177" t="s">
        <v>1370</v>
      </c>
      <c r="C177" s="6">
        <v>45466</v>
      </c>
      <c r="D177" t="s">
        <v>922</v>
      </c>
      <c r="F177" t="s">
        <v>1371</v>
      </c>
      <c r="G177" t="s">
        <v>196</v>
      </c>
      <c r="H177" t="s">
        <v>196</v>
      </c>
      <c r="I177" t="s">
        <v>110</v>
      </c>
      <c r="J177" t="s">
        <v>110</v>
      </c>
      <c r="K177" t="s">
        <v>71</v>
      </c>
      <c r="L177" t="str">
        <f>IF(TRIM(K177)="","Unknown",PROPER(TRIM(K177)))</f>
        <v>West</v>
      </c>
      <c r="M177" t="s">
        <v>218</v>
      </c>
      <c r="N177" t="s">
        <v>219</v>
      </c>
      <c r="O177" t="s">
        <v>44</v>
      </c>
      <c r="P177" t="str">
        <f>IF(TRIM(O177)="","Unknown",PROPER(TRIM(O177)))</f>
        <v>Furniture</v>
      </c>
      <c r="Q177" t="s">
        <v>74</v>
      </c>
      <c r="R177" t="s">
        <v>1372</v>
      </c>
      <c r="S177" t="s">
        <v>65</v>
      </c>
      <c r="T177" t="str">
        <f>IF(TRIM(S177)="","Unknown",PROPER(TRIM(S177)))</f>
        <v>Standard Class</v>
      </c>
      <c r="U177">
        <v>2</v>
      </c>
      <c r="V177">
        <v>1313.14</v>
      </c>
      <c r="W177">
        <v>0.1</v>
      </c>
      <c r="Y177">
        <v>0.1</v>
      </c>
      <c r="Z177">
        <v>2363.65</v>
      </c>
      <c r="AA177">
        <v>1876.1</v>
      </c>
      <c r="AB177">
        <v>487.55</v>
      </c>
      <c r="AC177" t="s">
        <v>131</v>
      </c>
      <c r="AD177" t="s">
        <v>120</v>
      </c>
      <c r="AE177">
        <f>ROUND((U177*V177)-(U177*V177*Y177),2)</f>
        <v>2363.65</v>
      </c>
      <c r="AF177">
        <f>AE177-AA177</f>
        <v>487.55000000000018</v>
      </c>
      <c r="AG177" s="7">
        <f>ROUND((AF177/AE177),4)</f>
        <v>0.20630000000000001</v>
      </c>
      <c r="AH177" t="str">
        <f>IF(AND(C177&lt;&gt;"",E177&lt;&gt;""),E177 - C177,"")</f>
        <v/>
      </c>
      <c r="AI177" t="str">
        <f>IF(C177="","",TEXT(C177, "mmmm"))</f>
        <v>June</v>
      </c>
      <c r="AJ177">
        <f>IF(C177="","",YEAR(C177))</f>
        <v>2024</v>
      </c>
      <c r="AM177" t="s">
        <v>4144</v>
      </c>
      <c r="AN177" t="s">
        <v>4136</v>
      </c>
    </row>
    <row r="178" spans="1:40">
      <c r="A178" t="s">
        <v>1373</v>
      </c>
      <c r="B178" t="s">
        <v>3786</v>
      </c>
      <c r="C178" s="6">
        <v>45357</v>
      </c>
      <c r="D178" t="s">
        <v>1374</v>
      </c>
      <c r="E178" s="6">
        <v>45364</v>
      </c>
      <c r="F178" t="s">
        <v>1375</v>
      </c>
      <c r="G178" t="s">
        <v>24</v>
      </c>
      <c r="H178" t="s">
        <v>24</v>
      </c>
      <c r="I178" t="s">
        <v>25</v>
      </c>
      <c r="J178" t="s">
        <v>25</v>
      </c>
      <c r="K178" t="s">
        <v>26</v>
      </c>
      <c r="L178" t="str">
        <f>IF(TRIM(K178)="","Unknown",PROPER(TRIM(K178)))</f>
        <v>North</v>
      </c>
      <c r="M178" t="s">
        <v>146</v>
      </c>
      <c r="N178" t="s">
        <v>147</v>
      </c>
      <c r="O178" t="s">
        <v>44</v>
      </c>
      <c r="P178" t="str">
        <f>IF(TRIM(O178)="","Unknown",PROPER(TRIM(O178)))</f>
        <v>Furniture</v>
      </c>
      <c r="Q178" t="s">
        <v>63</v>
      </c>
      <c r="R178" t="s">
        <v>1376</v>
      </c>
      <c r="S178" t="s">
        <v>65</v>
      </c>
      <c r="T178" t="str">
        <f>IF(TRIM(S178)="","Unknown",PROPER(TRIM(S178)))</f>
        <v>Standard Class</v>
      </c>
      <c r="U178">
        <v>6</v>
      </c>
      <c r="V178">
        <v>2403.0500000000002</v>
      </c>
      <c r="W178">
        <v>0.1</v>
      </c>
      <c r="Y178">
        <v>0.1</v>
      </c>
      <c r="Z178">
        <v>12976.47</v>
      </c>
      <c r="AA178">
        <v>10019.98</v>
      </c>
      <c r="AB178">
        <v>2956.49</v>
      </c>
      <c r="AC178" t="s">
        <v>33</v>
      </c>
      <c r="AD178" t="s">
        <v>34</v>
      </c>
      <c r="AE178">
        <f>ROUND((U178*V178)-(U178*V178*Y178),2)</f>
        <v>12976.47</v>
      </c>
      <c r="AF178">
        <f>AE178-AA178</f>
        <v>2956.49</v>
      </c>
      <c r="AG178" s="7">
        <f>ROUND((AF178/AE178),4)</f>
        <v>0.2278</v>
      </c>
      <c r="AH178">
        <f>IF(AND(C178&lt;&gt;"",E178&lt;&gt;""),E178 - C178,"")</f>
        <v>7</v>
      </c>
      <c r="AI178" t="str">
        <f>IF(C178="","",TEXT(C178, "mmmm"))</f>
        <v>March</v>
      </c>
      <c r="AJ178">
        <f>IF(C178="","",YEAR(C178))</f>
        <v>2024</v>
      </c>
      <c r="AM178" t="str">
        <f>IF(AN178="","clean","")</f>
        <v>clean</v>
      </c>
      <c r="AN178" t="s">
        <v>3595</v>
      </c>
    </row>
    <row r="179" spans="1:40">
      <c r="A179" t="s">
        <v>1377</v>
      </c>
      <c r="B179" t="s">
        <v>3787</v>
      </c>
      <c r="C179" s="6">
        <v>45413</v>
      </c>
      <c r="D179" t="s">
        <v>1080</v>
      </c>
      <c r="E179" s="6">
        <v>45414</v>
      </c>
      <c r="F179" t="s">
        <v>1378</v>
      </c>
      <c r="G179" t="s">
        <v>70</v>
      </c>
      <c r="H179" t="s">
        <v>70</v>
      </c>
      <c r="I179" t="s">
        <v>25</v>
      </c>
      <c r="J179" t="s">
        <v>25</v>
      </c>
      <c r="K179" t="s">
        <v>41</v>
      </c>
      <c r="L179" t="str">
        <f>IF(TRIM(K179)="","Unknown",PROPER(TRIM(K179)))</f>
        <v>East</v>
      </c>
      <c r="M179" t="s">
        <v>201</v>
      </c>
      <c r="N179" t="s">
        <v>202</v>
      </c>
      <c r="O179" t="s">
        <v>44</v>
      </c>
      <c r="P179" t="str">
        <f>IF(TRIM(O179)="","Unknown",PROPER(TRIM(O179)))</f>
        <v>Furniture</v>
      </c>
      <c r="Q179" t="s">
        <v>74</v>
      </c>
      <c r="R179" t="s">
        <v>1379</v>
      </c>
      <c r="S179" t="s">
        <v>55</v>
      </c>
      <c r="T179" t="str">
        <f>IF(TRIM(S179)="","Unknown",PROPER(TRIM(S179)))</f>
        <v>First Class</v>
      </c>
      <c r="U179">
        <v>4</v>
      </c>
      <c r="V179">
        <v>4156.0600000000004</v>
      </c>
      <c r="W179">
        <v>0.55000000000000004</v>
      </c>
      <c r="Y179">
        <v>0.2</v>
      </c>
      <c r="Z179">
        <v>13299.39</v>
      </c>
      <c r="AA179">
        <v>9851.91</v>
      </c>
      <c r="AB179">
        <v>3447.48</v>
      </c>
      <c r="AC179" t="s">
        <v>33</v>
      </c>
      <c r="AD179" t="s">
        <v>76</v>
      </c>
      <c r="AE179">
        <f>ROUND((U179*V179)-(U179*V179*Y179),2)</f>
        <v>13299.39</v>
      </c>
      <c r="AF179">
        <f>AE179-AA179</f>
        <v>3447.4799999999996</v>
      </c>
      <c r="AG179" s="7">
        <f>ROUND((AF179/AE179),4)</f>
        <v>0.25919999999999999</v>
      </c>
      <c r="AH179">
        <f>IF(AND(C179&lt;&gt;"",E179&lt;&gt;""),E179 - C179,"")</f>
        <v>1</v>
      </c>
      <c r="AI179" t="str">
        <f>IF(C179="","",TEXT(C179, "mmmm"))</f>
        <v>May</v>
      </c>
      <c r="AJ179">
        <f>IF(C179="","",YEAR(C179))</f>
        <v>2024</v>
      </c>
      <c r="AM179" t="s">
        <v>4145</v>
      </c>
      <c r="AN179" t="s">
        <v>3596</v>
      </c>
    </row>
    <row r="180" spans="1:40">
      <c r="A180" t="s">
        <v>1392</v>
      </c>
      <c r="B180" t="s">
        <v>3791</v>
      </c>
      <c r="C180" s="6">
        <v>45493</v>
      </c>
      <c r="D180" t="s">
        <v>122</v>
      </c>
      <c r="E180" s="6">
        <v>45495</v>
      </c>
      <c r="F180" t="s">
        <v>1393</v>
      </c>
      <c r="G180" t="s">
        <v>70</v>
      </c>
      <c r="H180" t="s">
        <v>70</v>
      </c>
      <c r="I180" t="s">
        <v>25</v>
      </c>
      <c r="J180" t="s">
        <v>25</v>
      </c>
      <c r="K180" t="s">
        <v>60</v>
      </c>
      <c r="L180" t="str">
        <f>IF(TRIM(K180)="","Unknown",PROPER(TRIM(K180)))</f>
        <v>South</v>
      </c>
      <c r="M180" t="s">
        <v>309</v>
      </c>
      <c r="N180" t="s">
        <v>310</v>
      </c>
      <c r="O180" t="s">
        <v>44</v>
      </c>
      <c r="P180" t="str">
        <f>IF(TRIM(O180)="","Unknown",PROPER(TRIM(O180)))</f>
        <v>Furniture</v>
      </c>
      <c r="Q180" t="s">
        <v>45</v>
      </c>
      <c r="R180" t="s">
        <v>1394</v>
      </c>
      <c r="S180" t="s">
        <v>55</v>
      </c>
      <c r="T180" t="str">
        <f>IF(TRIM(S180)="","Unknown",PROPER(TRIM(S180)))</f>
        <v>First Class</v>
      </c>
      <c r="U180">
        <v>7</v>
      </c>
      <c r="V180">
        <v>2060.73</v>
      </c>
      <c r="W180">
        <v>0.1</v>
      </c>
      <c r="Y180">
        <v>0.1</v>
      </c>
      <c r="Z180">
        <v>12982.6</v>
      </c>
      <c r="AA180">
        <v>7246.36</v>
      </c>
      <c r="AB180">
        <v>5736.24</v>
      </c>
      <c r="AC180" t="s">
        <v>33</v>
      </c>
      <c r="AD180" t="s">
        <v>76</v>
      </c>
      <c r="AE180">
        <f>ROUND((U180*V180)-(U180*V180*Y180),2)</f>
        <v>12982.6</v>
      </c>
      <c r="AF180">
        <f>AE180-AA180</f>
        <v>5736.2400000000007</v>
      </c>
      <c r="AG180" s="7">
        <f>ROUND((AF180/AE180),4)</f>
        <v>0.44180000000000003</v>
      </c>
      <c r="AH180">
        <f>IF(AND(C180&lt;&gt;"",E180&lt;&gt;""),E180 - C180,"")</f>
        <v>2</v>
      </c>
      <c r="AI180" t="str">
        <f>IF(C180="","",TEXT(C180, "mmmm"))</f>
        <v>July</v>
      </c>
      <c r="AJ180">
        <f>IF(C180="","",YEAR(C180))</f>
        <v>2024</v>
      </c>
      <c r="AM180" t="str">
        <f>IF(AN180="","clean","")</f>
        <v>clean</v>
      </c>
      <c r="AN180" t="s">
        <v>3595</v>
      </c>
    </row>
    <row r="181" spans="1:40">
      <c r="A181" t="s">
        <v>1395</v>
      </c>
      <c r="B181" t="s">
        <v>3792</v>
      </c>
      <c r="C181" s="6">
        <v>45477</v>
      </c>
      <c r="D181" t="s">
        <v>1396</v>
      </c>
      <c r="E181" s="6">
        <v>45481</v>
      </c>
      <c r="F181" t="s">
        <v>1397</v>
      </c>
      <c r="G181" t="s">
        <v>169</v>
      </c>
      <c r="H181" t="s">
        <v>169</v>
      </c>
      <c r="I181" t="s">
        <v>40</v>
      </c>
      <c r="J181" t="s">
        <v>40</v>
      </c>
      <c r="K181" t="s">
        <v>60</v>
      </c>
      <c r="L181" t="str">
        <f>IF(TRIM(K181)="","Unknown",PROPER(TRIM(K181)))</f>
        <v>South</v>
      </c>
      <c r="M181" t="s">
        <v>309</v>
      </c>
      <c r="N181" t="s">
        <v>310</v>
      </c>
      <c r="O181" t="s">
        <v>83</v>
      </c>
      <c r="P181" t="str">
        <f>IF(TRIM(O181)="","Unknown",PROPER(TRIM(O181)))</f>
        <v>Technology</v>
      </c>
      <c r="Q181" t="s">
        <v>347</v>
      </c>
      <c r="R181" t="s">
        <v>1398</v>
      </c>
      <c r="S181" t="s">
        <v>55</v>
      </c>
      <c r="T181" t="str">
        <f>IF(TRIM(S181)="","Unknown",PROPER(TRIM(S181)))</f>
        <v>First Class</v>
      </c>
      <c r="U181">
        <v>8</v>
      </c>
      <c r="V181">
        <v>2034.25</v>
      </c>
      <c r="W181">
        <v>0</v>
      </c>
      <c r="Y181">
        <v>0</v>
      </c>
      <c r="Z181">
        <v>16274</v>
      </c>
      <c r="AA181">
        <v>9424.25</v>
      </c>
      <c r="AB181">
        <v>6849.75</v>
      </c>
      <c r="AC181" t="s">
        <v>33</v>
      </c>
      <c r="AD181" t="s">
        <v>34</v>
      </c>
      <c r="AE181">
        <f>ROUND((U181*V181)-(U181*V181*Y181),2)</f>
        <v>16274</v>
      </c>
      <c r="AF181">
        <f>AE181-AA181</f>
        <v>6849.75</v>
      </c>
      <c r="AG181" s="7">
        <f>ROUND((AF181/AE181),4)</f>
        <v>0.4209</v>
      </c>
      <c r="AH181">
        <f>IF(AND(C181&lt;&gt;"",E181&lt;&gt;""),E181 - C181,"")</f>
        <v>4</v>
      </c>
      <c r="AI181" t="str">
        <f>IF(C181="","",TEXT(C181, "mmmm"))</f>
        <v>July</v>
      </c>
      <c r="AJ181">
        <f>IF(C181="","",YEAR(C181))</f>
        <v>2024</v>
      </c>
      <c r="AM181" t="str">
        <f>IF(AN181="","clean","")</f>
        <v>clean</v>
      </c>
      <c r="AN181" t="s">
        <v>3595</v>
      </c>
    </row>
    <row r="182" spans="1:40">
      <c r="A182" t="s">
        <v>1399</v>
      </c>
      <c r="B182" t="s">
        <v>3793</v>
      </c>
      <c r="D182" t="s">
        <v>841</v>
      </c>
      <c r="E182" s="6">
        <v>45414</v>
      </c>
      <c r="F182" t="s">
        <v>1400</v>
      </c>
      <c r="G182" t="s">
        <v>39</v>
      </c>
      <c r="H182" t="s">
        <v>39</v>
      </c>
      <c r="I182" t="s">
        <v>104</v>
      </c>
      <c r="J182" t="s">
        <v>104</v>
      </c>
      <c r="K182" t="s">
        <v>60</v>
      </c>
      <c r="L182" t="str">
        <f>IF(TRIM(K182)="","Unknown",PROPER(TRIM(K182)))</f>
        <v>South</v>
      </c>
      <c r="M182" t="s">
        <v>212</v>
      </c>
      <c r="N182" t="s">
        <v>213</v>
      </c>
      <c r="O182" t="s">
        <v>29</v>
      </c>
      <c r="P182" t="str">
        <f>IF(TRIM(O182)="","Unknown",PROPER(TRIM(O182)))</f>
        <v>Office Supplies</v>
      </c>
      <c r="Q182" t="s">
        <v>184</v>
      </c>
      <c r="R182" t="s">
        <v>1401</v>
      </c>
      <c r="S182" t="s">
        <v>32</v>
      </c>
      <c r="T182" t="str">
        <f>IF(TRIM(S182)="","Unknown",PROPER(TRIM(S182)))</f>
        <v>Second Class</v>
      </c>
      <c r="U182">
        <v>5</v>
      </c>
      <c r="V182">
        <v>554.04</v>
      </c>
      <c r="W182">
        <v>0.1</v>
      </c>
      <c r="Y182">
        <v>0.1</v>
      </c>
      <c r="Z182">
        <v>2493.1799999999998</v>
      </c>
      <c r="AA182">
        <v>1764</v>
      </c>
      <c r="AB182">
        <v>729.18</v>
      </c>
      <c r="AC182" t="s">
        <v>33</v>
      </c>
      <c r="AD182" t="s">
        <v>34</v>
      </c>
      <c r="AE182">
        <f>ROUND((U182*V182)-(U182*V182*Y182),2)</f>
        <v>2493.1799999999998</v>
      </c>
      <c r="AF182">
        <f>AE182-AA182</f>
        <v>729.17999999999984</v>
      </c>
      <c r="AG182" s="7">
        <f>ROUND((AF182/AE182),4)</f>
        <v>0.29249999999999998</v>
      </c>
      <c r="AH182" t="str">
        <f>IF(AND(C182&lt;&gt;"",E182&lt;&gt;""),E182 - C182,"")</f>
        <v/>
      </c>
      <c r="AI182" t="str">
        <f>IF(C182="","",TEXT(C182, "mmmm"))</f>
        <v/>
      </c>
      <c r="AJ182" t="str">
        <f>IF(C182="","",YEAR(C182))</f>
        <v/>
      </c>
      <c r="AM182" t="s">
        <v>4144</v>
      </c>
      <c r="AN182" t="s">
        <v>4127</v>
      </c>
    </row>
    <row r="183" spans="1:40">
      <c r="A183" t="s">
        <v>1402</v>
      </c>
      <c r="B183" t="s">
        <v>1403</v>
      </c>
      <c r="C183" s="6">
        <v>45504</v>
      </c>
      <c r="D183" t="s">
        <v>463</v>
      </c>
      <c r="E183" s="6">
        <v>45508</v>
      </c>
      <c r="F183" t="s">
        <v>1404</v>
      </c>
      <c r="G183" t="s">
        <v>24</v>
      </c>
      <c r="H183" t="s">
        <v>24</v>
      </c>
      <c r="I183" t="s">
        <v>40</v>
      </c>
      <c r="J183" t="s">
        <v>40</v>
      </c>
      <c r="K183" t="s">
        <v>41</v>
      </c>
      <c r="L183" t="str">
        <f>IF(TRIM(K183)="","Unknown",PROPER(TRIM(K183)))</f>
        <v>East</v>
      </c>
      <c r="M183" t="s">
        <v>201</v>
      </c>
      <c r="N183" t="s">
        <v>202</v>
      </c>
      <c r="O183" t="s">
        <v>83</v>
      </c>
      <c r="P183" t="str">
        <f>IF(TRIM(O183)="","Unknown",PROPER(TRIM(O183)))</f>
        <v>Technology</v>
      </c>
      <c r="Q183" t="s">
        <v>207</v>
      </c>
      <c r="R183" t="s">
        <v>1405</v>
      </c>
      <c r="S183" t="s">
        <v>65</v>
      </c>
      <c r="T183" t="str">
        <f>IF(TRIM(S183)="","Unknown",PROPER(TRIM(S183)))</f>
        <v>Standard Class</v>
      </c>
      <c r="U183">
        <v>8</v>
      </c>
      <c r="V183">
        <v>2614.7399999999998</v>
      </c>
      <c r="Y183">
        <v>0.25</v>
      </c>
      <c r="Z183">
        <v>15688.44</v>
      </c>
      <c r="AA183">
        <v>10047.33</v>
      </c>
      <c r="AB183">
        <v>5641.11</v>
      </c>
      <c r="AC183" t="s">
        <v>33</v>
      </c>
      <c r="AD183" t="s">
        <v>76</v>
      </c>
      <c r="AE183">
        <f>ROUND((U183*V183)-(U183*V183*Y183),2)</f>
        <v>15688.44</v>
      </c>
      <c r="AF183">
        <f>AE183-AA183</f>
        <v>5641.1100000000006</v>
      </c>
      <c r="AG183" s="7">
        <f>ROUND((AF183/AE183),4)</f>
        <v>0.35959999999999998</v>
      </c>
      <c r="AH183">
        <f>IF(AND(C183&lt;&gt;"",E183&lt;&gt;""),E183 - C183,"")</f>
        <v>4</v>
      </c>
      <c r="AI183" t="str">
        <f>IF(C183="","",TEXT(C183, "mmmm"))</f>
        <v>July</v>
      </c>
      <c r="AJ183">
        <f>IF(C183="","",YEAR(C183))</f>
        <v>2024</v>
      </c>
      <c r="AM183" t="s">
        <v>4145</v>
      </c>
      <c r="AN183" t="s">
        <v>3596</v>
      </c>
    </row>
    <row r="184" spans="1:40">
      <c r="A184" t="s">
        <v>1413</v>
      </c>
      <c r="B184" t="s">
        <v>3795</v>
      </c>
      <c r="C184" s="6">
        <v>45475</v>
      </c>
      <c r="D184" t="s">
        <v>1414</v>
      </c>
      <c r="E184" s="6">
        <v>45481</v>
      </c>
      <c r="F184" t="s">
        <v>1415</v>
      </c>
      <c r="G184" t="s">
        <v>169</v>
      </c>
      <c r="H184" t="s">
        <v>169</v>
      </c>
      <c r="I184" t="s">
        <v>25</v>
      </c>
      <c r="J184" t="s">
        <v>25</v>
      </c>
      <c r="K184" t="s">
        <v>26</v>
      </c>
      <c r="L184" t="str">
        <f>IF(TRIM(K184)="","Unknown",PROPER(TRIM(K184)))</f>
        <v>North</v>
      </c>
      <c r="M184" t="s">
        <v>454</v>
      </c>
      <c r="N184" t="s">
        <v>455</v>
      </c>
      <c r="O184" t="s">
        <v>29</v>
      </c>
      <c r="P184" t="str">
        <f>IF(TRIM(O184)="","Unknown",PROPER(TRIM(O184)))</f>
        <v>Office Supplies</v>
      </c>
      <c r="Q184" t="s">
        <v>30</v>
      </c>
      <c r="R184" t="s">
        <v>1416</v>
      </c>
      <c r="S184" t="s">
        <v>65</v>
      </c>
      <c r="T184" t="str">
        <f>IF(TRIM(S184)="","Unknown",PROPER(TRIM(S184)))</f>
        <v>Standard Class</v>
      </c>
      <c r="U184">
        <v>9</v>
      </c>
      <c r="V184">
        <v>3450.4</v>
      </c>
      <c r="W184">
        <v>0.05</v>
      </c>
      <c r="Y184">
        <v>0.05</v>
      </c>
      <c r="Z184">
        <v>29500.92</v>
      </c>
      <c r="AA184">
        <v>17989.68</v>
      </c>
      <c r="AB184">
        <v>11511.24</v>
      </c>
      <c r="AC184" t="s">
        <v>131</v>
      </c>
      <c r="AD184" t="s">
        <v>120</v>
      </c>
      <c r="AE184">
        <f>ROUND((U184*V184)-(U184*V184*Y184),2)</f>
        <v>29500.92</v>
      </c>
      <c r="AF184">
        <f>AE184-AA184</f>
        <v>11511.239999999998</v>
      </c>
      <c r="AG184" s="7">
        <f>ROUND((AF184/AE184),4)</f>
        <v>0.39019999999999999</v>
      </c>
      <c r="AH184">
        <f>IF(AND(C184&lt;&gt;"",E184&lt;&gt;""),E184 - C184,"")</f>
        <v>6</v>
      </c>
      <c r="AI184" t="str">
        <f>IF(C184="","",TEXT(C184, "mmmm"))</f>
        <v>July</v>
      </c>
      <c r="AJ184">
        <f>IF(C184="","",YEAR(C184))</f>
        <v>2024</v>
      </c>
      <c r="AM184" t="str">
        <f>IF(AN184="","clean","")</f>
        <v>clean</v>
      </c>
      <c r="AN184" t="s">
        <v>3595</v>
      </c>
    </row>
    <row r="185" spans="1:40">
      <c r="A185" t="s">
        <v>1417</v>
      </c>
      <c r="B185" t="s">
        <v>1418</v>
      </c>
      <c r="C185" s="6">
        <v>45338</v>
      </c>
      <c r="D185" t="s">
        <v>1419</v>
      </c>
      <c r="E185" s="6">
        <v>45340</v>
      </c>
      <c r="F185" t="s">
        <v>1420</v>
      </c>
      <c r="G185" t="s">
        <v>24</v>
      </c>
      <c r="H185" t="s">
        <v>24</v>
      </c>
      <c r="I185" t="s">
        <v>104</v>
      </c>
      <c r="J185" t="s">
        <v>104</v>
      </c>
      <c r="K185" t="s">
        <v>26</v>
      </c>
      <c r="L185" t="str">
        <f>IF(TRIM(K185)="","Unknown",PROPER(TRIM(K185)))</f>
        <v>North</v>
      </c>
      <c r="M185" t="s">
        <v>146</v>
      </c>
      <c r="N185" t="s">
        <v>147</v>
      </c>
      <c r="O185" t="s">
        <v>29</v>
      </c>
      <c r="P185" t="str">
        <f>IF(TRIM(O185)="","Unknown",PROPER(TRIM(O185)))</f>
        <v>Office Supplies</v>
      </c>
      <c r="Q185" t="s">
        <v>105</v>
      </c>
      <c r="R185" t="s">
        <v>1421</v>
      </c>
      <c r="S185" t="s">
        <v>65</v>
      </c>
      <c r="T185" t="str">
        <f>IF(TRIM(S185)="","Unknown",PROPER(TRIM(S185)))</f>
        <v>Standard Class</v>
      </c>
      <c r="U185">
        <v>2</v>
      </c>
      <c r="V185">
        <v>1947.53</v>
      </c>
      <c r="W185">
        <v>0.2</v>
      </c>
      <c r="Y185">
        <v>0.2</v>
      </c>
      <c r="Z185">
        <v>3116.05</v>
      </c>
      <c r="AA185">
        <v>1956.63</v>
      </c>
      <c r="AB185">
        <v>1159.42</v>
      </c>
      <c r="AC185" t="s">
        <v>33</v>
      </c>
      <c r="AD185" t="s">
        <v>76</v>
      </c>
      <c r="AE185">
        <f>ROUND((U185*V185)-(U185*V185*Y185),2)</f>
        <v>3116.05</v>
      </c>
      <c r="AF185">
        <f>AE185-AA185</f>
        <v>1159.42</v>
      </c>
      <c r="AG185" s="7">
        <f>ROUND((AF185/AE185),4)</f>
        <v>0.37209999999999999</v>
      </c>
      <c r="AH185">
        <f>IF(AND(C185&lt;&gt;"",E185&lt;&gt;""),E185 - C185,"")</f>
        <v>2</v>
      </c>
      <c r="AI185" t="str">
        <f>IF(C185="","",TEXT(C185, "mmmm"))</f>
        <v>February</v>
      </c>
      <c r="AJ185">
        <f>IF(C185="","",YEAR(C185))</f>
        <v>2024</v>
      </c>
      <c r="AM185" t="str">
        <f>IF(AN185="","clean","")</f>
        <v>clean</v>
      </c>
      <c r="AN185" t="s">
        <v>3595</v>
      </c>
    </row>
    <row r="186" spans="1:40">
      <c r="A186" t="s">
        <v>1426</v>
      </c>
      <c r="B186" t="s">
        <v>3797</v>
      </c>
      <c r="C186" s="6">
        <v>45407</v>
      </c>
      <c r="D186" t="s">
        <v>1427</v>
      </c>
      <c r="F186" t="s">
        <v>1428</v>
      </c>
      <c r="G186" t="s">
        <v>39</v>
      </c>
      <c r="H186" t="s">
        <v>39</v>
      </c>
      <c r="I186" t="s">
        <v>40</v>
      </c>
      <c r="J186" t="s">
        <v>40</v>
      </c>
      <c r="K186" t="s">
        <v>60</v>
      </c>
      <c r="L186" t="str">
        <f>IF(TRIM(K186)="","Unknown",PROPER(TRIM(K186)))</f>
        <v>South</v>
      </c>
      <c r="M186" t="s">
        <v>212</v>
      </c>
      <c r="N186" t="s">
        <v>213</v>
      </c>
      <c r="O186" t="s">
        <v>83</v>
      </c>
      <c r="P186" t="str">
        <f>IF(TRIM(O186)="","Unknown",PROPER(TRIM(O186)))</f>
        <v>Technology</v>
      </c>
      <c r="Q186" t="s">
        <v>207</v>
      </c>
      <c r="R186" t="s">
        <v>1429</v>
      </c>
      <c r="S186" t="s">
        <v>65</v>
      </c>
      <c r="T186" t="str">
        <f>IF(TRIM(S186)="","Unknown",PROPER(TRIM(S186)))</f>
        <v>Standard Class</v>
      </c>
      <c r="U186">
        <v>3</v>
      </c>
      <c r="V186">
        <v>4149.46</v>
      </c>
      <c r="W186">
        <v>0.1</v>
      </c>
      <c r="Y186">
        <v>0.1</v>
      </c>
      <c r="Z186">
        <v>11203.54</v>
      </c>
      <c r="AA186">
        <v>8452.93</v>
      </c>
      <c r="AB186">
        <v>2750.61</v>
      </c>
      <c r="AC186" t="s">
        <v>33</v>
      </c>
      <c r="AD186" t="s">
        <v>34</v>
      </c>
      <c r="AE186">
        <f>ROUND((U186*V186)-(U186*V186*Y186),2)</f>
        <v>11203.54</v>
      </c>
      <c r="AF186">
        <f>AE186-AA186</f>
        <v>2750.6100000000006</v>
      </c>
      <c r="AG186" s="7">
        <f>ROUND((AF186/AE186),4)</f>
        <v>0.2455</v>
      </c>
      <c r="AH186" t="str">
        <f>IF(AND(C186&lt;&gt;"",E186&lt;&gt;""),E186 - C186,"")</f>
        <v/>
      </c>
      <c r="AI186" t="str">
        <f>IF(C186="","",TEXT(C186, "mmmm"))</f>
        <v>April</v>
      </c>
      <c r="AJ186">
        <f>IF(C186="","",YEAR(C186))</f>
        <v>2024</v>
      </c>
      <c r="AM186" t="s">
        <v>4144</v>
      </c>
      <c r="AN186" t="s">
        <v>4136</v>
      </c>
    </row>
    <row r="187" spans="1:40">
      <c r="A187" t="s">
        <v>1430</v>
      </c>
      <c r="B187" t="s">
        <v>1431</v>
      </c>
      <c r="C187" s="6">
        <v>45525</v>
      </c>
      <c r="D187" t="s">
        <v>1432</v>
      </c>
      <c r="E187" s="6">
        <v>45529</v>
      </c>
      <c r="F187" t="s">
        <v>1433</v>
      </c>
      <c r="G187" t="s">
        <v>196</v>
      </c>
      <c r="H187" t="s">
        <v>196</v>
      </c>
      <c r="I187" t="s">
        <v>25</v>
      </c>
      <c r="J187" t="s">
        <v>25</v>
      </c>
      <c r="K187" t="s">
        <v>71</v>
      </c>
      <c r="L187" t="str">
        <f>IF(TRIM(K187)="","Unknown",PROPER(TRIM(K187)))</f>
        <v>West</v>
      </c>
      <c r="M187" t="s">
        <v>218</v>
      </c>
      <c r="N187" t="s">
        <v>219</v>
      </c>
      <c r="O187" t="s">
        <v>29</v>
      </c>
      <c r="P187" t="str">
        <f>IF(TRIM(O187)="","Unknown",PROPER(TRIM(O187)))</f>
        <v>Office Supplies</v>
      </c>
      <c r="Q187" t="s">
        <v>184</v>
      </c>
      <c r="R187" t="s">
        <v>1434</v>
      </c>
      <c r="S187" t="s">
        <v>55</v>
      </c>
      <c r="T187" t="str">
        <f>IF(TRIM(S187)="","Unknown",PROPER(TRIM(S187)))</f>
        <v>First Class</v>
      </c>
      <c r="U187">
        <v>1</v>
      </c>
      <c r="V187">
        <v>270.27999999999997</v>
      </c>
      <c r="W187">
        <v>0</v>
      </c>
      <c r="Y187">
        <v>0</v>
      </c>
      <c r="Z187">
        <v>270.27999999999997</v>
      </c>
      <c r="AA187">
        <v>156.34</v>
      </c>
      <c r="AB187">
        <v>113.94</v>
      </c>
      <c r="AC187" t="s">
        <v>33</v>
      </c>
      <c r="AD187" t="s">
        <v>34</v>
      </c>
      <c r="AE187">
        <f>ROUND((U187*V187)-(U187*V187*Y187),2)</f>
        <v>270.27999999999997</v>
      </c>
      <c r="AF187">
        <f>AE187-AA187</f>
        <v>113.93999999999997</v>
      </c>
      <c r="AG187" s="7">
        <f>ROUND((AF187/AE187),4)</f>
        <v>0.42159999999999997</v>
      </c>
      <c r="AH187">
        <f>IF(AND(C187&lt;&gt;"",E187&lt;&gt;""),E187 - C187,"")</f>
        <v>4</v>
      </c>
      <c r="AI187" t="str">
        <f>IF(C187="","",TEXT(C187, "mmmm"))</f>
        <v>August</v>
      </c>
      <c r="AJ187">
        <f>IF(C187="","",YEAR(C187))</f>
        <v>2024</v>
      </c>
      <c r="AM187" t="str">
        <f>IF(AN187="","clean","")</f>
        <v>clean</v>
      </c>
      <c r="AN187" t="s">
        <v>3595</v>
      </c>
    </row>
    <row r="188" spans="1:40">
      <c r="A188" t="s">
        <v>1435</v>
      </c>
      <c r="B188" t="s">
        <v>3798</v>
      </c>
      <c r="C188" s="6">
        <v>45630</v>
      </c>
      <c r="D188" t="s">
        <v>1436</v>
      </c>
      <c r="E188" s="6">
        <v>45632</v>
      </c>
      <c r="F188" t="s">
        <v>1437</v>
      </c>
      <c r="G188" t="s">
        <v>153</v>
      </c>
      <c r="H188" t="s">
        <v>153</v>
      </c>
      <c r="I188" t="s">
        <v>110</v>
      </c>
      <c r="J188" t="s">
        <v>110</v>
      </c>
      <c r="K188" t="s">
        <v>41</v>
      </c>
      <c r="L188" t="str">
        <f>IF(TRIM(K188)="","Unknown",PROPER(TRIM(K188)))</f>
        <v>East</v>
      </c>
      <c r="M188" t="s">
        <v>116</v>
      </c>
      <c r="N188" t="s">
        <v>117</v>
      </c>
      <c r="O188" t="s">
        <v>29</v>
      </c>
      <c r="P188" t="str">
        <f>IF(TRIM(O188)="","Unknown",PROPER(TRIM(O188)))</f>
        <v>Office Supplies</v>
      </c>
      <c r="Q188" t="s">
        <v>53</v>
      </c>
      <c r="R188" t="s">
        <v>1438</v>
      </c>
      <c r="S188" t="s">
        <v>32</v>
      </c>
      <c r="T188" t="str">
        <f>IF(TRIM(S188)="","Unknown",PROPER(TRIM(S188)))</f>
        <v>Second Class</v>
      </c>
      <c r="U188">
        <v>3</v>
      </c>
      <c r="V188">
        <v>876.14</v>
      </c>
      <c r="W188" t="s">
        <v>607</v>
      </c>
      <c r="Y188">
        <v>0</v>
      </c>
      <c r="Z188">
        <v>2628.42</v>
      </c>
      <c r="AA188">
        <v>1541.54</v>
      </c>
      <c r="AB188">
        <v>1086.8800000000001</v>
      </c>
      <c r="AC188" t="s">
        <v>131</v>
      </c>
      <c r="AD188" t="s">
        <v>120</v>
      </c>
      <c r="AE188">
        <f>ROUND((U188*V188)-(U188*V188*Y188),2)</f>
        <v>2628.42</v>
      </c>
      <c r="AF188">
        <f>AE188-AA188</f>
        <v>1086.8800000000001</v>
      </c>
      <c r="AG188" s="7">
        <f>ROUND((AF188/AE188),4)</f>
        <v>0.41349999999999998</v>
      </c>
      <c r="AH188">
        <f>IF(AND(C188&lt;&gt;"",E188&lt;&gt;""),E188 - C188,"")</f>
        <v>2</v>
      </c>
      <c r="AI188" t="str">
        <f>IF(C188="","",TEXT(C188, "mmmm"))</f>
        <v>December</v>
      </c>
      <c r="AJ188">
        <f>IF(C188="","",YEAR(C188))</f>
        <v>2024</v>
      </c>
      <c r="AM188" t="s">
        <v>4145</v>
      </c>
      <c r="AN188" t="s">
        <v>3596</v>
      </c>
    </row>
    <row r="189" spans="1:40">
      <c r="A189" t="s">
        <v>1439</v>
      </c>
      <c r="B189" t="s">
        <v>3799</v>
      </c>
      <c r="C189" s="6">
        <v>45466</v>
      </c>
      <c r="D189" t="s">
        <v>1440</v>
      </c>
      <c r="E189" s="6">
        <v>45473</v>
      </c>
      <c r="F189" t="s">
        <v>1441</v>
      </c>
      <c r="G189" t="s">
        <v>90</v>
      </c>
      <c r="H189" t="s">
        <v>90</v>
      </c>
      <c r="I189" t="s">
        <v>40</v>
      </c>
      <c r="J189" t="s">
        <v>40</v>
      </c>
      <c r="K189" t="s">
        <v>71</v>
      </c>
      <c r="L189" t="str">
        <f>IF(TRIM(K189)="","Unknown",PROPER(TRIM(K189)))</f>
        <v>West</v>
      </c>
      <c r="M189" t="s">
        <v>230</v>
      </c>
      <c r="N189" t="s">
        <v>231</v>
      </c>
      <c r="O189" t="s">
        <v>83</v>
      </c>
      <c r="P189" t="str">
        <f>IF(TRIM(O189)="","Unknown",PROPER(TRIM(O189)))</f>
        <v>Technology</v>
      </c>
      <c r="Q189" t="s">
        <v>84</v>
      </c>
      <c r="R189" t="s">
        <v>1442</v>
      </c>
      <c r="S189" t="s">
        <v>47</v>
      </c>
      <c r="T189" t="str">
        <f>IF(TRIM(S189)="","Unknown",PROPER(TRIM(S189)))</f>
        <v>Same Day</v>
      </c>
      <c r="U189">
        <v>4</v>
      </c>
      <c r="V189">
        <v>674.82</v>
      </c>
      <c r="W189">
        <v>0</v>
      </c>
      <c r="Y189">
        <v>0</v>
      </c>
      <c r="Z189">
        <v>2699.28</v>
      </c>
      <c r="AA189">
        <v>1759.76</v>
      </c>
      <c r="AB189">
        <v>939.52</v>
      </c>
      <c r="AC189" t="s">
        <v>186</v>
      </c>
      <c r="AD189" t="s">
        <v>76</v>
      </c>
      <c r="AE189">
        <f>ROUND((U189*V189)-(U189*V189*Y189),2)</f>
        <v>2699.28</v>
      </c>
      <c r="AF189">
        <f>AE189-AA189</f>
        <v>939.52000000000021</v>
      </c>
      <c r="AG189" s="7">
        <f>ROUND((AF189/AE189),4)</f>
        <v>0.34810000000000002</v>
      </c>
      <c r="AH189">
        <f>IF(AND(C189&lt;&gt;"",E189&lt;&gt;""),E189 - C189,"")</f>
        <v>7</v>
      </c>
      <c r="AI189" t="str">
        <f>IF(C189="","",TEXT(C189, "mmmm"))</f>
        <v>June</v>
      </c>
      <c r="AJ189">
        <f>IF(C189="","",YEAR(C189))</f>
        <v>2024</v>
      </c>
      <c r="AM189" t="str">
        <f>IF(AN189="","clean","")</f>
        <v>clean</v>
      </c>
      <c r="AN189" t="s">
        <v>3595</v>
      </c>
    </row>
    <row r="190" spans="1:40">
      <c r="A190" t="s">
        <v>1443</v>
      </c>
      <c r="B190" t="s">
        <v>1353</v>
      </c>
      <c r="C190" s="6">
        <v>45608</v>
      </c>
      <c r="D190" t="s">
        <v>1444</v>
      </c>
      <c r="E190" s="6">
        <v>45608</v>
      </c>
      <c r="F190" t="s">
        <v>1445</v>
      </c>
      <c r="G190" t="s">
        <v>52</v>
      </c>
      <c r="H190" t="s">
        <v>52</v>
      </c>
      <c r="I190" t="s">
        <v>25</v>
      </c>
      <c r="J190" t="s">
        <v>25</v>
      </c>
      <c r="K190" t="s">
        <v>26</v>
      </c>
      <c r="L190" t="str">
        <f>IF(TRIM(K190)="","Unknown",PROPER(TRIM(K190)))</f>
        <v>North</v>
      </c>
      <c r="M190" t="s">
        <v>163</v>
      </c>
      <c r="N190" t="s">
        <v>164</v>
      </c>
      <c r="O190" t="s">
        <v>83</v>
      </c>
      <c r="P190" t="str">
        <f>IF(TRIM(O190)="","Unknown",PROPER(TRIM(O190)))</f>
        <v>Technology</v>
      </c>
      <c r="Q190" t="s">
        <v>207</v>
      </c>
      <c r="R190" t="s">
        <v>1446</v>
      </c>
      <c r="S190" t="s">
        <v>32</v>
      </c>
      <c r="T190" t="str">
        <f>IF(TRIM(S190)="","Unknown",PROPER(TRIM(S190)))</f>
        <v>Second Class</v>
      </c>
      <c r="U190">
        <v>6</v>
      </c>
      <c r="V190">
        <v>1369.48</v>
      </c>
      <c r="W190">
        <v>0.15</v>
      </c>
      <c r="Y190">
        <v>0.15</v>
      </c>
      <c r="Z190">
        <v>6984.35</v>
      </c>
      <c r="AA190">
        <v>4023.63</v>
      </c>
      <c r="AB190">
        <v>2960.72</v>
      </c>
      <c r="AC190" t="s">
        <v>33</v>
      </c>
      <c r="AD190" t="s">
        <v>34</v>
      </c>
      <c r="AE190">
        <f>ROUND((U190*V190)-(U190*V190*Y190),2)</f>
        <v>6984.35</v>
      </c>
      <c r="AF190">
        <f>AE190-AA190</f>
        <v>2960.7200000000003</v>
      </c>
      <c r="AG190" s="7">
        <f>ROUND((AF190/AE190),4)</f>
        <v>0.4239</v>
      </c>
      <c r="AH190">
        <f>IF(AND(C190&lt;&gt;"",E190&lt;&gt;""),E190 - C190,"")</f>
        <v>0</v>
      </c>
      <c r="AI190" t="str">
        <f>IF(C190="","",TEXT(C190, "mmmm"))</f>
        <v>November</v>
      </c>
      <c r="AJ190">
        <f>IF(C190="","",YEAR(C190))</f>
        <v>2024</v>
      </c>
      <c r="AM190" t="str">
        <f>IF(AN190="","clean","")</f>
        <v>clean</v>
      </c>
      <c r="AN190" t="s">
        <v>3595</v>
      </c>
    </row>
    <row r="191" spans="1:40">
      <c r="A191" t="s">
        <v>1447</v>
      </c>
      <c r="B191" t="s">
        <v>1448</v>
      </c>
      <c r="D191" t="s">
        <v>1449</v>
      </c>
      <c r="E191" s="6">
        <v>45351</v>
      </c>
      <c r="F191" t="s">
        <v>1450</v>
      </c>
      <c r="G191" t="s">
        <v>52</v>
      </c>
      <c r="H191" t="s">
        <v>52</v>
      </c>
      <c r="I191" t="s">
        <v>40</v>
      </c>
      <c r="J191" t="s">
        <v>40</v>
      </c>
      <c r="K191" t="s">
        <v>71</v>
      </c>
      <c r="L191" t="str">
        <f>IF(TRIM(K191)="","Unknown",PROPER(TRIM(K191)))</f>
        <v>West</v>
      </c>
      <c r="M191" t="s">
        <v>230</v>
      </c>
      <c r="N191" t="s">
        <v>231</v>
      </c>
      <c r="O191" t="s">
        <v>44</v>
      </c>
      <c r="P191" t="str">
        <f>IF(TRIM(O191)="","Unknown",PROPER(TRIM(O191)))</f>
        <v>Furniture</v>
      </c>
      <c r="Q191" t="s">
        <v>63</v>
      </c>
      <c r="R191" t="s">
        <v>180</v>
      </c>
      <c r="S191" t="s">
        <v>65</v>
      </c>
      <c r="T191" t="str">
        <f>IF(TRIM(S191)="","Unknown",PROPER(TRIM(S191)))</f>
        <v>Standard Class</v>
      </c>
      <c r="U191">
        <v>9</v>
      </c>
      <c r="V191">
        <v>1331.46</v>
      </c>
      <c r="W191">
        <v>0.15</v>
      </c>
      <c r="Y191">
        <v>0.15</v>
      </c>
      <c r="Z191">
        <v>10185.67</v>
      </c>
      <c r="AA191">
        <v>6479.31</v>
      </c>
      <c r="AB191">
        <v>3706.36</v>
      </c>
      <c r="AC191" t="s">
        <v>33</v>
      </c>
      <c r="AD191" t="s">
        <v>34</v>
      </c>
      <c r="AE191">
        <f>ROUND((U191*V191)-(U191*V191*Y191),2)</f>
        <v>10185.67</v>
      </c>
      <c r="AF191">
        <f>AE191-AA191</f>
        <v>3706.3599999999997</v>
      </c>
      <c r="AG191" s="7">
        <f>ROUND((AF191/AE191),4)</f>
        <v>0.3639</v>
      </c>
      <c r="AH191" t="str">
        <f>IF(AND(C191&lt;&gt;"",E191&lt;&gt;""),E191 - C191,"")</f>
        <v/>
      </c>
      <c r="AI191" t="str">
        <f>IF(C191="","",TEXT(C191, "mmmm"))</f>
        <v/>
      </c>
      <c r="AJ191" t="str">
        <f>IF(C191="","",YEAR(C191))</f>
        <v/>
      </c>
      <c r="AM191" t="s">
        <v>4144</v>
      </c>
      <c r="AN191" t="s">
        <v>4127</v>
      </c>
    </row>
    <row r="192" spans="1:40">
      <c r="A192" t="s">
        <v>1461</v>
      </c>
      <c r="B192" t="s">
        <v>3803</v>
      </c>
      <c r="C192" s="6">
        <v>45497</v>
      </c>
      <c r="D192" t="s">
        <v>243</v>
      </c>
      <c r="F192" t="s">
        <v>1462</v>
      </c>
      <c r="G192" t="s">
        <v>52</v>
      </c>
      <c r="H192" t="s">
        <v>52</v>
      </c>
      <c r="I192" t="s">
        <v>25</v>
      </c>
      <c r="J192" t="s">
        <v>25</v>
      </c>
      <c r="K192" t="s">
        <v>71</v>
      </c>
      <c r="L192" t="str">
        <f>IF(TRIM(K192)="","Unknown",PROPER(TRIM(K192)))</f>
        <v>West</v>
      </c>
      <c r="M192" t="s">
        <v>27</v>
      </c>
      <c r="N192" t="s">
        <v>129</v>
      </c>
      <c r="O192" t="s">
        <v>83</v>
      </c>
      <c r="P192" t="str">
        <f>IF(TRIM(O192)="","Unknown",PROPER(TRIM(O192)))</f>
        <v>Technology</v>
      </c>
      <c r="Q192" t="s">
        <v>84</v>
      </c>
      <c r="R192" t="s">
        <v>1463</v>
      </c>
      <c r="S192" t="s">
        <v>32</v>
      </c>
      <c r="T192" t="str">
        <f>IF(TRIM(S192)="","Unknown",PROPER(TRIM(S192)))</f>
        <v>Second Class</v>
      </c>
      <c r="U192">
        <v>3</v>
      </c>
      <c r="V192">
        <v>1834.55</v>
      </c>
      <c r="W192">
        <v>0.2</v>
      </c>
      <c r="Y192">
        <v>0.2</v>
      </c>
      <c r="Z192">
        <v>4402.92</v>
      </c>
      <c r="AA192">
        <v>2993.94</v>
      </c>
      <c r="AB192">
        <v>1408.98</v>
      </c>
      <c r="AC192" t="s">
        <v>131</v>
      </c>
      <c r="AD192" t="s">
        <v>76</v>
      </c>
      <c r="AE192">
        <f>ROUND((U192*V192)-(U192*V192*Y192),2)</f>
        <v>4402.92</v>
      </c>
      <c r="AF192">
        <f>AE192-AA192</f>
        <v>1408.98</v>
      </c>
      <c r="AG192" s="7">
        <f>ROUND((AF192/AE192),4)</f>
        <v>0.32</v>
      </c>
      <c r="AH192" t="str">
        <f>IF(AND(C192&lt;&gt;"",E192&lt;&gt;""),E192 - C192,"")</f>
        <v/>
      </c>
      <c r="AI192" t="str">
        <f>IF(C192="","",TEXT(C192, "mmmm"))</f>
        <v>July</v>
      </c>
      <c r="AJ192">
        <f>IF(C192="","",YEAR(C192))</f>
        <v>2024</v>
      </c>
      <c r="AM192" t="s">
        <v>4144</v>
      </c>
      <c r="AN192" t="s">
        <v>4136</v>
      </c>
    </row>
    <row r="193" spans="1:40">
      <c r="A193" t="s">
        <v>1471</v>
      </c>
      <c r="B193" t="s">
        <v>3735</v>
      </c>
      <c r="C193" s="6">
        <v>45428</v>
      </c>
      <c r="D193" t="s">
        <v>632</v>
      </c>
      <c r="E193" s="6">
        <v>45436</v>
      </c>
      <c r="F193" t="s">
        <v>1472</v>
      </c>
      <c r="G193" t="s">
        <v>59</v>
      </c>
      <c r="H193" t="s">
        <v>59</v>
      </c>
      <c r="I193" t="s">
        <v>110</v>
      </c>
      <c r="J193" t="s">
        <v>110</v>
      </c>
      <c r="K193" t="s">
        <v>26</v>
      </c>
      <c r="L193" t="str">
        <f>IF(TRIM(K193)="","Unknown",PROPER(TRIM(K193)))</f>
        <v>North</v>
      </c>
      <c r="M193" t="s">
        <v>146</v>
      </c>
      <c r="N193" t="s">
        <v>147</v>
      </c>
      <c r="O193" t="s">
        <v>83</v>
      </c>
      <c r="P193" t="str">
        <f>IF(TRIM(O193)="","Unknown",PROPER(TRIM(O193)))</f>
        <v>Technology</v>
      </c>
      <c r="Q193" t="s">
        <v>84</v>
      </c>
      <c r="R193" t="s">
        <v>1473</v>
      </c>
      <c r="S193" t="s">
        <v>47</v>
      </c>
      <c r="T193" t="str">
        <f>IF(TRIM(S193)="","Unknown",PROPER(TRIM(S193)))</f>
        <v>Same Day</v>
      </c>
      <c r="U193">
        <v>1</v>
      </c>
      <c r="V193">
        <v>783.09</v>
      </c>
      <c r="W193">
        <v>0</v>
      </c>
      <c r="Y193">
        <v>0</v>
      </c>
      <c r="Z193">
        <v>783.09</v>
      </c>
      <c r="AA193">
        <v>503.89</v>
      </c>
      <c r="AB193">
        <v>279.2</v>
      </c>
      <c r="AC193" t="s">
        <v>186</v>
      </c>
      <c r="AD193" t="s">
        <v>76</v>
      </c>
      <c r="AE193">
        <f>ROUND((U193*V193)-(U193*V193*Y193),2)</f>
        <v>783.09</v>
      </c>
      <c r="AF193">
        <f>AE193-AA193</f>
        <v>279.20000000000005</v>
      </c>
      <c r="AG193" s="7">
        <f>ROUND((AF193/AE193),4)</f>
        <v>0.35649999999999998</v>
      </c>
      <c r="AH193">
        <f>IF(AND(C193&lt;&gt;"",E193&lt;&gt;""),E193 - C193,"")</f>
        <v>8</v>
      </c>
      <c r="AI193" t="str">
        <f>IF(C193="","",TEXT(C193, "mmmm"))</f>
        <v>May</v>
      </c>
      <c r="AJ193">
        <f>IF(C193="","",YEAR(C193))</f>
        <v>2024</v>
      </c>
      <c r="AM193" t="str">
        <f>IF(AN193="","clean","")</f>
        <v>clean</v>
      </c>
      <c r="AN193" t="s">
        <v>3595</v>
      </c>
    </row>
    <row r="194" spans="1:40">
      <c r="A194" t="s">
        <v>1474</v>
      </c>
      <c r="B194" t="s">
        <v>628</v>
      </c>
      <c r="C194" s="6">
        <v>45630</v>
      </c>
      <c r="D194" t="s">
        <v>1475</v>
      </c>
      <c r="E194" s="6">
        <v>45632</v>
      </c>
      <c r="F194" t="s">
        <v>1476</v>
      </c>
      <c r="G194" t="s">
        <v>158</v>
      </c>
      <c r="H194" t="s">
        <v>158</v>
      </c>
      <c r="I194" t="s">
        <v>110</v>
      </c>
      <c r="J194" t="s">
        <v>110</v>
      </c>
      <c r="K194" t="s">
        <v>41</v>
      </c>
      <c r="L194" t="str">
        <f>IF(TRIM(K194)="","Unknown",PROPER(TRIM(K194)))</f>
        <v>East</v>
      </c>
      <c r="M194" t="s">
        <v>42</v>
      </c>
      <c r="N194" t="s">
        <v>43</v>
      </c>
      <c r="O194" t="s">
        <v>29</v>
      </c>
      <c r="P194" t="str">
        <f>IF(TRIM(O194)="","Unknown",PROPER(TRIM(O194)))</f>
        <v>Office Supplies</v>
      </c>
      <c r="Q194" t="s">
        <v>184</v>
      </c>
      <c r="R194" t="s">
        <v>1477</v>
      </c>
      <c r="S194" t="s">
        <v>32</v>
      </c>
      <c r="T194" t="str">
        <f>IF(TRIM(S194)="","Unknown",PROPER(TRIM(S194)))</f>
        <v>Second Class</v>
      </c>
      <c r="U194">
        <v>4</v>
      </c>
      <c r="V194">
        <v>2685.66</v>
      </c>
      <c r="W194">
        <v>0</v>
      </c>
      <c r="Y194">
        <v>0</v>
      </c>
      <c r="Z194">
        <v>10742.64</v>
      </c>
      <c r="AA194">
        <v>6477.37</v>
      </c>
      <c r="AB194">
        <v>4265.2700000000004</v>
      </c>
      <c r="AC194" t="s">
        <v>33</v>
      </c>
      <c r="AD194" t="s">
        <v>120</v>
      </c>
      <c r="AE194">
        <f>ROUND((U194*V194)-(U194*V194*Y194),2)</f>
        <v>10742.64</v>
      </c>
      <c r="AF194">
        <f>AE194-AA194</f>
        <v>4265.2699999999995</v>
      </c>
      <c r="AG194" s="7">
        <f>ROUND((AF194/AE194),4)</f>
        <v>0.39700000000000002</v>
      </c>
      <c r="AH194">
        <f>IF(AND(C194&lt;&gt;"",E194&lt;&gt;""),E194 - C194,"")</f>
        <v>2</v>
      </c>
      <c r="AI194" t="str">
        <f>IF(C194="","",TEXT(C194, "mmmm"))</f>
        <v>December</v>
      </c>
      <c r="AJ194">
        <f>IF(C194="","",YEAR(C194))</f>
        <v>2024</v>
      </c>
      <c r="AK194" t="s">
        <v>4152</v>
      </c>
      <c r="AM194" t="s">
        <v>4145</v>
      </c>
      <c r="AN194" t="s">
        <v>4154</v>
      </c>
    </row>
    <row r="195" spans="1:40">
      <c r="A195" t="s">
        <v>1474</v>
      </c>
      <c r="B195" t="s">
        <v>628</v>
      </c>
      <c r="C195" s="6">
        <v>45630</v>
      </c>
      <c r="D195" t="s">
        <v>1475</v>
      </c>
      <c r="E195" s="6">
        <v>45632</v>
      </c>
      <c r="F195" t="s">
        <v>1476</v>
      </c>
      <c r="G195" t="s">
        <v>158</v>
      </c>
      <c r="H195" t="s">
        <v>158</v>
      </c>
      <c r="I195" t="s">
        <v>110</v>
      </c>
      <c r="J195" t="s">
        <v>110</v>
      </c>
      <c r="K195" t="s">
        <v>41</v>
      </c>
      <c r="L195" t="str">
        <f>IF(TRIM(K195)="","Unknown",PROPER(TRIM(K195)))</f>
        <v>East</v>
      </c>
      <c r="M195" t="s">
        <v>42</v>
      </c>
      <c r="N195" t="s">
        <v>43</v>
      </c>
      <c r="O195" t="s">
        <v>29</v>
      </c>
      <c r="P195" t="str">
        <f>IF(TRIM(O195)="","Unknown",PROPER(TRIM(O195)))</f>
        <v>Office Supplies</v>
      </c>
      <c r="Q195" t="s">
        <v>184</v>
      </c>
      <c r="R195" t="s">
        <v>1477</v>
      </c>
      <c r="S195" t="s">
        <v>32</v>
      </c>
      <c r="T195" t="str">
        <f>IF(TRIM(S195)="","Unknown",PROPER(TRIM(S195)))</f>
        <v>Second Class</v>
      </c>
      <c r="U195">
        <v>4</v>
      </c>
      <c r="V195">
        <v>2685.66</v>
      </c>
      <c r="W195">
        <v>0</v>
      </c>
      <c r="Y195">
        <v>0</v>
      </c>
      <c r="Z195">
        <v>10989.89</v>
      </c>
      <c r="AA195">
        <v>6477.37</v>
      </c>
      <c r="AB195">
        <v>4265.2700000000004</v>
      </c>
      <c r="AC195" t="s">
        <v>33</v>
      </c>
      <c r="AD195" t="s">
        <v>34</v>
      </c>
      <c r="AE195">
        <f>ROUND((U195*V195)-(U195*V195*Y195),2)</f>
        <v>10742.64</v>
      </c>
      <c r="AF195">
        <f>AE195-AA195</f>
        <v>4265.2699999999995</v>
      </c>
      <c r="AG195" s="7">
        <f>ROUND((AF195/AE195),4)</f>
        <v>0.39700000000000002</v>
      </c>
      <c r="AH195">
        <f>IF(AND(C195&lt;&gt;"",E195&lt;&gt;""),E195 - C195,"")</f>
        <v>2</v>
      </c>
      <c r="AI195" t="str">
        <f>IF(C195="","",TEXT(C195, "mmmm"))</f>
        <v>December</v>
      </c>
      <c r="AJ195">
        <f>IF(C195="","",YEAR(C195))</f>
        <v>2024</v>
      </c>
      <c r="AM195" t="s">
        <v>4145</v>
      </c>
      <c r="AN195" t="s">
        <v>3596</v>
      </c>
    </row>
    <row r="196" spans="1:40">
      <c r="A196" t="s">
        <v>1488</v>
      </c>
      <c r="B196" t="s">
        <v>3807</v>
      </c>
      <c r="C196" s="6">
        <v>45547</v>
      </c>
      <c r="D196" t="s">
        <v>1489</v>
      </c>
      <c r="E196" s="6">
        <v>45552</v>
      </c>
      <c r="F196" t="s">
        <v>1490</v>
      </c>
      <c r="G196" t="s">
        <v>70</v>
      </c>
      <c r="H196" t="s">
        <v>70</v>
      </c>
      <c r="I196" t="s">
        <v>25</v>
      </c>
      <c r="J196" t="s">
        <v>25</v>
      </c>
      <c r="K196" t="s">
        <v>41</v>
      </c>
      <c r="L196" t="str">
        <f>IF(TRIM(K196)="","Unknown",PROPER(TRIM(K196)))</f>
        <v>East</v>
      </c>
      <c r="M196" t="s">
        <v>284</v>
      </c>
      <c r="N196" t="s">
        <v>285</v>
      </c>
      <c r="O196" t="s">
        <v>29</v>
      </c>
      <c r="P196" t="str">
        <f>IF(TRIM(O196)="","Unknown",PROPER(TRIM(O196)))</f>
        <v>Office Supplies</v>
      </c>
      <c r="Q196" t="s">
        <v>148</v>
      </c>
      <c r="R196" t="s">
        <v>1491</v>
      </c>
      <c r="S196" t="s">
        <v>55</v>
      </c>
      <c r="T196" t="str">
        <f>IF(TRIM(S196)="","Unknown",PROPER(TRIM(S196)))</f>
        <v>First Class</v>
      </c>
      <c r="U196">
        <v>9</v>
      </c>
      <c r="V196">
        <v>1921.47</v>
      </c>
      <c r="W196">
        <v>0.25</v>
      </c>
      <c r="Y196">
        <v>0.25</v>
      </c>
      <c r="Z196">
        <v>12969.92</v>
      </c>
      <c r="AA196">
        <v>9398.4599999999991</v>
      </c>
      <c r="AB196">
        <v>3571.46</v>
      </c>
      <c r="AC196" t="s">
        <v>33</v>
      </c>
      <c r="AD196" t="s">
        <v>34</v>
      </c>
      <c r="AE196">
        <f>ROUND((U196*V196)-(U196*V196*Y196),2)</f>
        <v>12969.92</v>
      </c>
      <c r="AF196">
        <f>AE196-AA196</f>
        <v>3571.4600000000009</v>
      </c>
      <c r="AG196" s="7">
        <f>ROUND((AF196/AE196),4)</f>
        <v>0.27539999999999998</v>
      </c>
      <c r="AH196">
        <f>IF(AND(C196&lt;&gt;"",E196&lt;&gt;""),E196 - C196,"")</f>
        <v>5</v>
      </c>
      <c r="AI196" t="str">
        <f>IF(C196="","",TEXT(C196, "mmmm"))</f>
        <v>September</v>
      </c>
      <c r="AJ196">
        <f>IF(C196="","",YEAR(C196))</f>
        <v>2024</v>
      </c>
      <c r="AM196" t="str">
        <f>IF(AN196="","clean","")</f>
        <v>clean</v>
      </c>
      <c r="AN196" t="s">
        <v>3595</v>
      </c>
    </row>
    <row r="197" spans="1:40">
      <c r="A197" t="s">
        <v>1496</v>
      </c>
      <c r="B197" t="s">
        <v>277</v>
      </c>
      <c r="C197" s="6">
        <v>45368</v>
      </c>
      <c r="D197" t="s">
        <v>1497</v>
      </c>
      <c r="E197" s="6">
        <v>45372</v>
      </c>
      <c r="F197" t="s">
        <v>1162</v>
      </c>
      <c r="G197" t="s">
        <v>153</v>
      </c>
      <c r="H197" t="s">
        <v>153</v>
      </c>
      <c r="I197" t="s">
        <v>25</v>
      </c>
      <c r="J197" t="s">
        <v>25</v>
      </c>
      <c r="K197" t="s">
        <v>26</v>
      </c>
      <c r="L197" t="str">
        <f>IF(TRIM(K197)="","Unknown",PROPER(TRIM(K197)))</f>
        <v>North</v>
      </c>
      <c r="M197" t="s">
        <v>27</v>
      </c>
      <c r="N197" t="s">
        <v>28</v>
      </c>
      <c r="O197" t="s">
        <v>83</v>
      </c>
      <c r="P197" t="str">
        <f>IF(TRIM(O197)="","Unknown",PROPER(TRIM(O197)))</f>
        <v>Technology</v>
      </c>
      <c r="Q197" t="s">
        <v>91</v>
      </c>
      <c r="R197" t="s">
        <v>1498</v>
      </c>
      <c r="S197" t="s">
        <v>55</v>
      </c>
      <c r="T197" t="str">
        <f>IF(TRIM(S197)="","Unknown",PROPER(TRIM(S197)))</f>
        <v>First Class</v>
      </c>
      <c r="U197">
        <v>8</v>
      </c>
      <c r="V197">
        <v>1992.57</v>
      </c>
      <c r="W197">
        <v>0</v>
      </c>
      <c r="Y197">
        <v>0</v>
      </c>
      <c r="Z197">
        <v>15940.56</v>
      </c>
      <c r="AA197">
        <v>12347.15</v>
      </c>
      <c r="AB197">
        <v>3593.41</v>
      </c>
      <c r="AC197" t="s">
        <v>33</v>
      </c>
      <c r="AD197" t="s">
        <v>34</v>
      </c>
      <c r="AE197">
        <f>ROUND((U197*V197)-(U197*V197*Y197),2)</f>
        <v>15940.56</v>
      </c>
      <c r="AF197">
        <f>AE197-AA197</f>
        <v>3593.41</v>
      </c>
      <c r="AG197" s="7">
        <f>ROUND((AF197/AE197),4)</f>
        <v>0.22539999999999999</v>
      </c>
      <c r="AH197">
        <f>IF(AND(C197&lt;&gt;"",E197&lt;&gt;""),E197 - C197,"")</f>
        <v>4</v>
      </c>
      <c r="AI197" t="str">
        <f>IF(C197="","",TEXT(C197, "mmmm"))</f>
        <v>March</v>
      </c>
      <c r="AJ197">
        <f>IF(C197="","",YEAR(C197))</f>
        <v>2024</v>
      </c>
      <c r="AM197" t="str">
        <f>IF(AN197="","clean","")</f>
        <v>clean</v>
      </c>
      <c r="AN197" t="s">
        <v>3595</v>
      </c>
    </row>
    <row r="198" spans="1:40">
      <c r="A198" t="s">
        <v>1499</v>
      </c>
      <c r="B198" t="s">
        <v>3809</v>
      </c>
      <c r="C198" s="6">
        <v>45516</v>
      </c>
      <c r="D198" t="s">
        <v>1500</v>
      </c>
      <c r="E198" s="6">
        <v>45522</v>
      </c>
      <c r="F198" t="s">
        <v>1501</v>
      </c>
      <c r="G198" t="s">
        <v>70</v>
      </c>
      <c r="H198" t="s">
        <v>70</v>
      </c>
      <c r="I198" t="s">
        <v>25</v>
      </c>
      <c r="J198" t="s">
        <v>25</v>
      </c>
      <c r="K198" t="s">
        <v>41</v>
      </c>
      <c r="L198" t="str">
        <f>IF(TRIM(K198)="","Unknown",PROPER(TRIM(K198)))</f>
        <v>East</v>
      </c>
      <c r="M198" t="s">
        <v>201</v>
      </c>
      <c r="N198" t="s">
        <v>202</v>
      </c>
      <c r="O198" t="s">
        <v>29</v>
      </c>
      <c r="P198" t="str">
        <f>IF(TRIM(O198)="","Unknown",PROPER(TRIM(O198)))</f>
        <v>Office Supplies</v>
      </c>
      <c r="Q198" t="s">
        <v>105</v>
      </c>
      <c r="R198" t="s">
        <v>1502</v>
      </c>
      <c r="S198" t="s">
        <v>47</v>
      </c>
      <c r="T198" t="str">
        <f>IF(TRIM(S198)="","Unknown",PROPER(TRIM(S198)))</f>
        <v>Same Day</v>
      </c>
      <c r="U198">
        <v>6</v>
      </c>
      <c r="V198">
        <v>1181.74</v>
      </c>
      <c r="W198">
        <v>0</v>
      </c>
      <c r="Y198">
        <v>0</v>
      </c>
      <c r="Z198">
        <v>7090.44</v>
      </c>
      <c r="AA198">
        <v>5672.27</v>
      </c>
      <c r="AB198">
        <v>1262.8699999999999</v>
      </c>
      <c r="AC198" t="s">
        <v>33</v>
      </c>
      <c r="AD198" t="s">
        <v>34</v>
      </c>
      <c r="AE198">
        <f>ROUND((U198*V198)-(U198*V198*Y198),2)</f>
        <v>7090.44</v>
      </c>
      <c r="AF198">
        <f>AE198-AA198</f>
        <v>1418.1699999999992</v>
      </c>
      <c r="AG198" s="7">
        <f>ROUND((AF198/AE198),4)</f>
        <v>0.2</v>
      </c>
      <c r="AH198">
        <f>IF(AND(C198&lt;&gt;"",E198&lt;&gt;""),E198 - C198,"")</f>
        <v>6</v>
      </c>
      <c r="AI198" t="str">
        <f>IF(C198="","",TEXT(C198, "mmmm"))</f>
        <v>August</v>
      </c>
      <c r="AJ198">
        <f>IF(C198="","",YEAR(C198))</f>
        <v>2024</v>
      </c>
      <c r="AM198" t="str">
        <f>IF(AN198="","clean","")</f>
        <v>clean</v>
      </c>
      <c r="AN198" t="s">
        <v>3595</v>
      </c>
    </row>
    <row r="199" spans="1:40">
      <c r="A199" t="s">
        <v>1503</v>
      </c>
      <c r="B199" t="s">
        <v>3810</v>
      </c>
      <c r="C199" s="6">
        <v>45634</v>
      </c>
      <c r="D199" t="s">
        <v>1288</v>
      </c>
      <c r="E199" s="6">
        <v>45634</v>
      </c>
      <c r="F199" t="s">
        <v>1504</v>
      </c>
      <c r="G199" t="s">
        <v>59</v>
      </c>
      <c r="H199" t="s">
        <v>59</v>
      </c>
      <c r="I199" t="s">
        <v>40</v>
      </c>
      <c r="J199" t="s">
        <v>40</v>
      </c>
      <c r="K199" t="s">
        <v>60</v>
      </c>
      <c r="L199" t="str">
        <f>IF(TRIM(K199)="","Unknown",PROPER(TRIM(K199)))</f>
        <v>South</v>
      </c>
      <c r="M199" t="s">
        <v>97</v>
      </c>
      <c r="N199" t="s">
        <v>98</v>
      </c>
      <c r="O199" t="s">
        <v>83</v>
      </c>
      <c r="P199" t="str">
        <f>IF(TRIM(O199)="","Unknown",PROPER(TRIM(O199)))</f>
        <v>Technology</v>
      </c>
      <c r="Q199" t="s">
        <v>84</v>
      </c>
      <c r="R199" t="s">
        <v>1505</v>
      </c>
      <c r="S199" t="s">
        <v>55</v>
      </c>
      <c r="T199" t="str">
        <f>IF(TRIM(S199)="","Unknown",PROPER(TRIM(S199)))</f>
        <v>First Class</v>
      </c>
      <c r="U199">
        <v>8</v>
      </c>
      <c r="V199">
        <v>4402.3599999999997</v>
      </c>
      <c r="W199">
        <v>0.25</v>
      </c>
      <c r="Y199">
        <v>0.25</v>
      </c>
      <c r="Z199">
        <v>26414.16</v>
      </c>
      <c r="AA199">
        <v>21822.53</v>
      </c>
      <c r="AB199">
        <v>4591.63</v>
      </c>
      <c r="AC199" t="s">
        <v>33</v>
      </c>
      <c r="AD199" t="s">
        <v>34</v>
      </c>
      <c r="AE199">
        <f>ROUND((U199*V199)-(U199*V199*Y199),2)</f>
        <v>26414.16</v>
      </c>
      <c r="AF199">
        <f>AE199-AA199</f>
        <v>4591.630000000001</v>
      </c>
      <c r="AG199" s="7">
        <f>ROUND((AF199/AE199),4)</f>
        <v>0.17380000000000001</v>
      </c>
      <c r="AH199">
        <f>IF(AND(C199&lt;&gt;"",E199&lt;&gt;""),E199 - C199,"")</f>
        <v>0</v>
      </c>
      <c r="AI199" t="str">
        <f>IF(C199="","",TEXT(C199, "mmmm"))</f>
        <v>December</v>
      </c>
      <c r="AJ199">
        <f>IF(C199="","",YEAR(C199))</f>
        <v>2024</v>
      </c>
      <c r="AM199" t="str">
        <f>IF(AN199="","clean","")</f>
        <v>clean</v>
      </c>
      <c r="AN199" t="s">
        <v>3595</v>
      </c>
    </row>
    <row r="200" spans="1:40">
      <c r="A200" t="s">
        <v>1510</v>
      </c>
      <c r="B200" t="s">
        <v>3811</v>
      </c>
      <c r="C200" s="6">
        <v>45312</v>
      </c>
      <c r="D200" t="s">
        <v>1511</v>
      </c>
      <c r="E200" s="6">
        <v>45320</v>
      </c>
      <c r="F200" t="s">
        <v>1512</v>
      </c>
      <c r="G200" t="s">
        <v>90</v>
      </c>
      <c r="H200" t="s">
        <v>90</v>
      </c>
      <c r="I200" t="s">
        <v>25</v>
      </c>
      <c r="J200" t="s">
        <v>25</v>
      </c>
      <c r="K200" t="s">
        <v>60</v>
      </c>
      <c r="L200" t="str">
        <f>IF(TRIM(K200)="","Unknown",PROPER(TRIM(K200)))</f>
        <v>South</v>
      </c>
      <c r="M200" t="s">
        <v>212</v>
      </c>
      <c r="N200" t="s">
        <v>213</v>
      </c>
      <c r="O200" t="s">
        <v>29</v>
      </c>
      <c r="P200" t="str">
        <f>IF(TRIM(O200)="","Unknown",PROPER(TRIM(O200)))</f>
        <v>Office Supplies</v>
      </c>
      <c r="Q200" t="s">
        <v>184</v>
      </c>
      <c r="R200" t="s">
        <v>1513</v>
      </c>
      <c r="S200" t="s">
        <v>65</v>
      </c>
      <c r="T200" t="str">
        <f>IF(TRIM(S200)="","Unknown",PROPER(TRIM(S200)))</f>
        <v>Standard Class</v>
      </c>
      <c r="U200">
        <v>5</v>
      </c>
      <c r="V200">
        <v>4058.08</v>
      </c>
      <c r="W200">
        <v>0.1</v>
      </c>
      <c r="Y200">
        <v>0.1</v>
      </c>
      <c r="Z200">
        <v>18261.36</v>
      </c>
      <c r="AA200">
        <v>11399.94</v>
      </c>
      <c r="AB200">
        <v>6861.42</v>
      </c>
      <c r="AC200" t="s">
        <v>33</v>
      </c>
      <c r="AD200" t="s">
        <v>34</v>
      </c>
      <c r="AE200">
        <f>ROUND((U200*V200)-(U200*V200*Y200),2)</f>
        <v>18261.36</v>
      </c>
      <c r="AF200">
        <f>AE200-AA200</f>
        <v>6861.42</v>
      </c>
      <c r="AG200" s="7">
        <f>ROUND((AF200/AE200),4)</f>
        <v>0.37569999999999998</v>
      </c>
      <c r="AH200">
        <f>IF(AND(C200&lt;&gt;"",E200&lt;&gt;""),E200 - C200,"")</f>
        <v>8</v>
      </c>
      <c r="AI200" t="str">
        <f>IF(C200="","",TEXT(C200, "mmmm"))</f>
        <v>January</v>
      </c>
      <c r="AJ200">
        <f>IF(C200="","",YEAR(C200))</f>
        <v>2024</v>
      </c>
      <c r="AM200" t="str">
        <f>IF(AN200="","clean","")</f>
        <v>clean</v>
      </c>
      <c r="AN200" t="s">
        <v>3595</v>
      </c>
    </row>
    <row r="201" spans="1:40">
      <c r="A201" t="s">
        <v>1526</v>
      </c>
      <c r="B201" t="s">
        <v>1327</v>
      </c>
      <c r="C201" s="6">
        <v>45362</v>
      </c>
      <c r="D201" t="s">
        <v>1327</v>
      </c>
      <c r="E201" s="6">
        <v>45362</v>
      </c>
      <c r="F201" t="s">
        <v>1527</v>
      </c>
      <c r="G201" t="s">
        <v>136</v>
      </c>
      <c r="H201" t="s">
        <v>136</v>
      </c>
      <c r="I201" t="s">
        <v>25</v>
      </c>
      <c r="J201" t="s">
        <v>25</v>
      </c>
      <c r="K201" t="s">
        <v>26</v>
      </c>
      <c r="L201" t="str">
        <f>IF(TRIM(K201)="","Unknown",PROPER(TRIM(K201)))</f>
        <v>North</v>
      </c>
      <c r="M201" t="s">
        <v>146</v>
      </c>
      <c r="N201" t="s">
        <v>147</v>
      </c>
      <c r="O201" t="s">
        <v>44</v>
      </c>
      <c r="P201" t="str">
        <f>IF(TRIM(O201)="","Unknown",PROPER(TRIM(O201)))</f>
        <v>Furniture</v>
      </c>
      <c r="Q201" t="s">
        <v>190</v>
      </c>
      <c r="R201" t="s">
        <v>1528</v>
      </c>
      <c r="S201" t="s">
        <v>47</v>
      </c>
      <c r="T201" t="str">
        <f>IF(TRIM(S201)="","Unknown",PROPER(TRIM(S201)))</f>
        <v>Same Day</v>
      </c>
      <c r="U201">
        <v>9</v>
      </c>
      <c r="V201">
        <v>3456.38</v>
      </c>
      <c r="W201">
        <v>0</v>
      </c>
      <c r="Y201">
        <v>0</v>
      </c>
      <c r="Z201">
        <v>31107.42</v>
      </c>
      <c r="AA201">
        <v>20146.66</v>
      </c>
      <c r="AB201">
        <v>10960.76</v>
      </c>
      <c r="AC201" t="s">
        <v>131</v>
      </c>
      <c r="AD201" t="s">
        <v>120</v>
      </c>
      <c r="AE201">
        <f>ROUND((U201*V201)-(U201*V201*Y201),2)</f>
        <v>31107.42</v>
      </c>
      <c r="AF201">
        <f>AE201-AA201</f>
        <v>10960.759999999998</v>
      </c>
      <c r="AG201" s="7">
        <f>ROUND((AF201/AE201),4)</f>
        <v>0.35239999999999999</v>
      </c>
      <c r="AH201">
        <f>IF(AND(C201&lt;&gt;"",E201&lt;&gt;""),E201 - C201,"")</f>
        <v>0</v>
      </c>
      <c r="AI201" t="str">
        <f>IF(C201="","",TEXT(C201, "mmmm"))</f>
        <v>March</v>
      </c>
      <c r="AJ201">
        <f>IF(C201="","",YEAR(C201))</f>
        <v>2024</v>
      </c>
      <c r="AM201" t="str">
        <f>IF(AN201="","clean","")</f>
        <v>clean</v>
      </c>
      <c r="AN201" t="s">
        <v>3595</v>
      </c>
    </row>
    <row r="202" spans="1:40">
      <c r="A202" t="s">
        <v>1529</v>
      </c>
      <c r="B202" t="s">
        <v>1530</v>
      </c>
      <c r="C202" s="6">
        <v>45549</v>
      </c>
      <c r="D202" t="s">
        <v>1531</v>
      </c>
      <c r="E202" s="6">
        <v>45557</v>
      </c>
      <c r="F202" t="s">
        <v>1532</v>
      </c>
      <c r="G202" t="s">
        <v>24</v>
      </c>
      <c r="H202" t="s">
        <v>24</v>
      </c>
      <c r="I202" t="s">
        <v>25</v>
      </c>
      <c r="J202" t="s">
        <v>25</v>
      </c>
      <c r="K202" t="s">
        <v>71</v>
      </c>
      <c r="L202" t="str">
        <f>IF(TRIM(K202)="","Unknown",PROPER(TRIM(K202)))</f>
        <v>West</v>
      </c>
      <c r="M202" t="s">
        <v>81</v>
      </c>
      <c r="N202" t="s">
        <v>82</v>
      </c>
      <c r="O202" t="s">
        <v>44</v>
      </c>
      <c r="P202" t="str">
        <f>IF(TRIM(O202)="","Unknown",PROPER(TRIM(O202)))</f>
        <v>Furniture</v>
      </c>
      <c r="Q202" t="s">
        <v>63</v>
      </c>
      <c r="R202" t="s">
        <v>1533</v>
      </c>
      <c r="S202" t="s">
        <v>32</v>
      </c>
      <c r="T202" t="str">
        <f>IF(TRIM(S202)="","Unknown",PROPER(TRIM(S202)))</f>
        <v>Second Class</v>
      </c>
      <c r="U202">
        <v>2</v>
      </c>
      <c r="V202">
        <v>2765.3</v>
      </c>
      <c r="W202">
        <v>0</v>
      </c>
      <c r="Y202">
        <v>0</v>
      </c>
      <c r="Z202">
        <v>5530.6</v>
      </c>
      <c r="AA202">
        <v>4453.1099999999997</v>
      </c>
      <c r="AB202">
        <v>1077.49</v>
      </c>
      <c r="AC202" t="s">
        <v>33</v>
      </c>
      <c r="AD202" t="s">
        <v>34</v>
      </c>
      <c r="AE202">
        <f>ROUND((U202*V202)-(U202*V202*Y202),2)</f>
        <v>5530.6</v>
      </c>
      <c r="AF202">
        <f>AE202-AA202</f>
        <v>1077.4900000000007</v>
      </c>
      <c r="AG202" s="7">
        <f>ROUND((AF202/AE202),4)</f>
        <v>0.1948</v>
      </c>
      <c r="AH202">
        <f>IF(AND(C202&lt;&gt;"",E202&lt;&gt;""),E202 - C202,"")</f>
        <v>8</v>
      </c>
      <c r="AI202" t="str">
        <f>IF(C202="","",TEXT(C202, "mmmm"))</f>
        <v>September</v>
      </c>
      <c r="AJ202">
        <f>IF(C202="","",YEAR(C202))</f>
        <v>2024</v>
      </c>
      <c r="AM202" t="str">
        <f>IF(AN202="","clean","")</f>
        <v>clean</v>
      </c>
      <c r="AN202" t="s">
        <v>3595</v>
      </c>
    </row>
    <row r="203" spans="1:40">
      <c r="A203" t="s">
        <v>1538</v>
      </c>
      <c r="B203" t="s">
        <v>1539</v>
      </c>
      <c r="C203" s="6">
        <v>45627</v>
      </c>
      <c r="D203" t="s">
        <v>1288</v>
      </c>
      <c r="E203" s="6">
        <v>45634</v>
      </c>
      <c r="F203" t="s">
        <v>1540</v>
      </c>
      <c r="G203" t="s">
        <v>153</v>
      </c>
      <c r="H203" t="s">
        <v>153</v>
      </c>
      <c r="I203" t="s">
        <v>40</v>
      </c>
      <c r="J203" t="s">
        <v>40</v>
      </c>
      <c r="K203" t="s">
        <v>71</v>
      </c>
      <c r="L203" t="str">
        <f>IF(TRIM(K203)="","Unknown",PROPER(TRIM(K203)))</f>
        <v>West</v>
      </c>
      <c r="M203" t="s">
        <v>230</v>
      </c>
      <c r="N203" t="s">
        <v>231</v>
      </c>
      <c r="O203" t="s">
        <v>44</v>
      </c>
      <c r="P203" t="str">
        <f>IF(TRIM(O203)="","Unknown",PROPER(TRIM(O203)))</f>
        <v>Furniture</v>
      </c>
      <c r="Q203" t="s">
        <v>74</v>
      </c>
      <c r="R203" t="s">
        <v>1541</v>
      </c>
      <c r="S203" t="s">
        <v>32</v>
      </c>
      <c r="T203" t="str">
        <f>IF(TRIM(S203)="","Unknown",PROPER(TRIM(S203)))</f>
        <v>Second Class</v>
      </c>
      <c r="U203">
        <v>5</v>
      </c>
      <c r="V203">
        <v>2981.49</v>
      </c>
      <c r="W203">
        <v>0.2</v>
      </c>
      <c r="Y203">
        <v>0.2</v>
      </c>
      <c r="Z203">
        <v>11925.96</v>
      </c>
      <c r="AA203">
        <v>10103.51</v>
      </c>
      <c r="AB203">
        <v>1822.45</v>
      </c>
      <c r="AC203" t="s">
        <v>119</v>
      </c>
      <c r="AD203" t="s">
        <v>120</v>
      </c>
      <c r="AE203">
        <f>ROUND((U203*V203)-(U203*V203*Y203),2)</f>
        <v>11925.96</v>
      </c>
      <c r="AF203">
        <f>AE203-AA203</f>
        <v>1822.4499999999989</v>
      </c>
      <c r="AG203" s="7">
        <f>ROUND((AF203/AE203),4)</f>
        <v>0.15279999999999999</v>
      </c>
      <c r="AH203">
        <f>IF(AND(C203&lt;&gt;"",E203&lt;&gt;""),E203 - C203,"")</f>
        <v>7</v>
      </c>
      <c r="AI203" t="str">
        <f>IF(C203="","",TEXT(C203, "mmmm"))</f>
        <v>December</v>
      </c>
      <c r="AJ203">
        <f>IF(C203="","",YEAR(C203))</f>
        <v>2024</v>
      </c>
      <c r="AM203" t="str">
        <f>IF(AN203="","clean","")</f>
        <v>clean</v>
      </c>
      <c r="AN203" t="s">
        <v>3595</v>
      </c>
    </row>
    <row r="204" spans="1:40">
      <c r="A204" t="s">
        <v>1542</v>
      </c>
      <c r="B204" t="s">
        <v>3758</v>
      </c>
      <c r="C204" s="6">
        <v>45445</v>
      </c>
      <c r="D204" t="s">
        <v>1543</v>
      </c>
      <c r="E204" s="6">
        <v>45450</v>
      </c>
      <c r="F204" t="s">
        <v>1544</v>
      </c>
      <c r="G204" t="s">
        <v>153</v>
      </c>
      <c r="H204" t="s">
        <v>153</v>
      </c>
      <c r="I204" t="s">
        <v>104</v>
      </c>
      <c r="J204" t="s">
        <v>104</v>
      </c>
      <c r="K204" t="s">
        <v>60</v>
      </c>
      <c r="L204" t="str">
        <f>IF(TRIM(K204)="","Unknown",PROPER(TRIM(K204)))</f>
        <v>South</v>
      </c>
      <c r="M204" t="s">
        <v>212</v>
      </c>
      <c r="N204" t="s">
        <v>213</v>
      </c>
      <c r="O204" t="s">
        <v>83</v>
      </c>
      <c r="P204" t="str">
        <f>IF(TRIM(O204)="","Unknown",PROPER(TRIM(O204)))</f>
        <v>Technology</v>
      </c>
      <c r="Q204" t="s">
        <v>207</v>
      </c>
      <c r="R204" t="s">
        <v>1545</v>
      </c>
      <c r="S204" t="s">
        <v>47</v>
      </c>
      <c r="T204" t="str">
        <f>IF(TRIM(S204)="","Unknown",PROPER(TRIM(S204)))</f>
        <v>Same Day</v>
      </c>
      <c r="U204">
        <v>9</v>
      </c>
      <c r="V204">
        <v>2860.26</v>
      </c>
      <c r="W204">
        <v>0.25</v>
      </c>
      <c r="Y204">
        <v>0.25</v>
      </c>
      <c r="Z204">
        <v>19306.759999999998</v>
      </c>
      <c r="AA204">
        <v>14442.38</v>
      </c>
      <c r="AB204">
        <v>4864.38</v>
      </c>
      <c r="AC204" t="s">
        <v>33</v>
      </c>
      <c r="AD204" t="s">
        <v>34</v>
      </c>
      <c r="AE204">
        <f>ROUND((U204*V204)-(U204*V204*Y204),2)</f>
        <v>19306.759999999998</v>
      </c>
      <c r="AF204">
        <f>AE204-AA204</f>
        <v>4864.3799999999992</v>
      </c>
      <c r="AG204" s="7">
        <f>ROUND((AF204/AE204),4)</f>
        <v>0.252</v>
      </c>
      <c r="AH204">
        <f>IF(AND(C204&lt;&gt;"",E204&lt;&gt;""),E204 - C204,"")</f>
        <v>5</v>
      </c>
      <c r="AI204" t="str">
        <f>IF(C204="","",TEXT(C204, "mmmm"))</f>
        <v>June</v>
      </c>
      <c r="AJ204">
        <f>IF(C204="","",YEAR(C204))</f>
        <v>2024</v>
      </c>
      <c r="AM204" t="str">
        <f>IF(AN204="","clean","")</f>
        <v>clean</v>
      </c>
      <c r="AN204" t="s">
        <v>3595</v>
      </c>
    </row>
    <row r="205" spans="1:40">
      <c r="A205" t="s">
        <v>1549</v>
      </c>
      <c r="B205" t="s">
        <v>1550</v>
      </c>
      <c r="C205" s="6">
        <v>45298</v>
      </c>
      <c r="D205" t="s">
        <v>1551</v>
      </c>
      <c r="E205" s="6">
        <v>45305</v>
      </c>
      <c r="F205" t="s">
        <v>1552</v>
      </c>
      <c r="G205" t="s">
        <v>158</v>
      </c>
      <c r="H205" t="s">
        <v>158</v>
      </c>
      <c r="I205" t="s">
        <v>40</v>
      </c>
      <c r="J205" t="s">
        <v>40</v>
      </c>
      <c r="K205" t="s">
        <v>41</v>
      </c>
      <c r="L205" t="str">
        <f>IF(TRIM(K205)="","Unknown",PROPER(TRIM(K205)))</f>
        <v>East</v>
      </c>
      <c r="M205" t="s">
        <v>284</v>
      </c>
      <c r="N205" t="s">
        <v>285</v>
      </c>
      <c r="O205" t="s">
        <v>44</v>
      </c>
      <c r="P205" t="str">
        <f>IF(TRIM(O205)="","Unknown",PROPER(TRIM(O205)))</f>
        <v>Furniture</v>
      </c>
      <c r="Q205" t="s">
        <v>63</v>
      </c>
      <c r="R205" t="s">
        <v>1553</v>
      </c>
      <c r="S205" t="s">
        <v>32</v>
      </c>
      <c r="T205" t="str">
        <f>IF(TRIM(S205)="","Unknown",PROPER(TRIM(S205)))</f>
        <v>Second Class</v>
      </c>
      <c r="U205">
        <v>4</v>
      </c>
      <c r="V205">
        <v>3309.54</v>
      </c>
      <c r="W205">
        <v>0.1</v>
      </c>
      <c r="Y205">
        <v>0.1</v>
      </c>
      <c r="Z205">
        <v>11914.34</v>
      </c>
      <c r="AA205">
        <v>9771.24</v>
      </c>
      <c r="AB205">
        <v>2143.1</v>
      </c>
      <c r="AC205" t="s">
        <v>119</v>
      </c>
      <c r="AD205" t="s">
        <v>120</v>
      </c>
      <c r="AE205">
        <f>ROUND((U205*V205)-(U205*V205*Y205),2)</f>
        <v>11914.34</v>
      </c>
      <c r="AF205">
        <f>AE205-AA205</f>
        <v>2143.1000000000004</v>
      </c>
      <c r="AG205" s="7">
        <f>ROUND((AF205/AE205),4)</f>
        <v>0.1799</v>
      </c>
      <c r="AH205">
        <f>IF(AND(C205&lt;&gt;"",E205&lt;&gt;""),E205 - C205,"")</f>
        <v>7</v>
      </c>
      <c r="AI205" t="str">
        <f>IF(C205="","",TEXT(C205, "mmmm"))</f>
        <v>January</v>
      </c>
      <c r="AJ205">
        <f>IF(C205="","",YEAR(C205))</f>
        <v>2024</v>
      </c>
      <c r="AM205" t="str">
        <f>IF(AN205="","clean","")</f>
        <v>clean</v>
      </c>
      <c r="AN205" t="s">
        <v>3595</v>
      </c>
    </row>
    <row r="206" spans="1:40">
      <c r="A206" t="s">
        <v>1564</v>
      </c>
      <c r="B206" t="s">
        <v>3609</v>
      </c>
      <c r="C206" s="6">
        <v>45653</v>
      </c>
      <c r="D206" t="s">
        <v>1565</v>
      </c>
      <c r="E206" s="6">
        <v>45657</v>
      </c>
      <c r="F206" t="s">
        <v>1566</v>
      </c>
      <c r="G206" t="s">
        <v>334</v>
      </c>
      <c r="H206" t="s">
        <v>334</v>
      </c>
      <c r="I206" t="s">
        <v>1567</v>
      </c>
      <c r="J206" t="s">
        <v>1567</v>
      </c>
      <c r="K206" t="s">
        <v>26</v>
      </c>
      <c r="L206" t="str">
        <f>IF(TRIM(K206)="","Unknown",PROPER(TRIM(K206)))</f>
        <v>North</v>
      </c>
      <c r="M206" t="s">
        <v>146</v>
      </c>
      <c r="N206" t="s">
        <v>147</v>
      </c>
      <c r="O206" t="s">
        <v>44</v>
      </c>
      <c r="P206" t="str">
        <f>IF(TRIM(O206)="","Unknown",PROPER(TRIM(O206)))</f>
        <v>Furniture</v>
      </c>
      <c r="Q206" t="s">
        <v>63</v>
      </c>
      <c r="R206" t="s">
        <v>1568</v>
      </c>
      <c r="S206" t="s">
        <v>65</v>
      </c>
      <c r="T206" t="str">
        <f>IF(TRIM(S206)="","Unknown",PROPER(TRIM(S206)))</f>
        <v>Standard Class</v>
      </c>
      <c r="U206">
        <v>6</v>
      </c>
      <c r="V206">
        <v>3346.78</v>
      </c>
      <c r="W206">
        <v>-0.06</v>
      </c>
      <c r="Y206">
        <v>0</v>
      </c>
      <c r="Z206">
        <v>20080.68</v>
      </c>
      <c r="AA206">
        <v>12908.84</v>
      </c>
      <c r="AB206">
        <v>7171.84</v>
      </c>
      <c r="AC206" t="s">
        <v>131</v>
      </c>
      <c r="AD206" t="s">
        <v>76</v>
      </c>
      <c r="AE206">
        <f>ROUND((U206*V206)-(U206*V206*Y206),2)</f>
        <v>20080.68</v>
      </c>
      <c r="AF206">
        <f>AE206-AA206</f>
        <v>7171.84</v>
      </c>
      <c r="AG206" s="7">
        <f>ROUND((AF206/AE206),4)</f>
        <v>0.35720000000000002</v>
      </c>
      <c r="AH206">
        <f>IF(AND(C206&lt;&gt;"",E206&lt;&gt;""),E206 - C206,"")</f>
        <v>4</v>
      </c>
      <c r="AI206" t="str">
        <f>IF(C206="","",TEXT(C206, "mmmm"))</f>
        <v>December</v>
      </c>
      <c r="AJ206">
        <f>IF(C206="","",YEAR(C206))</f>
        <v>2024</v>
      </c>
      <c r="AM206" t="s">
        <v>4145</v>
      </c>
      <c r="AN206" t="s">
        <v>3596</v>
      </c>
    </row>
    <row r="207" spans="1:40">
      <c r="A207" t="s">
        <v>1569</v>
      </c>
      <c r="B207" t="s">
        <v>1570</v>
      </c>
      <c r="C207" s="6">
        <v>45424</v>
      </c>
      <c r="D207" t="s">
        <v>1571</v>
      </c>
      <c r="E207" s="6">
        <v>45421</v>
      </c>
      <c r="F207" t="s">
        <v>1572</v>
      </c>
      <c r="G207" t="s">
        <v>136</v>
      </c>
      <c r="H207" t="s">
        <v>136</v>
      </c>
      <c r="I207" t="s">
        <v>104</v>
      </c>
      <c r="J207" t="s">
        <v>104</v>
      </c>
      <c r="K207" t="s">
        <v>71</v>
      </c>
      <c r="L207" t="str">
        <f>IF(TRIM(K207)="","Unknown",PROPER(TRIM(K207)))</f>
        <v>West</v>
      </c>
      <c r="M207" t="s">
        <v>27</v>
      </c>
      <c r="N207" t="s">
        <v>129</v>
      </c>
      <c r="O207" t="s">
        <v>44</v>
      </c>
      <c r="P207" t="str">
        <f>IF(TRIM(O207)="","Unknown",PROPER(TRIM(O207)))</f>
        <v>Furniture</v>
      </c>
      <c r="Q207" t="s">
        <v>45</v>
      </c>
      <c r="R207" t="s">
        <v>1573</v>
      </c>
      <c r="S207" t="s">
        <v>65</v>
      </c>
      <c r="T207" t="str">
        <f>IF(TRIM(S207)="","Unknown",PROPER(TRIM(S207)))</f>
        <v>Standard Class</v>
      </c>
      <c r="U207">
        <v>5</v>
      </c>
      <c r="V207">
        <v>3203.48</v>
      </c>
      <c r="W207">
        <v>0</v>
      </c>
      <c r="Y207">
        <v>0</v>
      </c>
      <c r="Z207">
        <v>16017.4</v>
      </c>
      <c r="AA207">
        <v>9557.7999999999993</v>
      </c>
      <c r="AB207">
        <v>6459.6</v>
      </c>
      <c r="AC207" t="s">
        <v>131</v>
      </c>
      <c r="AD207" t="s">
        <v>76</v>
      </c>
      <c r="AE207">
        <f>ROUND((U207*V207)-(U207*V207*Y207),2)</f>
        <v>16017.4</v>
      </c>
      <c r="AF207">
        <f>AE207-AA207</f>
        <v>6459.6</v>
      </c>
      <c r="AG207" s="7">
        <f>ROUND((AF207/AE207),4)</f>
        <v>0.40329999999999999</v>
      </c>
      <c r="AH207">
        <f>IF(AND(C207&lt;&gt;"",E207&lt;&gt;""),E207 - C207,"")</f>
        <v>-3</v>
      </c>
      <c r="AI207" t="str">
        <f>IF(C207="","",TEXT(C207, "mmmm"))</f>
        <v>May</v>
      </c>
      <c r="AJ207">
        <f>IF(C207="","",YEAR(C207))</f>
        <v>2024</v>
      </c>
      <c r="AM207" t="s">
        <v>4145</v>
      </c>
      <c r="AN207" t="s">
        <v>4140</v>
      </c>
    </row>
    <row r="208" spans="1:40">
      <c r="A208" t="s">
        <v>1586</v>
      </c>
      <c r="B208" t="s">
        <v>1431</v>
      </c>
      <c r="C208" s="6">
        <v>45525</v>
      </c>
      <c r="D208" t="s">
        <v>1587</v>
      </c>
      <c r="F208" t="s">
        <v>1588</v>
      </c>
      <c r="G208" t="s">
        <v>52</v>
      </c>
      <c r="H208" t="s">
        <v>52</v>
      </c>
      <c r="I208" t="s">
        <v>25</v>
      </c>
      <c r="J208" t="s">
        <v>25</v>
      </c>
      <c r="K208" t="s">
        <v>60</v>
      </c>
      <c r="L208" t="str">
        <f>IF(TRIM(K208)="","Unknown",PROPER(TRIM(K208)))</f>
        <v>South</v>
      </c>
      <c r="M208" t="s">
        <v>309</v>
      </c>
      <c r="N208" t="s">
        <v>310</v>
      </c>
      <c r="O208" t="s">
        <v>83</v>
      </c>
      <c r="P208" t="str">
        <f>IF(TRIM(O208)="","Unknown",PROPER(TRIM(O208)))</f>
        <v>Technology</v>
      </c>
      <c r="Q208" t="s">
        <v>207</v>
      </c>
      <c r="R208" t="s">
        <v>1589</v>
      </c>
      <c r="S208" t="s">
        <v>47</v>
      </c>
      <c r="T208" t="str">
        <f>IF(TRIM(S208)="","Unknown",PROPER(TRIM(S208)))</f>
        <v>Same Day</v>
      </c>
      <c r="U208">
        <v>9</v>
      </c>
      <c r="V208">
        <v>616.96</v>
      </c>
      <c r="W208">
        <v>0.1</v>
      </c>
      <c r="Y208">
        <v>0.1</v>
      </c>
      <c r="Z208">
        <v>4997.38</v>
      </c>
      <c r="AA208">
        <v>2971.39</v>
      </c>
      <c r="AB208">
        <v>2025.99</v>
      </c>
      <c r="AC208" t="s">
        <v>33</v>
      </c>
      <c r="AD208" t="s">
        <v>34</v>
      </c>
      <c r="AE208">
        <f>ROUND((U208*V208)-(U208*V208*Y208),2)</f>
        <v>4997.38</v>
      </c>
      <c r="AF208">
        <f>AE208-AA208</f>
        <v>2025.9900000000002</v>
      </c>
      <c r="AG208" s="7">
        <f>ROUND((AF208/AE208),4)</f>
        <v>0.40539999999999998</v>
      </c>
      <c r="AH208" t="str">
        <f>IF(AND(C208&lt;&gt;"",E208&lt;&gt;""),E208 - C208,"")</f>
        <v/>
      </c>
      <c r="AI208" t="str">
        <f>IF(C208="","",TEXT(C208, "mmmm"))</f>
        <v>August</v>
      </c>
      <c r="AJ208">
        <f>IF(C208="","",YEAR(C208))</f>
        <v>2024</v>
      </c>
      <c r="AM208" t="s">
        <v>4144</v>
      </c>
      <c r="AN208" t="s">
        <v>4136</v>
      </c>
    </row>
    <row r="209" spans="1:40">
      <c r="A209" t="s">
        <v>1590</v>
      </c>
      <c r="B209" t="s">
        <v>3819</v>
      </c>
      <c r="C209" s="6">
        <v>45460</v>
      </c>
      <c r="D209" t="s">
        <v>1591</v>
      </c>
      <c r="E209" s="6">
        <v>45463</v>
      </c>
      <c r="F209" t="s">
        <v>1592</v>
      </c>
      <c r="G209" t="s">
        <v>158</v>
      </c>
      <c r="H209" t="s">
        <v>158</v>
      </c>
      <c r="I209" t="s">
        <v>40</v>
      </c>
      <c r="J209" t="s">
        <v>40</v>
      </c>
      <c r="K209" t="s">
        <v>71</v>
      </c>
      <c r="L209" t="str">
        <f>IF(TRIM(K209)="","Unknown",PROPER(TRIM(K209)))</f>
        <v>West</v>
      </c>
      <c r="M209" t="s">
        <v>218</v>
      </c>
      <c r="N209" t="s">
        <v>219</v>
      </c>
      <c r="O209" t="s">
        <v>44</v>
      </c>
      <c r="P209" t="str">
        <f>IF(TRIM(O209)="","Unknown",PROPER(TRIM(O209)))</f>
        <v>Furniture</v>
      </c>
      <c r="Q209" t="s">
        <v>63</v>
      </c>
      <c r="R209" t="s">
        <v>1593</v>
      </c>
      <c r="S209" t="s">
        <v>65</v>
      </c>
      <c r="T209" t="str">
        <f>IF(TRIM(S209)="","Unknown",PROPER(TRIM(S209)))</f>
        <v>Standard Class</v>
      </c>
      <c r="U209">
        <v>7</v>
      </c>
      <c r="V209">
        <v>3155.25</v>
      </c>
      <c r="W209">
        <v>0.2</v>
      </c>
      <c r="Y209">
        <v>0.2</v>
      </c>
      <c r="Z209">
        <v>17669.400000000001</v>
      </c>
      <c r="AA209">
        <v>13718.77</v>
      </c>
      <c r="AB209">
        <v>3950.63</v>
      </c>
      <c r="AC209" t="s">
        <v>119</v>
      </c>
      <c r="AD209" t="s">
        <v>76</v>
      </c>
      <c r="AE209">
        <f>ROUND((U209*V209)-(U209*V209*Y209),2)</f>
        <v>17669.400000000001</v>
      </c>
      <c r="AF209">
        <f>AE209-AA209</f>
        <v>3950.630000000001</v>
      </c>
      <c r="AG209" s="7">
        <f>ROUND((AF209/AE209),4)</f>
        <v>0.22359999999999999</v>
      </c>
      <c r="AH209">
        <f>IF(AND(C209&lt;&gt;"",E209&lt;&gt;""),E209 - C209,"")</f>
        <v>3</v>
      </c>
      <c r="AI209" t="str">
        <f>IF(C209="","",TEXT(C209, "mmmm"))</f>
        <v>June</v>
      </c>
      <c r="AJ209">
        <f>IF(C209="","",YEAR(C209))</f>
        <v>2024</v>
      </c>
      <c r="AM209" t="str">
        <f>IF(AN209="","clean","")</f>
        <v>clean</v>
      </c>
      <c r="AN209" t="s">
        <v>3595</v>
      </c>
    </row>
    <row r="210" spans="1:40">
      <c r="A210" t="s">
        <v>1598</v>
      </c>
      <c r="B210" t="s">
        <v>3820</v>
      </c>
      <c r="C210" s="6">
        <v>45527</v>
      </c>
      <c r="D210" t="s">
        <v>1599</v>
      </c>
      <c r="F210" t="s">
        <v>1600</v>
      </c>
      <c r="G210" t="s">
        <v>80</v>
      </c>
      <c r="H210" t="s">
        <v>80</v>
      </c>
      <c r="I210" t="s">
        <v>25</v>
      </c>
      <c r="J210" t="s">
        <v>25</v>
      </c>
      <c r="K210" t="s">
        <v>71</v>
      </c>
      <c r="L210" t="str">
        <f>IF(TRIM(K210)="","Unknown",PROPER(TRIM(K210)))</f>
        <v>West</v>
      </c>
      <c r="M210" t="s">
        <v>230</v>
      </c>
      <c r="N210" t="s">
        <v>231</v>
      </c>
      <c r="O210" t="s">
        <v>83</v>
      </c>
      <c r="P210" t="str">
        <f>IF(TRIM(O210)="","Unknown",PROPER(TRIM(O210)))</f>
        <v>Technology</v>
      </c>
      <c r="Q210" t="s">
        <v>347</v>
      </c>
      <c r="R210" t="s">
        <v>1601</v>
      </c>
      <c r="S210" t="s">
        <v>47</v>
      </c>
      <c r="T210" t="str">
        <f>IF(TRIM(S210)="","Unknown",PROPER(TRIM(S210)))</f>
        <v>Same Day</v>
      </c>
      <c r="U210">
        <v>4</v>
      </c>
      <c r="V210">
        <v>491.16</v>
      </c>
      <c r="W210">
        <v>0.05</v>
      </c>
      <c r="Y210">
        <v>0.05</v>
      </c>
      <c r="Z210">
        <v>1866.41</v>
      </c>
      <c r="AA210">
        <v>1576.49</v>
      </c>
      <c r="AB210">
        <v>289.92</v>
      </c>
      <c r="AC210" t="s">
        <v>33</v>
      </c>
      <c r="AD210" t="s">
        <v>34</v>
      </c>
      <c r="AE210">
        <f>ROUND((U210*V210)-(U210*V210*Y210),2)</f>
        <v>1866.41</v>
      </c>
      <c r="AF210">
        <f>AE210-AA210</f>
        <v>289.92000000000007</v>
      </c>
      <c r="AG210" s="7">
        <f>ROUND((AF210/AE210),4)</f>
        <v>0.15529999999999999</v>
      </c>
      <c r="AH210" t="str">
        <f>IF(AND(C210&lt;&gt;"",E210&lt;&gt;""),E210 - C210,"")</f>
        <v/>
      </c>
      <c r="AI210" t="str">
        <f>IF(C210="","",TEXT(C210, "mmmm"))</f>
        <v>August</v>
      </c>
      <c r="AJ210">
        <f>IF(C210="","",YEAR(C210))</f>
        <v>2024</v>
      </c>
      <c r="AM210" t="s">
        <v>4144</v>
      </c>
      <c r="AN210" t="s">
        <v>4136</v>
      </c>
    </row>
    <row r="211" spans="1:40">
      <c r="A211" t="s">
        <v>1610</v>
      </c>
      <c r="B211" t="s">
        <v>3823</v>
      </c>
      <c r="C211" s="6">
        <v>45458</v>
      </c>
      <c r="D211" t="s">
        <v>1611</v>
      </c>
      <c r="F211" t="s">
        <v>1612</v>
      </c>
      <c r="G211" t="s">
        <v>103</v>
      </c>
      <c r="H211" t="s">
        <v>103</v>
      </c>
      <c r="I211" t="s">
        <v>104</v>
      </c>
      <c r="J211" t="s">
        <v>104</v>
      </c>
      <c r="K211" t="s">
        <v>71</v>
      </c>
      <c r="L211" t="str">
        <f>IF(TRIM(K211)="","Unknown",PROPER(TRIM(K211)))</f>
        <v>West</v>
      </c>
      <c r="M211" t="s">
        <v>230</v>
      </c>
      <c r="N211" t="s">
        <v>231</v>
      </c>
      <c r="O211" t="s">
        <v>83</v>
      </c>
      <c r="P211" t="str">
        <f>IF(TRIM(O211)="","Unknown",PROPER(TRIM(O211)))</f>
        <v>Technology</v>
      </c>
      <c r="Q211" t="s">
        <v>84</v>
      </c>
      <c r="R211" t="s">
        <v>1613</v>
      </c>
      <c r="S211" t="s">
        <v>55</v>
      </c>
      <c r="T211" t="str">
        <f>IF(TRIM(S211)="","Unknown",PROPER(TRIM(S211)))</f>
        <v>First Class</v>
      </c>
      <c r="U211">
        <v>8</v>
      </c>
      <c r="V211">
        <v>1706.4</v>
      </c>
      <c r="Y211">
        <v>0.05</v>
      </c>
      <c r="Z211">
        <v>12968.64</v>
      </c>
      <c r="AA211">
        <v>10119.61</v>
      </c>
      <c r="AB211">
        <v>2849.03</v>
      </c>
      <c r="AC211" t="s">
        <v>33</v>
      </c>
      <c r="AD211" t="s">
        <v>34</v>
      </c>
      <c r="AE211">
        <f>ROUND((U211*V211)-(U211*V211*Y211),2)</f>
        <v>12968.64</v>
      </c>
      <c r="AF211">
        <f>AE211-AA211</f>
        <v>2849.0299999999988</v>
      </c>
      <c r="AG211" s="7">
        <f>ROUND((AF211/AE211),4)</f>
        <v>0.21970000000000001</v>
      </c>
      <c r="AH211" t="str">
        <f>IF(AND(C211&lt;&gt;"",E211&lt;&gt;""),E211 - C211,"")</f>
        <v/>
      </c>
      <c r="AI211" t="str">
        <f>IF(C211="","",TEXT(C211, "mmmm"))</f>
        <v>June</v>
      </c>
      <c r="AJ211">
        <f>IF(C211="","",YEAR(C211))</f>
        <v>2024</v>
      </c>
      <c r="AM211" t="s">
        <v>4144</v>
      </c>
      <c r="AN211" t="s">
        <v>4138</v>
      </c>
    </row>
    <row r="212" spans="1:40">
      <c r="A212" t="s">
        <v>1618</v>
      </c>
      <c r="B212" t="s">
        <v>3714</v>
      </c>
      <c r="C212" s="6">
        <v>45366</v>
      </c>
      <c r="D212" t="s">
        <v>1619</v>
      </c>
      <c r="E212" s="6">
        <v>45367</v>
      </c>
      <c r="F212" t="s">
        <v>1620</v>
      </c>
      <c r="G212" t="s">
        <v>169</v>
      </c>
      <c r="H212" t="s">
        <v>169</v>
      </c>
      <c r="I212" t="s">
        <v>25</v>
      </c>
      <c r="J212" t="s">
        <v>25</v>
      </c>
      <c r="K212" t="s">
        <v>26</v>
      </c>
      <c r="L212" t="str">
        <f>IF(TRIM(K212)="","Unknown",PROPER(TRIM(K212)))</f>
        <v>North</v>
      </c>
      <c r="M212" t="s">
        <v>454</v>
      </c>
      <c r="N212" t="s">
        <v>455</v>
      </c>
      <c r="O212" t="s">
        <v>29</v>
      </c>
      <c r="P212" t="str">
        <f>IF(TRIM(O212)="","Unknown",PROPER(TRIM(O212)))</f>
        <v>Office Supplies</v>
      </c>
      <c r="Q212" t="s">
        <v>53</v>
      </c>
      <c r="R212" t="s">
        <v>1621</v>
      </c>
      <c r="S212" t="s">
        <v>65</v>
      </c>
      <c r="T212" t="str">
        <f>IF(TRIM(S212)="","Unknown",PROPER(TRIM(S212)))</f>
        <v>Standard Class</v>
      </c>
      <c r="U212">
        <v>6</v>
      </c>
      <c r="V212">
        <v>3815.09</v>
      </c>
      <c r="W212">
        <v>0.15</v>
      </c>
      <c r="Y212">
        <v>0.15</v>
      </c>
      <c r="Z212">
        <v>19456.96</v>
      </c>
      <c r="AA212">
        <v>14520.06</v>
      </c>
      <c r="AB212">
        <v>4936.8999999999996</v>
      </c>
      <c r="AC212" t="s">
        <v>186</v>
      </c>
      <c r="AD212" t="s">
        <v>76</v>
      </c>
      <c r="AE212">
        <f>ROUND((U212*V212)-(U212*V212*Y212),2)</f>
        <v>19456.96</v>
      </c>
      <c r="AF212">
        <f>AE212-AA212</f>
        <v>4936.8999999999996</v>
      </c>
      <c r="AG212" s="7">
        <f>ROUND((AF212/AE212),4)</f>
        <v>0.25369999999999998</v>
      </c>
      <c r="AH212">
        <f>IF(AND(C212&lt;&gt;"",E212&lt;&gt;""),E212 - C212,"")</f>
        <v>1</v>
      </c>
      <c r="AI212" t="str">
        <f>IF(C212="","",TEXT(C212, "mmmm"))</f>
        <v>March</v>
      </c>
      <c r="AJ212">
        <f>IF(C212="","",YEAR(C212))</f>
        <v>2024</v>
      </c>
      <c r="AM212" t="str">
        <f>IF(AN212="","clean","")</f>
        <v>clean</v>
      </c>
      <c r="AN212" t="s">
        <v>3595</v>
      </c>
    </row>
    <row r="213" spans="1:40">
      <c r="A213" t="s">
        <v>1628</v>
      </c>
      <c r="B213" t="s">
        <v>3825</v>
      </c>
      <c r="C213" s="6">
        <v>45519</v>
      </c>
      <c r="D213" t="s">
        <v>1431</v>
      </c>
      <c r="E213" s="6">
        <v>45525</v>
      </c>
      <c r="F213" t="s">
        <v>1629</v>
      </c>
      <c r="G213" t="s">
        <v>70</v>
      </c>
      <c r="H213" t="s">
        <v>70</v>
      </c>
      <c r="I213" t="s">
        <v>40</v>
      </c>
      <c r="J213" t="s">
        <v>40</v>
      </c>
      <c r="K213" t="s">
        <v>71</v>
      </c>
      <c r="L213" t="str">
        <f>IF(TRIM(K213)="","Unknown",PROPER(TRIM(K213)))</f>
        <v>West</v>
      </c>
      <c r="M213" t="s">
        <v>27</v>
      </c>
      <c r="N213" t="s">
        <v>129</v>
      </c>
      <c r="O213" t="s">
        <v>83</v>
      </c>
      <c r="P213" t="str">
        <f>IF(TRIM(O213)="","Unknown",PROPER(TRIM(O213)))</f>
        <v>Technology</v>
      </c>
      <c r="Q213" t="s">
        <v>91</v>
      </c>
      <c r="R213" t="s">
        <v>1630</v>
      </c>
      <c r="S213" t="s">
        <v>55</v>
      </c>
      <c r="T213" t="str">
        <f>IF(TRIM(S213)="","Unknown",PROPER(TRIM(S213)))</f>
        <v>First Class</v>
      </c>
      <c r="U213">
        <v>7</v>
      </c>
      <c r="V213">
        <v>2333.81</v>
      </c>
      <c r="W213">
        <v>0.2</v>
      </c>
      <c r="Y213">
        <v>0.2</v>
      </c>
      <c r="Z213">
        <v>13069.34</v>
      </c>
      <c r="AA213">
        <v>8768.59</v>
      </c>
      <c r="AB213">
        <v>4300.75</v>
      </c>
      <c r="AC213" t="s">
        <v>33</v>
      </c>
      <c r="AD213" t="s">
        <v>34</v>
      </c>
      <c r="AE213">
        <f>ROUND((U213*V213)-(U213*V213*Y213),2)</f>
        <v>13069.34</v>
      </c>
      <c r="AF213">
        <f>AE213-AA213</f>
        <v>4300.75</v>
      </c>
      <c r="AG213" s="7">
        <f>ROUND((AF213/AE213),4)</f>
        <v>0.3291</v>
      </c>
      <c r="AH213">
        <f>IF(AND(C213&lt;&gt;"",E213&lt;&gt;""),E213 - C213,"")</f>
        <v>6</v>
      </c>
      <c r="AI213" t="str">
        <f>IF(C213="","",TEXT(C213, "mmmm"))</f>
        <v>August</v>
      </c>
      <c r="AJ213">
        <f>IF(C213="","",YEAR(C213))</f>
        <v>2024</v>
      </c>
      <c r="AM213" t="str">
        <f>IF(AN213="","clean","")</f>
        <v>clean</v>
      </c>
      <c r="AN213" t="s">
        <v>3595</v>
      </c>
    </row>
    <row r="214" spans="1:40">
      <c r="A214" t="s">
        <v>1631</v>
      </c>
      <c r="B214" t="s">
        <v>935</v>
      </c>
      <c r="D214" t="s">
        <v>1632</v>
      </c>
      <c r="E214" s="6">
        <v>45315</v>
      </c>
      <c r="F214" t="s">
        <v>1633</v>
      </c>
      <c r="G214" t="s">
        <v>196</v>
      </c>
      <c r="H214" t="s">
        <v>196</v>
      </c>
      <c r="I214" t="s">
        <v>110</v>
      </c>
      <c r="J214" t="s">
        <v>110</v>
      </c>
      <c r="K214" t="s">
        <v>71</v>
      </c>
      <c r="L214" t="str">
        <f>IF(TRIM(K214)="","Unknown",PROPER(TRIM(K214)))</f>
        <v>West</v>
      </c>
      <c r="M214" t="s">
        <v>72</v>
      </c>
      <c r="N214" t="s">
        <v>73</v>
      </c>
      <c r="O214" t="s">
        <v>29</v>
      </c>
      <c r="P214" t="str">
        <f>IF(TRIM(O214)="","Unknown",PROPER(TRIM(O214)))</f>
        <v>Office Supplies</v>
      </c>
      <c r="Q214" t="s">
        <v>53</v>
      </c>
      <c r="R214" t="s">
        <v>1634</v>
      </c>
      <c r="S214" t="s">
        <v>65</v>
      </c>
      <c r="T214" t="str">
        <f>IF(TRIM(S214)="","Unknown",PROPER(TRIM(S214)))</f>
        <v>Standard Class</v>
      </c>
      <c r="U214">
        <v>6</v>
      </c>
      <c r="V214">
        <v>1026.06</v>
      </c>
      <c r="Y214">
        <v>0.25</v>
      </c>
      <c r="Z214">
        <v>4617.2700000000004</v>
      </c>
      <c r="AA214">
        <v>2981.94</v>
      </c>
      <c r="AB214">
        <v>1635.33</v>
      </c>
      <c r="AC214" t="s">
        <v>119</v>
      </c>
      <c r="AD214" t="s">
        <v>76</v>
      </c>
      <c r="AE214">
        <f>ROUND((U214*V214)-(U214*V214*Y214),2)</f>
        <v>4617.2700000000004</v>
      </c>
      <c r="AF214">
        <f>AE214-AA214</f>
        <v>1635.3300000000004</v>
      </c>
      <c r="AG214" s="7">
        <f>ROUND((AF214/AE214),4)</f>
        <v>0.35420000000000001</v>
      </c>
      <c r="AH214" t="str">
        <f>IF(AND(C214&lt;&gt;"",E214&lt;&gt;""),E214 - C214,"")</f>
        <v/>
      </c>
      <c r="AI214" t="str">
        <f>IF(C214="","",TEXT(C214, "mmmm"))</f>
        <v/>
      </c>
      <c r="AJ214" t="str">
        <f>IF(C214="","",YEAR(C214))</f>
        <v/>
      </c>
      <c r="AM214" t="s">
        <v>4144</v>
      </c>
      <c r="AN214" t="s">
        <v>4126</v>
      </c>
    </row>
    <row r="215" spans="1:40">
      <c r="A215" t="s">
        <v>1646</v>
      </c>
      <c r="B215" t="s">
        <v>1647</v>
      </c>
      <c r="D215" t="s">
        <v>1648</v>
      </c>
      <c r="E215" s="6">
        <v>45661</v>
      </c>
      <c r="F215" t="s">
        <v>1649</v>
      </c>
      <c r="G215" t="s">
        <v>80</v>
      </c>
      <c r="H215" t="s">
        <v>80</v>
      </c>
      <c r="I215" t="s">
        <v>25</v>
      </c>
      <c r="J215" t="s">
        <v>25</v>
      </c>
      <c r="K215" t="s">
        <v>26</v>
      </c>
      <c r="L215" t="str">
        <f>IF(TRIM(K215)="","Unknown",PROPER(TRIM(K215)))</f>
        <v>North</v>
      </c>
      <c r="M215" t="s">
        <v>454</v>
      </c>
      <c r="N215" t="s">
        <v>455</v>
      </c>
      <c r="O215" t="s">
        <v>44</v>
      </c>
      <c r="P215" t="str">
        <f>IF(TRIM(O215)="","Unknown",PROPER(TRIM(O215)))</f>
        <v>Furniture</v>
      </c>
      <c r="Q215" t="s">
        <v>74</v>
      </c>
      <c r="R215" t="s">
        <v>1650</v>
      </c>
      <c r="S215" t="s">
        <v>47</v>
      </c>
      <c r="T215" t="str">
        <f>IF(TRIM(S215)="","Unknown",PROPER(TRIM(S215)))</f>
        <v>Same Day</v>
      </c>
      <c r="U215">
        <v>3</v>
      </c>
      <c r="V215">
        <v>1166.6099999999999</v>
      </c>
      <c r="W215">
        <v>0.25</v>
      </c>
      <c r="Y215">
        <v>0.25</v>
      </c>
      <c r="Z215">
        <v>2624.87</v>
      </c>
      <c r="AA215">
        <v>2253.88</v>
      </c>
      <c r="AB215">
        <v>370.99</v>
      </c>
      <c r="AC215" t="s">
        <v>33</v>
      </c>
      <c r="AD215" t="s">
        <v>34</v>
      </c>
      <c r="AE215">
        <f>ROUND((U215*V215)-(U215*V215*Y215),2)</f>
        <v>2624.87</v>
      </c>
      <c r="AF215">
        <f>AE215-AA215</f>
        <v>370.98999999999978</v>
      </c>
      <c r="AG215" s="7">
        <f>ROUND((AF215/AE215),4)</f>
        <v>0.14130000000000001</v>
      </c>
      <c r="AH215" t="str">
        <f>IF(AND(C215&lt;&gt;"",E215&lt;&gt;""),E215 - C215,"")</f>
        <v/>
      </c>
      <c r="AI215" t="str">
        <f>IF(C215="","",TEXT(C215, "mmmm"))</f>
        <v/>
      </c>
      <c r="AJ215" t="str">
        <f>IF(C215="","",YEAR(C215))</f>
        <v/>
      </c>
      <c r="AM215" t="s">
        <v>4144</v>
      </c>
      <c r="AN215" t="s">
        <v>4127</v>
      </c>
    </row>
    <row r="216" spans="1:40">
      <c r="A216" t="s">
        <v>1651</v>
      </c>
      <c r="B216" t="s">
        <v>3827</v>
      </c>
      <c r="D216" t="s">
        <v>1565</v>
      </c>
      <c r="E216" s="6">
        <v>45657</v>
      </c>
      <c r="F216" t="s">
        <v>1652</v>
      </c>
      <c r="G216" t="s">
        <v>52</v>
      </c>
      <c r="H216" t="s">
        <v>52</v>
      </c>
      <c r="I216" t="s">
        <v>40</v>
      </c>
      <c r="J216" t="s">
        <v>40</v>
      </c>
      <c r="K216" t="s">
        <v>41</v>
      </c>
      <c r="L216" t="str">
        <f>IF(TRIM(K216)="","Unknown",PROPER(TRIM(K216)))</f>
        <v>East</v>
      </c>
      <c r="M216" t="s">
        <v>174</v>
      </c>
      <c r="N216" t="s">
        <v>175</v>
      </c>
      <c r="O216" t="s">
        <v>44</v>
      </c>
      <c r="P216" t="str">
        <f>IF(TRIM(O216)="","Unknown",PROPER(TRIM(O216)))</f>
        <v>Furniture</v>
      </c>
      <c r="Q216" t="s">
        <v>74</v>
      </c>
      <c r="R216" t="s">
        <v>1653</v>
      </c>
      <c r="S216" t="s">
        <v>55</v>
      </c>
      <c r="T216" t="str">
        <f>IF(TRIM(S216)="","Unknown",PROPER(TRIM(S216)))</f>
        <v>First Class</v>
      </c>
      <c r="U216">
        <v>6</v>
      </c>
      <c r="V216">
        <v>1844.78</v>
      </c>
      <c r="W216">
        <v>0.2</v>
      </c>
      <c r="Y216">
        <v>0.2</v>
      </c>
      <c r="Z216">
        <v>8854.94</v>
      </c>
      <c r="AA216">
        <v>7433.95</v>
      </c>
      <c r="AB216">
        <v>1420.99</v>
      </c>
      <c r="AC216" t="s">
        <v>33</v>
      </c>
      <c r="AD216" t="s">
        <v>34</v>
      </c>
      <c r="AE216">
        <f>ROUND((U216*V216)-(U216*V216*Y216),2)</f>
        <v>8854.94</v>
      </c>
      <c r="AF216">
        <f>AE216-AA216</f>
        <v>1420.9900000000007</v>
      </c>
      <c r="AG216" s="7">
        <f>ROUND((AF216/AE216),4)</f>
        <v>0.1605</v>
      </c>
      <c r="AH216" t="str">
        <f>IF(AND(C216&lt;&gt;"",E216&lt;&gt;""),E216 - C216,"")</f>
        <v/>
      </c>
      <c r="AI216" t="str">
        <f>IF(C216="","",TEXT(C216, "mmmm"))</f>
        <v/>
      </c>
      <c r="AJ216" t="str">
        <f>IF(C216="","",YEAR(C216))</f>
        <v/>
      </c>
      <c r="AM216" t="s">
        <v>4144</v>
      </c>
      <c r="AN216" t="s">
        <v>4127</v>
      </c>
    </row>
    <row r="217" spans="1:40">
      <c r="A217" t="s">
        <v>1663</v>
      </c>
      <c r="B217" t="s">
        <v>1664</v>
      </c>
      <c r="C217" s="6">
        <v>45554</v>
      </c>
      <c r="D217" t="s">
        <v>1665</v>
      </c>
      <c r="E217" s="6">
        <v>45558</v>
      </c>
      <c r="F217" t="s">
        <v>1666</v>
      </c>
      <c r="G217" t="s">
        <v>39</v>
      </c>
      <c r="H217" t="s">
        <v>39</v>
      </c>
      <c r="I217" t="s">
        <v>40</v>
      </c>
      <c r="J217" t="s">
        <v>40</v>
      </c>
      <c r="K217" t="s">
        <v>60</v>
      </c>
      <c r="L217" t="str">
        <f>IF(TRIM(K217)="","Unknown",PROPER(TRIM(K217)))</f>
        <v>South</v>
      </c>
      <c r="M217" t="s">
        <v>224</v>
      </c>
      <c r="N217" t="s">
        <v>225</v>
      </c>
      <c r="O217" t="s">
        <v>29</v>
      </c>
      <c r="P217" t="str">
        <f>IF(TRIM(O217)="","Unknown",PROPER(TRIM(O217)))</f>
        <v>Office Supplies</v>
      </c>
      <c r="Q217" t="s">
        <v>30</v>
      </c>
      <c r="R217" t="s">
        <v>1667</v>
      </c>
      <c r="S217" t="s">
        <v>65</v>
      </c>
      <c r="T217" t="str">
        <f>IF(TRIM(S217)="","Unknown",PROPER(TRIM(S217)))</f>
        <v>Standard Class</v>
      </c>
      <c r="U217">
        <v>7</v>
      </c>
      <c r="V217">
        <v>1136.68</v>
      </c>
      <c r="Y217">
        <v>0</v>
      </c>
      <c r="Z217">
        <v>7956.76</v>
      </c>
      <c r="AA217">
        <v>4799.54</v>
      </c>
      <c r="AB217">
        <v>3157.22</v>
      </c>
      <c r="AC217" t="s">
        <v>33</v>
      </c>
      <c r="AD217" t="s">
        <v>34</v>
      </c>
      <c r="AE217">
        <f>ROUND((U217*V217)-(U217*V217*Y217),2)</f>
        <v>7956.76</v>
      </c>
      <c r="AF217">
        <f>AE217-AA217</f>
        <v>3157.2200000000003</v>
      </c>
      <c r="AG217" s="7">
        <f>ROUND((AF217/AE217),4)</f>
        <v>0.39679999999999999</v>
      </c>
      <c r="AH217">
        <f>IF(AND(C217&lt;&gt;"",E217&lt;&gt;""),E217 - C217,"")</f>
        <v>4</v>
      </c>
      <c r="AI217" t="str">
        <f>IF(C217="","",TEXT(C217, "mmmm"))</f>
        <v>September</v>
      </c>
      <c r="AJ217">
        <f>IF(C217="","",YEAR(C217))</f>
        <v>2024</v>
      </c>
      <c r="AM217" t="str">
        <f>IF(AN217="","clean","")</f>
        <v>clean</v>
      </c>
      <c r="AN217" t="s">
        <v>3595</v>
      </c>
    </row>
    <row r="218" spans="1:40">
      <c r="A218" t="s">
        <v>1668</v>
      </c>
      <c r="B218" t="s">
        <v>1669</v>
      </c>
      <c r="C218" s="6">
        <v>45389</v>
      </c>
      <c r="D218" t="s">
        <v>1248</v>
      </c>
      <c r="E218" s="6">
        <v>45396</v>
      </c>
      <c r="F218" t="s">
        <v>1670</v>
      </c>
      <c r="G218" t="s">
        <v>80</v>
      </c>
      <c r="H218" t="s">
        <v>80</v>
      </c>
      <c r="I218" t="s">
        <v>25</v>
      </c>
      <c r="J218" t="s">
        <v>25</v>
      </c>
      <c r="K218" t="s">
        <v>71</v>
      </c>
      <c r="L218" t="str">
        <f>IF(TRIM(K218)="","Unknown",PROPER(TRIM(K218)))</f>
        <v>West</v>
      </c>
      <c r="M218" t="s">
        <v>72</v>
      </c>
      <c r="N218" t="s">
        <v>73</v>
      </c>
      <c r="O218" t="s">
        <v>44</v>
      </c>
      <c r="P218" t="str">
        <f>IF(TRIM(O218)="","Unknown",PROPER(TRIM(O218)))</f>
        <v>Furniture</v>
      </c>
      <c r="Q218" t="s">
        <v>190</v>
      </c>
      <c r="R218" t="s">
        <v>1671</v>
      </c>
      <c r="S218" t="s">
        <v>47</v>
      </c>
      <c r="T218" t="str">
        <f>IF(TRIM(S218)="","Unknown",PROPER(TRIM(S218)))</f>
        <v>Same Day</v>
      </c>
      <c r="U218">
        <v>5</v>
      </c>
      <c r="V218">
        <v>2235.85</v>
      </c>
      <c r="W218">
        <v>0.25</v>
      </c>
      <c r="Y218">
        <v>0.25</v>
      </c>
      <c r="Z218">
        <v>8384.44</v>
      </c>
      <c r="AA218">
        <v>4765.96</v>
      </c>
      <c r="AB218">
        <v>3618.48</v>
      </c>
      <c r="AC218" t="s">
        <v>33</v>
      </c>
      <c r="AD218" t="s">
        <v>120</v>
      </c>
      <c r="AE218">
        <f>ROUND((U218*V218)-(U218*V218*Y218),2)</f>
        <v>8384.44</v>
      </c>
      <c r="AF218">
        <f>AE218-AA218</f>
        <v>3618.4800000000005</v>
      </c>
      <c r="AG218" s="7">
        <f>ROUND((AF218/AE218),4)</f>
        <v>0.43159999999999998</v>
      </c>
      <c r="AH218">
        <f>IF(AND(C218&lt;&gt;"",E218&lt;&gt;""),E218 - C218,"")</f>
        <v>7</v>
      </c>
      <c r="AI218" t="str">
        <f>IF(C218="","",TEXT(C218, "mmmm"))</f>
        <v>April</v>
      </c>
      <c r="AJ218">
        <f>IF(C218="","",YEAR(C218))</f>
        <v>2024</v>
      </c>
      <c r="AM218" t="str">
        <f>IF(AN218="","clean","")</f>
        <v>clean</v>
      </c>
      <c r="AN218" t="s">
        <v>3595</v>
      </c>
    </row>
    <row r="219" spans="1:40">
      <c r="A219" t="s">
        <v>1683</v>
      </c>
      <c r="B219" t="s">
        <v>3830</v>
      </c>
      <c r="C219" s="6">
        <v>45366</v>
      </c>
      <c r="D219" t="s">
        <v>1684</v>
      </c>
      <c r="E219" s="6">
        <v>45371</v>
      </c>
      <c r="F219" t="s">
        <v>1685</v>
      </c>
      <c r="G219" t="s">
        <v>169</v>
      </c>
      <c r="H219" t="s">
        <v>169</v>
      </c>
      <c r="I219" t="s">
        <v>25</v>
      </c>
      <c r="J219" t="s">
        <v>25</v>
      </c>
      <c r="K219" t="s">
        <v>41</v>
      </c>
      <c r="L219" t="str">
        <f>IF(TRIM(K219)="","Unknown",PROPER(TRIM(K219)))</f>
        <v>East</v>
      </c>
      <c r="M219" t="s">
        <v>284</v>
      </c>
      <c r="N219" t="s">
        <v>285</v>
      </c>
      <c r="O219" t="s">
        <v>83</v>
      </c>
      <c r="P219" t="str">
        <f>IF(TRIM(O219)="","Unknown",PROPER(TRIM(O219)))</f>
        <v>Technology</v>
      </c>
      <c r="Q219" t="s">
        <v>91</v>
      </c>
      <c r="R219" t="s">
        <v>1686</v>
      </c>
      <c r="S219" t="s">
        <v>65</v>
      </c>
      <c r="T219" t="str">
        <f>IF(TRIM(S219)="","Unknown",PROPER(TRIM(S219)))</f>
        <v>Standard Class</v>
      </c>
      <c r="U219">
        <v>2</v>
      </c>
      <c r="V219">
        <v>1881.4</v>
      </c>
      <c r="W219">
        <v>0.25</v>
      </c>
      <c r="Y219">
        <v>0.25</v>
      </c>
      <c r="Z219">
        <v>2822.1</v>
      </c>
      <c r="AA219">
        <v>1624.57</v>
      </c>
      <c r="AB219">
        <v>1197.53</v>
      </c>
      <c r="AC219" t="s">
        <v>33</v>
      </c>
      <c r="AD219" t="s">
        <v>120</v>
      </c>
      <c r="AE219">
        <f>ROUND((U219*V219)-(U219*V219*Y219),2)</f>
        <v>2822.1</v>
      </c>
      <c r="AF219">
        <f>AE219-AA219</f>
        <v>1197.53</v>
      </c>
      <c r="AG219" s="7">
        <f>ROUND((AF219/AE219),4)</f>
        <v>0.42430000000000001</v>
      </c>
      <c r="AH219">
        <f>IF(AND(C219&lt;&gt;"",E219&lt;&gt;""),E219 - C219,"")</f>
        <v>5</v>
      </c>
      <c r="AI219" t="str">
        <f>IF(C219="","",TEXT(C219, "mmmm"))</f>
        <v>March</v>
      </c>
      <c r="AJ219">
        <f>IF(C219="","",YEAR(C219))</f>
        <v>2024</v>
      </c>
      <c r="AM219" t="str">
        <f>IF(AN219="","clean","")</f>
        <v>clean</v>
      </c>
      <c r="AN219" t="s">
        <v>3595</v>
      </c>
    </row>
    <row r="220" spans="1:40">
      <c r="A220" t="s">
        <v>1698</v>
      </c>
      <c r="B220" t="s">
        <v>3831</v>
      </c>
      <c r="C220" s="6">
        <v>45425</v>
      </c>
      <c r="D220" t="s">
        <v>1699</v>
      </c>
      <c r="E220" s="6">
        <v>45430</v>
      </c>
      <c r="F220" t="s">
        <v>1700</v>
      </c>
      <c r="G220" t="s">
        <v>52</v>
      </c>
      <c r="H220" t="s">
        <v>52</v>
      </c>
      <c r="I220" t="s">
        <v>40</v>
      </c>
      <c r="J220" t="s">
        <v>40</v>
      </c>
      <c r="K220" t="s">
        <v>71</v>
      </c>
      <c r="L220" t="str">
        <f>IF(TRIM(K220)="","Unknown",PROPER(TRIM(K220)))</f>
        <v>West</v>
      </c>
      <c r="M220" t="s">
        <v>218</v>
      </c>
      <c r="N220" t="s">
        <v>219</v>
      </c>
      <c r="O220" t="s">
        <v>44</v>
      </c>
      <c r="P220" t="str">
        <f>IF(TRIM(O220)="","Unknown",PROPER(TRIM(O220)))</f>
        <v>Furniture</v>
      </c>
      <c r="Q220" t="s">
        <v>74</v>
      </c>
      <c r="R220" t="s">
        <v>1701</v>
      </c>
      <c r="S220" t="s">
        <v>65</v>
      </c>
      <c r="T220" t="str">
        <f>IF(TRIM(S220)="","Unknown",PROPER(TRIM(S220)))</f>
        <v>Standard Class</v>
      </c>
      <c r="U220">
        <v>3</v>
      </c>
      <c r="V220">
        <v>3128.59</v>
      </c>
      <c r="W220">
        <v>0</v>
      </c>
      <c r="Y220">
        <v>0</v>
      </c>
      <c r="Z220">
        <v>9385.77</v>
      </c>
      <c r="AA220">
        <v>6872.44</v>
      </c>
      <c r="AB220">
        <v>2783.66</v>
      </c>
      <c r="AC220" t="s">
        <v>33</v>
      </c>
      <c r="AD220" t="s">
        <v>34</v>
      </c>
      <c r="AE220">
        <f>ROUND((U220*V220)-(U220*V220*Y220),2)</f>
        <v>9385.77</v>
      </c>
      <c r="AF220">
        <f>AE220-AA220</f>
        <v>2513.3300000000008</v>
      </c>
      <c r="AG220" s="7">
        <f>ROUND((AF220/AE220),4)</f>
        <v>0.26779999999999998</v>
      </c>
      <c r="AH220">
        <f>IF(AND(C220&lt;&gt;"",E220&lt;&gt;""),E220 - C220,"")</f>
        <v>5</v>
      </c>
      <c r="AI220" t="str">
        <f>IF(C220="","",TEXT(C220, "mmmm"))</f>
        <v>May</v>
      </c>
      <c r="AJ220">
        <f>IF(C220="","",YEAR(C220))</f>
        <v>2024</v>
      </c>
      <c r="AM220" t="str">
        <f>IF(AN220="","clean","")</f>
        <v>clean</v>
      </c>
      <c r="AN220" t="s">
        <v>3595</v>
      </c>
    </row>
    <row r="221" spans="1:40">
      <c r="A221" t="s">
        <v>1702</v>
      </c>
      <c r="B221" t="s">
        <v>3832</v>
      </c>
      <c r="C221" s="6">
        <v>45387</v>
      </c>
      <c r="D221" t="s">
        <v>319</v>
      </c>
      <c r="E221" s="6">
        <v>45395</v>
      </c>
      <c r="F221" t="s">
        <v>1703</v>
      </c>
      <c r="G221" t="s">
        <v>196</v>
      </c>
      <c r="H221" t="s">
        <v>196</v>
      </c>
      <c r="I221" t="s">
        <v>104</v>
      </c>
      <c r="J221" t="s">
        <v>104</v>
      </c>
      <c r="K221" t="s">
        <v>71</v>
      </c>
      <c r="L221" t="str">
        <f>IF(TRIM(K221)="","Unknown",PROPER(TRIM(K221)))</f>
        <v>West</v>
      </c>
      <c r="M221" t="s">
        <v>218</v>
      </c>
      <c r="N221" t="s">
        <v>219</v>
      </c>
      <c r="O221" t="s">
        <v>83</v>
      </c>
      <c r="P221" t="str">
        <f>IF(TRIM(O221)="","Unknown",PROPER(TRIM(O221)))</f>
        <v>Technology</v>
      </c>
      <c r="Q221" t="s">
        <v>347</v>
      </c>
      <c r="R221" t="s">
        <v>1704</v>
      </c>
      <c r="S221" t="s">
        <v>32</v>
      </c>
      <c r="T221" t="str">
        <f>IF(TRIM(S221)="","Unknown",PROPER(TRIM(S221)))</f>
        <v>Second Class</v>
      </c>
      <c r="U221">
        <v>5</v>
      </c>
      <c r="V221">
        <v>1937.54</v>
      </c>
      <c r="W221">
        <v>0.2</v>
      </c>
      <c r="Y221">
        <v>0.2</v>
      </c>
      <c r="Z221">
        <v>7750.16</v>
      </c>
      <c r="AA221">
        <v>5434.3</v>
      </c>
      <c r="AB221">
        <v>2315.86</v>
      </c>
      <c r="AC221" t="s">
        <v>131</v>
      </c>
      <c r="AD221" t="s">
        <v>76</v>
      </c>
      <c r="AE221">
        <f>ROUND((U221*V221)-(U221*V221*Y221),2)</f>
        <v>7750.16</v>
      </c>
      <c r="AF221">
        <f>AE221-AA221</f>
        <v>2315.8599999999997</v>
      </c>
      <c r="AG221" s="7">
        <f>ROUND((AF221/AE221),4)</f>
        <v>0.29880000000000001</v>
      </c>
      <c r="AH221">
        <f>IF(AND(C221&lt;&gt;"",E221&lt;&gt;""),E221 - C221,"")</f>
        <v>8</v>
      </c>
      <c r="AI221" t="str">
        <f>IF(C221="","",TEXT(C221, "mmmm"))</f>
        <v>April</v>
      </c>
      <c r="AJ221">
        <f>IF(C221="","",YEAR(C221))</f>
        <v>2024</v>
      </c>
      <c r="AM221" t="str">
        <f>IF(AN221="","clean","")</f>
        <v>clean</v>
      </c>
      <c r="AN221" t="s">
        <v>3595</v>
      </c>
    </row>
    <row r="222" spans="1:40">
      <c r="A222" t="s">
        <v>1705</v>
      </c>
      <c r="B222" t="s">
        <v>3833</v>
      </c>
      <c r="C222" s="6">
        <v>45602</v>
      </c>
      <c r="D222" t="s">
        <v>435</v>
      </c>
      <c r="E222" s="6">
        <v>45607</v>
      </c>
      <c r="F222" t="s">
        <v>1706</v>
      </c>
      <c r="G222" t="s">
        <v>52</v>
      </c>
      <c r="H222" t="s">
        <v>52</v>
      </c>
      <c r="I222" t="s">
        <v>25</v>
      </c>
      <c r="J222" t="s">
        <v>25</v>
      </c>
      <c r="K222" t="s">
        <v>71</v>
      </c>
      <c r="L222" t="str">
        <f>IF(TRIM(K222)="","Unknown",PROPER(TRIM(K222)))</f>
        <v>West</v>
      </c>
      <c r="M222" t="s">
        <v>218</v>
      </c>
      <c r="N222" t="s">
        <v>219</v>
      </c>
      <c r="O222" t="s">
        <v>44</v>
      </c>
      <c r="P222" t="str">
        <f>IF(TRIM(O222)="","Unknown",PROPER(TRIM(O222)))</f>
        <v>Furniture</v>
      </c>
      <c r="Q222" t="s">
        <v>63</v>
      </c>
      <c r="R222" t="s">
        <v>1707</v>
      </c>
      <c r="S222" t="s">
        <v>65</v>
      </c>
      <c r="T222" t="str">
        <f>IF(TRIM(S222)="","Unknown",PROPER(TRIM(S222)))</f>
        <v>Standard Class</v>
      </c>
      <c r="U222">
        <v>4</v>
      </c>
      <c r="V222">
        <v>1917.26</v>
      </c>
      <c r="W222">
        <v>0.2</v>
      </c>
      <c r="Y222">
        <v>0.2</v>
      </c>
      <c r="Z222">
        <v>6135.23</v>
      </c>
      <c r="AA222">
        <v>3439.79</v>
      </c>
      <c r="AB222">
        <v>2695.44</v>
      </c>
      <c r="AC222" t="s">
        <v>33</v>
      </c>
      <c r="AD222" t="s">
        <v>34</v>
      </c>
      <c r="AE222">
        <f>ROUND((U222*V222)-(U222*V222*Y222),2)</f>
        <v>6135.23</v>
      </c>
      <c r="AF222">
        <f>AE222-AA222</f>
        <v>2695.4399999999996</v>
      </c>
      <c r="AG222" s="7">
        <f>ROUND((AF222/AE222),4)</f>
        <v>0.43930000000000002</v>
      </c>
      <c r="AH222">
        <f>IF(AND(C222&lt;&gt;"",E222&lt;&gt;""),E222 - C222,"")</f>
        <v>5</v>
      </c>
      <c r="AI222" t="str">
        <f>IF(C222="","",TEXT(C222, "mmmm"))</f>
        <v>November</v>
      </c>
      <c r="AJ222">
        <f>IF(C222="","",YEAR(C222))</f>
        <v>2024</v>
      </c>
      <c r="AM222" t="str">
        <f>IF(AN222="","clean","")</f>
        <v>clean</v>
      </c>
      <c r="AN222" t="s">
        <v>3595</v>
      </c>
    </row>
    <row r="223" spans="1:40">
      <c r="A223" t="s">
        <v>1712</v>
      </c>
      <c r="B223" t="s">
        <v>3834</v>
      </c>
      <c r="C223" s="6">
        <v>45341</v>
      </c>
      <c r="D223" t="s">
        <v>1713</v>
      </c>
      <c r="E223" s="6">
        <v>45344</v>
      </c>
      <c r="F223" t="s">
        <v>1714</v>
      </c>
      <c r="G223" t="s">
        <v>103</v>
      </c>
      <c r="H223" t="s">
        <v>103</v>
      </c>
      <c r="I223" t="s">
        <v>40</v>
      </c>
      <c r="J223" t="s">
        <v>40</v>
      </c>
      <c r="K223" t="s">
        <v>60</v>
      </c>
      <c r="L223" t="str">
        <f>IF(TRIM(K223)="","Unknown",PROPER(TRIM(K223)))</f>
        <v>South</v>
      </c>
      <c r="M223" t="s">
        <v>224</v>
      </c>
      <c r="N223" t="s">
        <v>225</v>
      </c>
      <c r="O223" t="s">
        <v>44</v>
      </c>
      <c r="P223" t="str">
        <f>IF(TRIM(O223)="","Unknown",PROPER(TRIM(O223)))</f>
        <v>Furniture</v>
      </c>
      <c r="Q223" t="s">
        <v>63</v>
      </c>
      <c r="R223" t="s">
        <v>1715</v>
      </c>
      <c r="S223" t="s">
        <v>47</v>
      </c>
      <c r="T223" t="str">
        <f>IF(TRIM(S223)="","Unknown",PROPER(TRIM(S223)))</f>
        <v>Same Day</v>
      </c>
      <c r="U223">
        <v>9</v>
      </c>
      <c r="V223">
        <v>4053.01</v>
      </c>
      <c r="W223">
        <v>0</v>
      </c>
      <c r="Y223">
        <v>0</v>
      </c>
      <c r="Z223">
        <v>36477.089999999997</v>
      </c>
      <c r="AA223">
        <v>24525.48</v>
      </c>
      <c r="AB223">
        <v>11951.61</v>
      </c>
      <c r="AC223" t="s">
        <v>33</v>
      </c>
      <c r="AD223" t="s">
        <v>34</v>
      </c>
      <c r="AE223">
        <f>ROUND((U223*V223)-(U223*V223*Y223),2)</f>
        <v>36477.089999999997</v>
      </c>
      <c r="AF223">
        <f>AE223-AA223</f>
        <v>11951.609999999997</v>
      </c>
      <c r="AG223" s="7">
        <f>ROUND((AF223/AE223),4)</f>
        <v>0.3276</v>
      </c>
      <c r="AH223">
        <f>IF(AND(C223&lt;&gt;"",E223&lt;&gt;""),E223 - C223,"")</f>
        <v>3</v>
      </c>
      <c r="AI223" t="str">
        <f>IF(C223="","",TEXT(C223, "mmmm"))</f>
        <v>February</v>
      </c>
      <c r="AJ223">
        <f>IF(C223="","",YEAR(C223))</f>
        <v>2024</v>
      </c>
      <c r="AM223" t="str">
        <f>IF(AN223="","clean","")</f>
        <v>clean</v>
      </c>
      <c r="AN223" t="s">
        <v>3595</v>
      </c>
    </row>
    <row r="224" spans="1:40">
      <c r="A224" t="s">
        <v>1716</v>
      </c>
      <c r="B224" t="s">
        <v>3835</v>
      </c>
      <c r="C224" s="6">
        <v>45527</v>
      </c>
      <c r="D224" t="s">
        <v>1717</v>
      </c>
      <c r="E224" s="6">
        <v>45533</v>
      </c>
      <c r="F224" t="s">
        <v>1718</v>
      </c>
      <c r="G224" t="s">
        <v>39</v>
      </c>
      <c r="H224" t="s">
        <v>39</v>
      </c>
      <c r="I224" t="s">
        <v>104</v>
      </c>
      <c r="J224" t="s">
        <v>104</v>
      </c>
      <c r="K224" t="s">
        <v>26</v>
      </c>
      <c r="L224" t="str">
        <f>IF(TRIM(K224)="","Unknown",PROPER(TRIM(K224)))</f>
        <v>North</v>
      </c>
      <c r="M224" t="s">
        <v>163</v>
      </c>
      <c r="N224" t="s">
        <v>164</v>
      </c>
      <c r="O224" t="s">
        <v>29</v>
      </c>
      <c r="P224" t="str">
        <f>IF(TRIM(O224)="","Unknown",PROPER(TRIM(O224)))</f>
        <v>Office Supplies</v>
      </c>
      <c r="Q224" t="s">
        <v>105</v>
      </c>
      <c r="R224" t="s">
        <v>1719</v>
      </c>
      <c r="S224" t="s">
        <v>47</v>
      </c>
      <c r="T224" t="str">
        <f>IF(TRIM(S224)="","Unknown",PROPER(TRIM(S224)))</f>
        <v>Same Day</v>
      </c>
      <c r="U224">
        <v>2</v>
      </c>
      <c r="V224">
        <v>1936.91</v>
      </c>
      <c r="W224">
        <v>0.05</v>
      </c>
      <c r="Y224">
        <v>0.05</v>
      </c>
      <c r="Z224">
        <v>3680.13</v>
      </c>
      <c r="AA224">
        <v>2967.46</v>
      </c>
      <c r="AB224">
        <v>712.67</v>
      </c>
      <c r="AC224" t="s">
        <v>33</v>
      </c>
      <c r="AD224" t="s">
        <v>34</v>
      </c>
      <c r="AE224">
        <f>ROUND((U224*V224)-(U224*V224*Y224),2)</f>
        <v>3680.13</v>
      </c>
      <c r="AF224">
        <f>AE224-AA224</f>
        <v>712.67000000000007</v>
      </c>
      <c r="AG224" s="7">
        <f>ROUND((AF224/AE224),4)</f>
        <v>0.19370000000000001</v>
      </c>
      <c r="AH224">
        <f>IF(AND(C224&lt;&gt;"",E224&lt;&gt;""),E224 - C224,"")</f>
        <v>6</v>
      </c>
      <c r="AI224" t="str">
        <f>IF(C224="","",TEXT(C224, "mmmm"))</f>
        <v>August</v>
      </c>
      <c r="AJ224">
        <f>IF(C224="","",YEAR(C224))</f>
        <v>2024</v>
      </c>
      <c r="AM224" t="str">
        <f>IF(AN224="","clean","")</f>
        <v>clean</v>
      </c>
      <c r="AN224" t="s">
        <v>3595</v>
      </c>
    </row>
    <row r="225" spans="1:40">
      <c r="A225" t="s">
        <v>1720</v>
      </c>
      <c r="B225" t="s">
        <v>3836</v>
      </c>
      <c r="C225" s="6">
        <v>45385</v>
      </c>
      <c r="D225" t="s">
        <v>1721</v>
      </c>
      <c r="E225" s="6">
        <v>45386</v>
      </c>
      <c r="F225" t="s">
        <v>1722</v>
      </c>
      <c r="G225" t="s">
        <v>334</v>
      </c>
      <c r="H225" t="s">
        <v>334</v>
      </c>
      <c r="I225" t="s">
        <v>25</v>
      </c>
      <c r="J225" t="s">
        <v>25</v>
      </c>
      <c r="K225" t="s">
        <v>71</v>
      </c>
      <c r="L225" t="str">
        <f>IF(TRIM(K225)="","Unknown",PROPER(TRIM(K225)))</f>
        <v>West</v>
      </c>
      <c r="M225" t="s">
        <v>72</v>
      </c>
      <c r="N225" t="s">
        <v>73</v>
      </c>
      <c r="O225" t="s">
        <v>44</v>
      </c>
      <c r="P225" t="str">
        <f>IF(TRIM(O225)="","Unknown",PROPER(TRIM(O225)))</f>
        <v>Furniture</v>
      </c>
      <c r="Q225" t="s">
        <v>63</v>
      </c>
      <c r="R225" t="s">
        <v>1723</v>
      </c>
      <c r="S225" t="s">
        <v>55</v>
      </c>
      <c r="T225" t="str">
        <f>IF(TRIM(S225)="","Unknown",PROPER(TRIM(S225)))</f>
        <v>First Class</v>
      </c>
      <c r="U225">
        <v>7</v>
      </c>
      <c r="V225">
        <v>3945.21</v>
      </c>
      <c r="W225">
        <v>0</v>
      </c>
      <c r="Y225">
        <v>0</v>
      </c>
      <c r="Z225">
        <v>27616.47</v>
      </c>
      <c r="AA225">
        <v>21225.26</v>
      </c>
      <c r="AB225">
        <v>6391.21</v>
      </c>
      <c r="AC225" t="s">
        <v>33</v>
      </c>
      <c r="AD225" t="s">
        <v>34</v>
      </c>
      <c r="AE225">
        <f>ROUND((U225*V225)-(U225*V225*Y225),2)</f>
        <v>27616.47</v>
      </c>
      <c r="AF225">
        <f>AE225-AA225</f>
        <v>6391.2100000000028</v>
      </c>
      <c r="AG225" s="7">
        <f>ROUND((AF225/AE225),4)</f>
        <v>0.23139999999999999</v>
      </c>
      <c r="AH225">
        <f>IF(AND(C225&lt;&gt;"",E225&lt;&gt;""),E225 - C225,"")</f>
        <v>1</v>
      </c>
      <c r="AI225" t="str">
        <f>IF(C225="","",TEXT(C225, "mmmm"))</f>
        <v>April</v>
      </c>
      <c r="AJ225">
        <f>IF(C225="","",YEAR(C225))</f>
        <v>2024</v>
      </c>
      <c r="AM225" t="str">
        <f>IF(AN225="","clean","")</f>
        <v>clean</v>
      </c>
      <c r="AN225" t="s">
        <v>3595</v>
      </c>
    </row>
    <row r="226" spans="1:40">
      <c r="A226" t="s">
        <v>1724</v>
      </c>
      <c r="B226" t="s">
        <v>943</v>
      </c>
      <c r="C226" s="6">
        <v>45449</v>
      </c>
      <c r="D226" t="s">
        <v>1543</v>
      </c>
      <c r="E226" s="6">
        <v>45450</v>
      </c>
      <c r="F226" t="s">
        <v>1725</v>
      </c>
      <c r="G226" t="s">
        <v>141</v>
      </c>
      <c r="H226" t="s">
        <v>141</v>
      </c>
      <c r="I226" t="s">
        <v>110</v>
      </c>
      <c r="J226" t="s">
        <v>110</v>
      </c>
      <c r="K226" t="s">
        <v>60</v>
      </c>
      <c r="L226" t="str">
        <f>IF(TRIM(K226)="","Unknown",PROPER(TRIM(K226)))</f>
        <v>South</v>
      </c>
      <c r="M226" t="s">
        <v>309</v>
      </c>
      <c r="N226" t="s">
        <v>310</v>
      </c>
      <c r="O226" t="s">
        <v>44</v>
      </c>
      <c r="P226" t="str">
        <f>IF(TRIM(O226)="","Unknown",PROPER(TRIM(O226)))</f>
        <v>Furniture</v>
      </c>
      <c r="Q226" t="s">
        <v>45</v>
      </c>
      <c r="R226" t="s">
        <v>1726</v>
      </c>
      <c r="S226" t="s">
        <v>47</v>
      </c>
      <c r="T226" t="str">
        <f>IF(TRIM(S226)="","Unknown",PROPER(TRIM(S226)))</f>
        <v>Same Day</v>
      </c>
      <c r="U226">
        <v>7</v>
      </c>
      <c r="V226">
        <v>861.91</v>
      </c>
      <c r="W226">
        <v>0.05</v>
      </c>
      <c r="Y226">
        <v>0.05</v>
      </c>
      <c r="Z226">
        <v>5731.7</v>
      </c>
      <c r="AA226">
        <v>4115.5600000000004</v>
      </c>
      <c r="AB226">
        <v>1616.14</v>
      </c>
      <c r="AC226" t="s">
        <v>33</v>
      </c>
      <c r="AD226" t="s">
        <v>34</v>
      </c>
      <c r="AE226">
        <f>ROUND((U226*V226)-(U226*V226*Y226),2)</f>
        <v>5731.7</v>
      </c>
      <c r="AF226">
        <f>AE226-AA226</f>
        <v>1616.1399999999994</v>
      </c>
      <c r="AG226" s="7">
        <f>ROUND((AF226/AE226),4)</f>
        <v>0.28199999999999997</v>
      </c>
      <c r="AH226">
        <f>IF(AND(C226&lt;&gt;"",E226&lt;&gt;""),E226 - C226,"")</f>
        <v>1</v>
      </c>
      <c r="AI226" t="str">
        <f>IF(C226="","",TEXT(C226, "mmmm"))</f>
        <v>June</v>
      </c>
      <c r="AJ226">
        <f>IF(C226="","",YEAR(C226))</f>
        <v>2024</v>
      </c>
      <c r="AM226" t="str">
        <f>IF(AN226="","clean","")</f>
        <v>clean</v>
      </c>
      <c r="AN226" t="s">
        <v>3595</v>
      </c>
    </row>
    <row r="227" spans="1:40">
      <c r="A227" t="s">
        <v>1736</v>
      </c>
      <c r="B227" t="s">
        <v>3838</v>
      </c>
      <c r="C227" s="6">
        <v>45492</v>
      </c>
      <c r="D227" t="s">
        <v>1737</v>
      </c>
      <c r="E227" s="6">
        <v>45499</v>
      </c>
      <c r="F227" t="s">
        <v>1738</v>
      </c>
      <c r="G227" t="s">
        <v>80</v>
      </c>
      <c r="H227" t="s">
        <v>80</v>
      </c>
      <c r="I227" t="s">
        <v>104</v>
      </c>
      <c r="J227" t="s">
        <v>104</v>
      </c>
      <c r="K227" t="s">
        <v>26</v>
      </c>
      <c r="L227" t="str">
        <f>IF(TRIM(K227)="","Unknown",PROPER(TRIM(K227)))</f>
        <v>North</v>
      </c>
      <c r="M227" t="s">
        <v>146</v>
      </c>
      <c r="N227" t="s">
        <v>147</v>
      </c>
      <c r="O227" t="s">
        <v>83</v>
      </c>
      <c r="P227" t="str">
        <f>IF(TRIM(O227)="","Unknown",PROPER(TRIM(O227)))</f>
        <v>Technology</v>
      </c>
      <c r="Q227" t="s">
        <v>347</v>
      </c>
      <c r="R227" t="s">
        <v>1739</v>
      </c>
      <c r="S227" t="s">
        <v>47</v>
      </c>
      <c r="T227" t="str">
        <f>IF(TRIM(S227)="","Unknown",PROPER(TRIM(S227)))</f>
        <v>Same Day</v>
      </c>
      <c r="U227">
        <v>2</v>
      </c>
      <c r="V227">
        <v>1263.6500000000001</v>
      </c>
      <c r="W227">
        <v>0.2</v>
      </c>
      <c r="Y227">
        <v>0.2</v>
      </c>
      <c r="Z227">
        <v>2021.84</v>
      </c>
      <c r="AA227">
        <v>1355.22</v>
      </c>
      <c r="AB227">
        <v>666.62</v>
      </c>
      <c r="AC227" t="s">
        <v>33</v>
      </c>
      <c r="AD227" t="s">
        <v>34</v>
      </c>
      <c r="AE227">
        <f>ROUND((U227*V227)-(U227*V227*Y227),2)</f>
        <v>2021.84</v>
      </c>
      <c r="AF227">
        <f>AE227-AA227</f>
        <v>666.61999999999989</v>
      </c>
      <c r="AG227" s="7">
        <f>ROUND((AF227/AE227),4)</f>
        <v>0.32969999999999999</v>
      </c>
      <c r="AH227">
        <f>IF(AND(C227&lt;&gt;"",E227&lt;&gt;""),E227 - C227,"")</f>
        <v>7</v>
      </c>
      <c r="AI227" t="str">
        <f>IF(C227="","",TEXT(C227, "mmmm"))</f>
        <v>July</v>
      </c>
      <c r="AJ227">
        <f>IF(C227="","",YEAR(C227))</f>
        <v>2024</v>
      </c>
      <c r="AM227" t="str">
        <f>IF(AN227="","clean","")</f>
        <v>clean</v>
      </c>
      <c r="AN227" t="s">
        <v>3595</v>
      </c>
    </row>
    <row r="228" spans="1:40">
      <c r="A228" t="s">
        <v>1752</v>
      </c>
      <c r="B228" t="s">
        <v>3842</v>
      </c>
      <c r="C228" s="6">
        <v>45373</v>
      </c>
      <c r="D228" t="s">
        <v>1753</v>
      </c>
      <c r="E228" s="6">
        <v>45373</v>
      </c>
      <c r="F228" t="s">
        <v>1754</v>
      </c>
      <c r="G228" t="s">
        <v>136</v>
      </c>
      <c r="H228" t="s">
        <v>136</v>
      </c>
      <c r="I228" t="s">
        <v>40</v>
      </c>
      <c r="J228" t="s">
        <v>40</v>
      </c>
      <c r="K228" t="s">
        <v>60</v>
      </c>
      <c r="L228" t="str">
        <f>IF(TRIM(K228)="","Unknown",PROPER(TRIM(K228)))</f>
        <v>South</v>
      </c>
      <c r="M228" t="s">
        <v>212</v>
      </c>
      <c r="N228" t="s">
        <v>213</v>
      </c>
      <c r="O228" t="s">
        <v>44</v>
      </c>
      <c r="P228" t="str">
        <f>IF(TRIM(O228)="","Unknown",PROPER(TRIM(O228)))</f>
        <v>Furniture</v>
      </c>
      <c r="Q228" t="s">
        <v>45</v>
      </c>
      <c r="R228" t="s">
        <v>1755</v>
      </c>
      <c r="T228" t="str">
        <f>IF(TRIM(S228)="","Unknown",PROPER(TRIM(S228)))</f>
        <v>Unknown</v>
      </c>
      <c r="U228">
        <v>3</v>
      </c>
      <c r="V228">
        <v>1365.26</v>
      </c>
      <c r="W228">
        <v>0</v>
      </c>
      <c r="Y228">
        <v>0</v>
      </c>
      <c r="Z228">
        <v>4095.78</v>
      </c>
      <c r="AA228">
        <v>2807.77</v>
      </c>
      <c r="AB228">
        <v>1288.01</v>
      </c>
      <c r="AC228" t="s">
        <v>33</v>
      </c>
      <c r="AD228" t="s">
        <v>34</v>
      </c>
      <c r="AE228">
        <f>ROUND((U228*V228)-(U228*V228*Y228),2)</f>
        <v>4095.78</v>
      </c>
      <c r="AF228">
        <f>AE228-AA228</f>
        <v>1288.0100000000002</v>
      </c>
      <c r="AG228" s="7">
        <f>ROUND((AF228/AE228),4)</f>
        <v>0.3145</v>
      </c>
      <c r="AH228">
        <f>IF(AND(C228&lt;&gt;"",E228&lt;&gt;""),E228 - C228,"")</f>
        <v>0</v>
      </c>
      <c r="AI228" t="str">
        <f>IF(C228="","",TEXT(C228, "mmmm"))</f>
        <v>March</v>
      </c>
      <c r="AJ228">
        <f>IF(C228="","",YEAR(C228))</f>
        <v>2024</v>
      </c>
      <c r="AM228" t="s">
        <v>4145</v>
      </c>
      <c r="AN228" t="s">
        <v>3600</v>
      </c>
    </row>
    <row r="229" spans="1:40">
      <c r="A229" t="s">
        <v>1756</v>
      </c>
      <c r="B229" t="s">
        <v>3843</v>
      </c>
      <c r="C229" s="6">
        <v>45565</v>
      </c>
      <c r="D229" t="s">
        <v>1757</v>
      </c>
      <c r="E229" s="6">
        <v>45569</v>
      </c>
      <c r="F229" t="s">
        <v>1758</v>
      </c>
      <c r="G229" t="s">
        <v>59</v>
      </c>
      <c r="H229" t="s">
        <v>59</v>
      </c>
      <c r="I229" t="s">
        <v>40</v>
      </c>
      <c r="J229" t="s">
        <v>40</v>
      </c>
      <c r="K229" t="s">
        <v>60</v>
      </c>
      <c r="L229" t="str">
        <f>IF(TRIM(K229)="","Unknown",PROPER(TRIM(K229)))</f>
        <v>South</v>
      </c>
      <c r="M229" t="s">
        <v>224</v>
      </c>
      <c r="N229" t="s">
        <v>225</v>
      </c>
      <c r="O229" t="s">
        <v>29</v>
      </c>
      <c r="P229" t="str">
        <f>IF(TRIM(O229)="","Unknown",PROPER(TRIM(O229)))</f>
        <v>Office Supplies</v>
      </c>
      <c r="Q229" t="s">
        <v>1759</v>
      </c>
      <c r="R229" t="s">
        <v>1760</v>
      </c>
      <c r="S229" t="s">
        <v>47</v>
      </c>
      <c r="T229" t="str">
        <f>IF(TRIM(S229)="","Unknown",PROPER(TRIM(S229)))</f>
        <v>Same Day</v>
      </c>
      <c r="U229">
        <v>5</v>
      </c>
      <c r="V229">
        <v>3512.25</v>
      </c>
      <c r="W229">
        <v>0.05</v>
      </c>
      <c r="Y229">
        <v>0.05</v>
      </c>
      <c r="Z229">
        <v>16683.189999999999</v>
      </c>
      <c r="AA229">
        <v>10301.16</v>
      </c>
      <c r="AB229">
        <v>6382.03</v>
      </c>
      <c r="AC229" t="s">
        <v>33</v>
      </c>
      <c r="AD229" t="s">
        <v>120</v>
      </c>
      <c r="AE229">
        <f>ROUND((U229*V229)-(U229*V229*Y229),2)</f>
        <v>16683.189999999999</v>
      </c>
      <c r="AF229">
        <f>AE229-AA229</f>
        <v>6382.0299999999988</v>
      </c>
      <c r="AG229" s="7">
        <f>ROUND((AF229/AE229),4)</f>
        <v>0.38250000000000001</v>
      </c>
      <c r="AH229">
        <f>IF(AND(C229&lt;&gt;"",E229&lt;&gt;""),E229 - C229,"")</f>
        <v>4</v>
      </c>
      <c r="AI229" t="str">
        <f>IF(C229="","",TEXT(C229, "mmmm"))</f>
        <v>September</v>
      </c>
      <c r="AJ229">
        <f>IF(C229="","",YEAR(C229))</f>
        <v>2024</v>
      </c>
      <c r="AM229" t="str">
        <f>IF(AN229="","clean","")</f>
        <v>clean</v>
      </c>
      <c r="AN229" t="s">
        <v>3595</v>
      </c>
    </row>
    <row r="230" spans="1:40">
      <c r="A230" t="s">
        <v>1761</v>
      </c>
      <c r="B230" t="s">
        <v>1762</v>
      </c>
      <c r="C230" s="6">
        <v>45318</v>
      </c>
      <c r="D230" t="s">
        <v>1763</v>
      </c>
      <c r="E230" s="6">
        <v>45325</v>
      </c>
      <c r="F230" t="s">
        <v>1764</v>
      </c>
      <c r="G230" t="s">
        <v>103</v>
      </c>
      <c r="H230" t="s">
        <v>103</v>
      </c>
      <c r="I230" t="s">
        <v>104</v>
      </c>
      <c r="J230" t="s">
        <v>104</v>
      </c>
      <c r="K230" t="s">
        <v>71</v>
      </c>
      <c r="L230" t="str">
        <f>IF(TRIM(K230)="","Unknown",PROPER(TRIM(K230)))</f>
        <v>West</v>
      </c>
      <c r="M230" t="s">
        <v>27</v>
      </c>
      <c r="N230" t="s">
        <v>129</v>
      </c>
      <c r="O230" t="s">
        <v>44</v>
      </c>
      <c r="P230" t="str">
        <f>IF(TRIM(O230)="","Unknown",PROPER(TRIM(O230)))</f>
        <v>Furniture</v>
      </c>
      <c r="Q230" t="s">
        <v>74</v>
      </c>
      <c r="R230" t="s">
        <v>1765</v>
      </c>
      <c r="S230" t="s">
        <v>47</v>
      </c>
      <c r="T230" t="str">
        <f>IF(TRIM(S230)="","Unknown",PROPER(TRIM(S230)))</f>
        <v>Same Day</v>
      </c>
      <c r="U230">
        <v>3</v>
      </c>
      <c r="V230">
        <v>359.61</v>
      </c>
      <c r="W230">
        <v>0</v>
      </c>
      <c r="Y230">
        <v>0</v>
      </c>
      <c r="Z230">
        <v>1078.83</v>
      </c>
      <c r="AA230">
        <v>926.35</v>
      </c>
      <c r="AB230">
        <v>152.47999999999999</v>
      </c>
      <c r="AC230" t="s">
        <v>33</v>
      </c>
      <c r="AD230" t="s">
        <v>34</v>
      </c>
      <c r="AE230">
        <f>ROUND((U230*V230)-(U230*V230*Y230),2)</f>
        <v>1078.83</v>
      </c>
      <c r="AF230">
        <f>AE230-AA230</f>
        <v>152.4799999999999</v>
      </c>
      <c r="AG230" s="7">
        <f>ROUND((AF230/AE230),4)</f>
        <v>0.14130000000000001</v>
      </c>
      <c r="AH230">
        <f>IF(AND(C230&lt;&gt;"",E230&lt;&gt;""),E230 - C230,"")</f>
        <v>7</v>
      </c>
      <c r="AI230" t="str">
        <f>IF(C230="","",TEXT(C230, "mmmm"))</f>
        <v>January</v>
      </c>
      <c r="AJ230">
        <f>IF(C230="","",YEAR(C230))</f>
        <v>2024</v>
      </c>
      <c r="AM230" t="str">
        <f>IF(AN230="","clean","")</f>
        <v>clean</v>
      </c>
      <c r="AN230" t="s">
        <v>3595</v>
      </c>
    </row>
    <row r="231" spans="1:40">
      <c r="A231" t="s">
        <v>1766</v>
      </c>
      <c r="B231" t="s">
        <v>3844</v>
      </c>
      <c r="C231" s="6">
        <v>45558</v>
      </c>
      <c r="D231" t="s">
        <v>1767</v>
      </c>
      <c r="E231" s="6">
        <v>45559</v>
      </c>
      <c r="F231" t="s">
        <v>1768</v>
      </c>
      <c r="G231" t="s">
        <v>103</v>
      </c>
      <c r="H231" t="s">
        <v>103</v>
      </c>
      <c r="I231" t="s">
        <v>110</v>
      </c>
      <c r="J231" t="s">
        <v>110</v>
      </c>
      <c r="K231" t="s">
        <v>71</v>
      </c>
      <c r="L231" t="str">
        <f>IF(TRIM(K231)="","Unknown",PROPER(TRIM(K231)))</f>
        <v>West</v>
      </c>
      <c r="M231" t="s">
        <v>218</v>
      </c>
      <c r="N231" t="s">
        <v>219</v>
      </c>
      <c r="O231" t="s">
        <v>44</v>
      </c>
      <c r="P231" t="str">
        <f>IF(TRIM(O231)="","Unknown",PROPER(TRIM(O231)))</f>
        <v>Furniture</v>
      </c>
      <c r="Q231" t="s">
        <v>190</v>
      </c>
      <c r="R231" t="s">
        <v>1769</v>
      </c>
      <c r="T231" t="str">
        <f>IF(TRIM(S231)="","Unknown",PROPER(TRIM(S231)))</f>
        <v>Unknown</v>
      </c>
      <c r="U231">
        <v>7</v>
      </c>
      <c r="V231">
        <v>3878.01</v>
      </c>
      <c r="W231">
        <v>0.1</v>
      </c>
      <c r="Y231">
        <v>0.1</v>
      </c>
      <c r="Z231">
        <v>24431.46</v>
      </c>
      <c r="AA231">
        <v>18202.36</v>
      </c>
      <c r="AB231">
        <v>6229.1</v>
      </c>
      <c r="AC231" t="s">
        <v>33</v>
      </c>
      <c r="AD231" t="s">
        <v>34</v>
      </c>
      <c r="AE231">
        <f>ROUND((U231*V231)-(U231*V231*Y231),2)</f>
        <v>24431.46</v>
      </c>
      <c r="AF231">
        <f>AE231-AA231</f>
        <v>6229.0999999999985</v>
      </c>
      <c r="AG231" s="7">
        <f>ROUND((AF231/AE231),4)</f>
        <v>0.255</v>
      </c>
      <c r="AH231">
        <f>IF(AND(C231&lt;&gt;"",E231&lt;&gt;""),E231 - C231,"")</f>
        <v>1</v>
      </c>
      <c r="AI231" t="str">
        <f>IF(C231="","",TEXT(C231, "mmmm"))</f>
        <v>September</v>
      </c>
      <c r="AJ231">
        <f>IF(C231="","",YEAR(C231))</f>
        <v>2024</v>
      </c>
      <c r="AM231" t="s">
        <v>4145</v>
      </c>
      <c r="AN231" t="s">
        <v>3600</v>
      </c>
    </row>
    <row r="232" spans="1:40">
      <c r="A232" t="s">
        <v>1774</v>
      </c>
      <c r="B232" t="s">
        <v>3845</v>
      </c>
      <c r="C232" s="6">
        <v>45424</v>
      </c>
      <c r="D232" t="s">
        <v>1775</v>
      </c>
      <c r="E232" s="6">
        <v>45425</v>
      </c>
      <c r="F232" t="s">
        <v>1776</v>
      </c>
      <c r="G232" t="s">
        <v>141</v>
      </c>
      <c r="H232" t="s">
        <v>141</v>
      </c>
      <c r="I232" t="s">
        <v>104</v>
      </c>
      <c r="J232" t="s">
        <v>104</v>
      </c>
      <c r="K232" t="s">
        <v>71</v>
      </c>
      <c r="L232" t="str">
        <f>IF(TRIM(K232)="","Unknown",PROPER(TRIM(K232)))</f>
        <v>West</v>
      </c>
      <c r="M232" t="s">
        <v>230</v>
      </c>
      <c r="N232" t="s">
        <v>231</v>
      </c>
      <c r="O232" t="s">
        <v>29</v>
      </c>
      <c r="P232" t="str">
        <f>IF(TRIM(O232)="","Unknown",PROPER(TRIM(O232)))</f>
        <v>Office Supplies</v>
      </c>
      <c r="Q232" t="s">
        <v>105</v>
      </c>
      <c r="R232" t="s">
        <v>1777</v>
      </c>
      <c r="S232" t="s">
        <v>32</v>
      </c>
      <c r="T232" t="str">
        <f>IF(TRIM(S232)="","Unknown",PROPER(TRIM(S232)))</f>
        <v>Second Class</v>
      </c>
      <c r="U232">
        <v>3</v>
      </c>
      <c r="V232">
        <v>2644.55</v>
      </c>
      <c r="W232">
        <v>0</v>
      </c>
      <c r="Y232">
        <v>0</v>
      </c>
      <c r="Z232">
        <v>7933.65</v>
      </c>
      <c r="AA232">
        <v>5698.42</v>
      </c>
      <c r="AB232">
        <v>2235.23</v>
      </c>
      <c r="AC232" t="s">
        <v>33</v>
      </c>
      <c r="AD232" t="s">
        <v>34</v>
      </c>
      <c r="AE232">
        <f>ROUND((U232*V232)-(U232*V232*Y232),2)</f>
        <v>7933.65</v>
      </c>
      <c r="AF232">
        <f>AE232-AA232</f>
        <v>2235.2299999999996</v>
      </c>
      <c r="AG232" s="7">
        <f>ROUND((AF232/AE232),4)</f>
        <v>0.28170000000000001</v>
      </c>
      <c r="AH232">
        <f>IF(AND(C232&lt;&gt;"",E232&lt;&gt;""),E232 - C232,"")</f>
        <v>1</v>
      </c>
      <c r="AI232" t="str">
        <f>IF(C232="","",TEXT(C232, "mmmm"))</f>
        <v>May</v>
      </c>
      <c r="AJ232">
        <f>IF(C232="","",YEAR(C232))</f>
        <v>2024</v>
      </c>
      <c r="AM232" t="str">
        <f>IF(AN232="","clean","")</f>
        <v>clean</v>
      </c>
      <c r="AN232" t="s">
        <v>3595</v>
      </c>
    </row>
    <row r="233" spans="1:40">
      <c r="A233" t="s">
        <v>1784</v>
      </c>
      <c r="B233" t="s">
        <v>3846</v>
      </c>
      <c r="C233" s="6">
        <v>45394</v>
      </c>
      <c r="D233" t="s">
        <v>1785</v>
      </c>
      <c r="E233" s="6">
        <v>45402</v>
      </c>
      <c r="F233" t="s">
        <v>1786</v>
      </c>
      <c r="G233" t="s">
        <v>196</v>
      </c>
      <c r="H233" t="s">
        <v>196</v>
      </c>
      <c r="I233" t="s">
        <v>25</v>
      </c>
      <c r="J233" t="s">
        <v>25</v>
      </c>
      <c r="K233" t="s">
        <v>71</v>
      </c>
      <c r="L233" t="str">
        <f>IF(TRIM(K233)="","Unknown",PROPER(TRIM(K233)))</f>
        <v>West</v>
      </c>
      <c r="M233" t="s">
        <v>230</v>
      </c>
      <c r="N233" t="s">
        <v>231</v>
      </c>
      <c r="O233" t="s">
        <v>44</v>
      </c>
      <c r="P233" t="str">
        <f>IF(TRIM(O233)="","Unknown",PROPER(TRIM(O233)))</f>
        <v>Furniture</v>
      </c>
      <c r="Q233" t="s">
        <v>45</v>
      </c>
      <c r="R233" t="s">
        <v>1787</v>
      </c>
      <c r="S233" t="s">
        <v>55</v>
      </c>
      <c r="T233" t="str">
        <f>IF(TRIM(S233)="","Unknown",PROPER(TRIM(S233)))</f>
        <v>First Class</v>
      </c>
      <c r="U233">
        <v>9</v>
      </c>
      <c r="V233">
        <v>1302.6099999999999</v>
      </c>
      <c r="W233">
        <v>0.2</v>
      </c>
      <c r="Y233">
        <v>0.2</v>
      </c>
      <c r="Z233">
        <v>9378.7900000000009</v>
      </c>
      <c r="AA233">
        <v>6774.48</v>
      </c>
      <c r="AB233">
        <v>2604.31</v>
      </c>
      <c r="AC233" t="s">
        <v>33</v>
      </c>
      <c r="AD233" t="s">
        <v>34</v>
      </c>
      <c r="AE233">
        <f>ROUND((U233*V233)-(U233*V233*Y233),2)</f>
        <v>9378.7900000000009</v>
      </c>
      <c r="AF233">
        <f>AE233-AA233</f>
        <v>2604.3100000000013</v>
      </c>
      <c r="AG233" s="7">
        <f>ROUND((AF233/AE233),4)</f>
        <v>0.2777</v>
      </c>
      <c r="AH233">
        <f>IF(AND(C233&lt;&gt;"",E233&lt;&gt;""),E233 - C233,"")</f>
        <v>8</v>
      </c>
      <c r="AI233" t="str">
        <f>IF(C233="","",TEXT(C233, "mmmm"))</f>
        <v>April</v>
      </c>
      <c r="AJ233">
        <f>IF(C233="","",YEAR(C233))</f>
        <v>2024</v>
      </c>
      <c r="AM233" t="str">
        <f>IF(AN233="","clean","")</f>
        <v>clean</v>
      </c>
      <c r="AN233" t="s">
        <v>3595</v>
      </c>
    </row>
    <row r="234" spans="1:40">
      <c r="A234" t="s">
        <v>1792</v>
      </c>
      <c r="B234" t="s">
        <v>1793</v>
      </c>
      <c r="C234" s="6">
        <v>45313</v>
      </c>
      <c r="D234" t="s">
        <v>742</v>
      </c>
      <c r="F234" t="s">
        <v>1794</v>
      </c>
      <c r="G234" t="s">
        <v>52</v>
      </c>
      <c r="H234" t="s">
        <v>52</v>
      </c>
      <c r="I234" t="s">
        <v>104</v>
      </c>
      <c r="J234" t="s">
        <v>104</v>
      </c>
      <c r="K234" t="s">
        <v>60</v>
      </c>
      <c r="L234" t="str">
        <f>IF(TRIM(K234)="","Unknown",PROPER(TRIM(K234)))</f>
        <v>South</v>
      </c>
      <c r="M234" t="s">
        <v>212</v>
      </c>
      <c r="N234" t="s">
        <v>213</v>
      </c>
      <c r="O234" t="s">
        <v>44</v>
      </c>
      <c r="P234" t="str">
        <f>IF(TRIM(O234)="","Unknown",PROPER(TRIM(O234)))</f>
        <v>Furniture</v>
      </c>
      <c r="Q234" t="s">
        <v>74</v>
      </c>
      <c r="R234" t="s">
        <v>1795</v>
      </c>
      <c r="S234" t="s">
        <v>47</v>
      </c>
      <c r="T234" t="str">
        <f>IF(TRIM(S234)="","Unknown",PROPER(TRIM(S234)))</f>
        <v>Same Day</v>
      </c>
      <c r="U234">
        <v>1</v>
      </c>
      <c r="V234">
        <v>2111.39</v>
      </c>
      <c r="W234">
        <v>0.25</v>
      </c>
      <c r="Y234">
        <v>0.25</v>
      </c>
      <c r="Z234">
        <v>1583.54</v>
      </c>
      <c r="AA234">
        <v>1014.19</v>
      </c>
      <c r="AB234">
        <v>569.35</v>
      </c>
      <c r="AC234" t="s">
        <v>33</v>
      </c>
      <c r="AD234" t="s">
        <v>34</v>
      </c>
      <c r="AE234">
        <f>ROUND((U234*V234)-(U234*V234*Y234),2)</f>
        <v>1583.54</v>
      </c>
      <c r="AF234">
        <f>AE234-AA234</f>
        <v>569.34999999999991</v>
      </c>
      <c r="AG234" s="7">
        <f>ROUND((AF234/AE234),4)</f>
        <v>0.35949999999999999</v>
      </c>
      <c r="AH234" t="str">
        <f>IF(AND(C234&lt;&gt;"",E234&lt;&gt;""),E234 - C234,"")</f>
        <v/>
      </c>
      <c r="AI234" t="str">
        <f>IF(C234="","",TEXT(C234, "mmmm"))</f>
        <v>January</v>
      </c>
      <c r="AJ234">
        <f>IF(C234="","",YEAR(C234))</f>
        <v>2024</v>
      </c>
      <c r="AM234" t="s">
        <v>4144</v>
      </c>
      <c r="AN234" t="s">
        <v>4136</v>
      </c>
    </row>
    <row r="235" spans="1:40">
      <c r="A235" t="s">
        <v>1800</v>
      </c>
      <c r="B235" t="s">
        <v>3848</v>
      </c>
      <c r="C235" s="6">
        <v>45533</v>
      </c>
      <c r="D235" t="s">
        <v>1801</v>
      </c>
      <c r="E235" s="6">
        <v>45534</v>
      </c>
      <c r="F235" t="s">
        <v>1802</v>
      </c>
      <c r="G235" t="s">
        <v>59</v>
      </c>
      <c r="H235" t="s">
        <v>59</v>
      </c>
      <c r="I235" t="s">
        <v>110</v>
      </c>
      <c r="J235" t="s">
        <v>110</v>
      </c>
      <c r="K235" t="s">
        <v>41</v>
      </c>
      <c r="L235" t="str">
        <f>IF(TRIM(K235)="","Unknown",PROPER(TRIM(K235)))</f>
        <v>East</v>
      </c>
      <c r="M235" t="s">
        <v>201</v>
      </c>
      <c r="N235" t="s">
        <v>202</v>
      </c>
      <c r="O235" t="s">
        <v>29</v>
      </c>
      <c r="P235" t="str">
        <f>IF(TRIM(O235)="","Unknown",PROPER(TRIM(O235)))</f>
        <v>Office Supplies</v>
      </c>
      <c r="Q235" t="s">
        <v>148</v>
      </c>
      <c r="R235" t="s">
        <v>1803</v>
      </c>
      <c r="S235" t="s">
        <v>55</v>
      </c>
      <c r="T235" t="str">
        <f>IF(TRIM(S235)="","Unknown",PROPER(TRIM(S235)))</f>
        <v>First Class</v>
      </c>
      <c r="U235">
        <v>4</v>
      </c>
      <c r="V235">
        <v>2484.08</v>
      </c>
      <c r="W235">
        <v>0.05</v>
      </c>
      <c r="Y235">
        <v>0.05</v>
      </c>
      <c r="Z235">
        <v>9439.5</v>
      </c>
      <c r="AA235">
        <v>5519.39</v>
      </c>
      <c r="AB235">
        <v>3920.11</v>
      </c>
      <c r="AC235" t="s">
        <v>33</v>
      </c>
      <c r="AD235" t="s">
        <v>34</v>
      </c>
      <c r="AE235">
        <f>ROUND((U235*V235)-(U235*V235*Y235),2)</f>
        <v>9439.5</v>
      </c>
      <c r="AF235">
        <f>AE235-AA235</f>
        <v>3920.1099999999997</v>
      </c>
      <c r="AG235" s="7">
        <f>ROUND((AF235/AE235),4)</f>
        <v>0.4153</v>
      </c>
      <c r="AH235">
        <f>IF(AND(C235&lt;&gt;"",E235&lt;&gt;""),E235 - C235,"")</f>
        <v>1</v>
      </c>
      <c r="AI235" t="str">
        <f>IF(C235="","",TEXT(C235, "mmmm"))</f>
        <v>August</v>
      </c>
      <c r="AJ235">
        <f>IF(C235="","",YEAR(C235))</f>
        <v>2024</v>
      </c>
      <c r="AM235" t="str">
        <f>IF(AN235="","clean","")</f>
        <v>clean</v>
      </c>
      <c r="AN235" t="s">
        <v>3595</v>
      </c>
    </row>
    <row r="236" spans="1:40">
      <c r="A236" t="s">
        <v>1804</v>
      </c>
      <c r="B236" t="s">
        <v>1805</v>
      </c>
      <c r="C236" s="6">
        <v>45316</v>
      </c>
      <c r="D236" t="s">
        <v>1762</v>
      </c>
      <c r="E236" s="6">
        <v>45318</v>
      </c>
      <c r="F236" t="s">
        <v>1806</v>
      </c>
      <c r="G236" t="s">
        <v>153</v>
      </c>
      <c r="H236" t="s">
        <v>153</v>
      </c>
      <c r="I236" t="s">
        <v>104</v>
      </c>
      <c r="J236" t="s">
        <v>104</v>
      </c>
      <c r="K236" t="s">
        <v>60</v>
      </c>
      <c r="L236" t="str">
        <f>IF(TRIM(K236)="","Unknown",PROPER(TRIM(K236)))</f>
        <v>South</v>
      </c>
      <c r="M236" t="s">
        <v>212</v>
      </c>
      <c r="N236" t="s">
        <v>213</v>
      </c>
      <c r="O236" t="s">
        <v>29</v>
      </c>
      <c r="P236" t="str">
        <f>IF(TRIM(O236)="","Unknown",PROPER(TRIM(O236)))</f>
        <v>Office Supplies</v>
      </c>
      <c r="Q236" t="s">
        <v>148</v>
      </c>
      <c r="R236" t="s">
        <v>1807</v>
      </c>
      <c r="S236" t="s">
        <v>47</v>
      </c>
      <c r="T236" t="str">
        <f>IF(TRIM(S236)="","Unknown",PROPER(TRIM(S236)))</f>
        <v>Same Day</v>
      </c>
      <c r="U236">
        <v>7</v>
      </c>
      <c r="V236">
        <v>1727.26</v>
      </c>
      <c r="W236">
        <v>0.15</v>
      </c>
      <c r="Y236">
        <v>0.15</v>
      </c>
      <c r="Z236">
        <v>10277.200000000001</v>
      </c>
      <c r="AA236">
        <v>7906.5</v>
      </c>
      <c r="AB236">
        <v>2370.6999999999998</v>
      </c>
      <c r="AC236" t="s">
        <v>33</v>
      </c>
      <c r="AD236" t="s">
        <v>120</v>
      </c>
      <c r="AE236">
        <f>ROUND((U236*V236)-(U236*V236*Y236),2)</f>
        <v>10277.200000000001</v>
      </c>
      <c r="AF236">
        <f>AE236-AA236</f>
        <v>2370.7000000000007</v>
      </c>
      <c r="AG236" s="7">
        <f>ROUND((AF236/AE236),4)</f>
        <v>0.23069999999999999</v>
      </c>
      <c r="AH236">
        <f>IF(AND(C236&lt;&gt;"",E236&lt;&gt;""),E236 - C236,"")</f>
        <v>2</v>
      </c>
      <c r="AI236" t="str">
        <f>IF(C236="","",TEXT(C236, "mmmm"))</f>
        <v>January</v>
      </c>
      <c r="AJ236">
        <f>IF(C236="","",YEAR(C236))</f>
        <v>2024</v>
      </c>
      <c r="AM236" t="str">
        <f>IF(AN236="","clean","")</f>
        <v>clean</v>
      </c>
      <c r="AN236" t="s">
        <v>3595</v>
      </c>
    </row>
    <row r="237" spans="1:40">
      <c r="A237" t="s">
        <v>1816</v>
      </c>
      <c r="B237" t="s">
        <v>3850</v>
      </c>
      <c r="C237" s="6">
        <v>45605</v>
      </c>
      <c r="D237" t="s">
        <v>1817</v>
      </c>
      <c r="E237" s="6">
        <v>45613</v>
      </c>
      <c r="F237" t="s">
        <v>1818</v>
      </c>
      <c r="G237" t="s">
        <v>158</v>
      </c>
      <c r="H237" t="s">
        <v>158</v>
      </c>
      <c r="I237" t="s">
        <v>104</v>
      </c>
      <c r="J237" t="s">
        <v>104</v>
      </c>
      <c r="K237" t="s">
        <v>41</v>
      </c>
      <c r="L237" t="str">
        <f>IF(TRIM(K237)="","Unknown",PROPER(TRIM(K237)))</f>
        <v>East</v>
      </c>
      <c r="M237" t="s">
        <v>42</v>
      </c>
      <c r="N237" t="s">
        <v>43</v>
      </c>
      <c r="O237" t="s">
        <v>83</v>
      </c>
      <c r="P237" t="str">
        <f>IF(TRIM(O237)="","Unknown",PROPER(TRIM(O237)))</f>
        <v>Technology</v>
      </c>
      <c r="Q237" t="s">
        <v>91</v>
      </c>
      <c r="R237" t="s">
        <v>1819</v>
      </c>
      <c r="S237" t="s">
        <v>65</v>
      </c>
      <c r="T237" t="str">
        <f>IF(TRIM(S237)="","Unknown",PROPER(TRIM(S237)))</f>
        <v>Standard Class</v>
      </c>
      <c r="U237">
        <v>6</v>
      </c>
      <c r="V237">
        <v>3660.4</v>
      </c>
      <c r="W237">
        <v>0</v>
      </c>
      <c r="Y237">
        <v>0</v>
      </c>
      <c r="Z237">
        <v>21962.400000000001</v>
      </c>
      <c r="AA237">
        <v>15331.99</v>
      </c>
      <c r="AB237">
        <v>6630.41</v>
      </c>
      <c r="AC237" t="s">
        <v>186</v>
      </c>
      <c r="AD237" t="s">
        <v>76</v>
      </c>
      <c r="AE237">
        <f>ROUND((U237*V237)-(U237*V237*Y237),2)</f>
        <v>21962.400000000001</v>
      </c>
      <c r="AF237">
        <f>AE237-AA237</f>
        <v>6630.4100000000017</v>
      </c>
      <c r="AG237" s="7">
        <f>ROUND((AF237/AE237),4)</f>
        <v>0.3019</v>
      </c>
      <c r="AH237">
        <f>IF(AND(C237&lt;&gt;"",E237&lt;&gt;""),E237 - C237,"")</f>
        <v>8</v>
      </c>
      <c r="AI237" t="str">
        <f>IF(C237="","",TEXT(C237, "mmmm"))</f>
        <v>November</v>
      </c>
      <c r="AJ237">
        <f>IF(C237="","",YEAR(C237))</f>
        <v>2024</v>
      </c>
      <c r="AM237" t="str">
        <f>IF(AN237="","clean","")</f>
        <v>clean</v>
      </c>
      <c r="AN237" t="s">
        <v>3595</v>
      </c>
    </row>
    <row r="238" spans="1:40">
      <c r="A238" t="s">
        <v>1836</v>
      </c>
      <c r="B238" t="s">
        <v>1837</v>
      </c>
      <c r="C238" s="6">
        <v>45342</v>
      </c>
      <c r="D238" t="s">
        <v>1838</v>
      </c>
      <c r="F238" t="s">
        <v>1839</v>
      </c>
      <c r="G238" t="s">
        <v>196</v>
      </c>
      <c r="H238" t="s">
        <v>196</v>
      </c>
      <c r="I238" t="s">
        <v>25</v>
      </c>
      <c r="J238" t="s">
        <v>25</v>
      </c>
      <c r="K238" t="s">
        <v>60</v>
      </c>
      <c r="L238" t="str">
        <f>IF(TRIM(K238)="","Unknown",PROPER(TRIM(K238)))</f>
        <v>South</v>
      </c>
      <c r="M238" t="s">
        <v>224</v>
      </c>
      <c r="N238" t="s">
        <v>225</v>
      </c>
      <c r="O238" t="s">
        <v>83</v>
      </c>
      <c r="P238" t="str">
        <f>IF(TRIM(O238)="","Unknown",PROPER(TRIM(O238)))</f>
        <v>Technology</v>
      </c>
      <c r="Q238" t="s">
        <v>84</v>
      </c>
      <c r="R238" t="s">
        <v>1840</v>
      </c>
      <c r="S238" t="s">
        <v>1841</v>
      </c>
      <c r="T238" t="str">
        <f>IF(TRIM(S238)="","Unknown",PROPER(TRIM(S238)))</f>
        <v>First Class</v>
      </c>
      <c r="U238">
        <v>9</v>
      </c>
      <c r="V238">
        <v>3779.31</v>
      </c>
      <c r="W238">
        <v>0.2</v>
      </c>
      <c r="Y238">
        <v>0.2</v>
      </c>
      <c r="Z238">
        <v>27211.03</v>
      </c>
      <c r="AA238">
        <v>17940.43</v>
      </c>
      <c r="AB238">
        <v>9270.6</v>
      </c>
      <c r="AC238" t="s">
        <v>33</v>
      </c>
      <c r="AD238" t="s">
        <v>34</v>
      </c>
      <c r="AE238">
        <f>ROUND((U238*V238)-(U238*V238*Y238),2)</f>
        <v>27211.03</v>
      </c>
      <c r="AF238">
        <f>AE238-AA238</f>
        <v>9270.5999999999985</v>
      </c>
      <c r="AG238" s="7">
        <f>ROUND((AF238/AE238),4)</f>
        <v>0.3407</v>
      </c>
      <c r="AH238" t="str">
        <f>IF(AND(C238&lt;&gt;"",E238&lt;&gt;""),E238 - C238,"")</f>
        <v/>
      </c>
      <c r="AI238" t="str">
        <f>IF(C238="","",TEXT(C238, "mmmm"))</f>
        <v>February</v>
      </c>
      <c r="AJ238">
        <f>IF(C238="","",YEAR(C238))</f>
        <v>2024</v>
      </c>
      <c r="AM238" t="s">
        <v>4144</v>
      </c>
      <c r="AN238" t="s">
        <v>4136</v>
      </c>
    </row>
    <row r="239" spans="1:40">
      <c r="A239" t="s">
        <v>1836</v>
      </c>
      <c r="B239" t="s">
        <v>1837</v>
      </c>
      <c r="C239" s="6">
        <v>45342</v>
      </c>
      <c r="D239" t="s">
        <v>1838</v>
      </c>
      <c r="F239" t="s">
        <v>1839</v>
      </c>
      <c r="G239" t="s">
        <v>196</v>
      </c>
      <c r="H239" t="s">
        <v>196</v>
      </c>
      <c r="I239" t="s">
        <v>25</v>
      </c>
      <c r="J239" t="s">
        <v>25</v>
      </c>
      <c r="K239" t="s">
        <v>60</v>
      </c>
      <c r="L239" t="str">
        <f>IF(TRIM(K239)="","Unknown",PROPER(TRIM(K239)))</f>
        <v>South</v>
      </c>
      <c r="M239" t="s">
        <v>224</v>
      </c>
      <c r="N239" t="s">
        <v>225</v>
      </c>
      <c r="O239" t="s">
        <v>83</v>
      </c>
      <c r="P239" t="str">
        <f>IF(TRIM(O239)="","Unknown",PROPER(TRIM(O239)))</f>
        <v>Technology</v>
      </c>
      <c r="Q239" t="s">
        <v>84</v>
      </c>
      <c r="R239" t="s">
        <v>1840</v>
      </c>
      <c r="S239" t="s">
        <v>1841</v>
      </c>
      <c r="T239" t="str">
        <f>IF(TRIM(S239)="","Unknown",PROPER(TRIM(S239)))</f>
        <v>First Class</v>
      </c>
      <c r="U239">
        <v>9</v>
      </c>
      <c r="V239">
        <v>3779.31</v>
      </c>
      <c r="W239">
        <v>0.2</v>
      </c>
      <c r="Y239">
        <v>0.2</v>
      </c>
      <c r="Z239">
        <v>27322.9</v>
      </c>
      <c r="AA239">
        <v>17940.43</v>
      </c>
      <c r="AB239">
        <v>9270.6</v>
      </c>
      <c r="AC239" t="s">
        <v>33</v>
      </c>
      <c r="AD239" t="s">
        <v>120</v>
      </c>
      <c r="AE239">
        <f>ROUND((U239*V239)-(U239*V239*Y239),2)</f>
        <v>27211.03</v>
      </c>
      <c r="AF239">
        <f>AE239-AA239</f>
        <v>9270.5999999999985</v>
      </c>
      <c r="AG239" s="7">
        <f>ROUND((AF239/AE239),4)</f>
        <v>0.3407</v>
      </c>
      <c r="AH239" t="str">
        <f>IF(AND(C239&lt;&gt;"",E239&lt;&gt;""),E239 - C239,"")</f>
        <v/>
      </c>
      <c r="AI239" t="str">
        <f>IF(C239="","",TEXT(C239, "mmmm"))</f>
        <v>February</v>
      </c>
      <c r="AJ239">
        <f>IF(C239="","",YEAR(C239))</f>
        <v>2024</v>
      </c>
      <c r="AK239" t="s">
        <v>4152</v>
      </c>
      <c r="AM239" t="s">
        <v>4144</v>
      </c>
      <c r="AN239" t="s">
        <v>4157</v>
      </c>
    </row>
    <row r="240" spans="1:40">
      <c r="A240" t="s">
        <v>1842</v>
      </c>
      <c r="B240" t="s">
        <v>1843</v>
      </c>
      <c r="C240" s="6">
        <v>45469</v>
      </c>
      <c r="D240" t="s">
        <v>1844</v>
      </c>
      <c r="E240" s="6">
        <v>45472</v>
      </c>
      <c r="F240" t="s">
        <v>1845</v>
      </c>
      <c r="G240" t="s">
        <v>90</v>
      </c>
      <c r="H240" t="s">
        <v>90</v>
      </c>
      <c r="I240" t="s">
        <v>104</v>
      </c>
      <c r="J240" t="s">
        <v>104</v>
      </c>
      <c r="K240" t="s">
        <v>26</v>
      </c>
      <c r="L240" t="str">
        <f>IF(TRIM(K240)="","Unknown",PROPER(TRIM(K240)))</f>
        <v>North</v>
      </c>
      <c r="M240" t="s">
        <v>146</v>
      </c>
      <c r="N240" t="s">
        <v>147</v>
      </c>
      <c r="O240" t="s">
        <v>83</v>
      </c>
      <c r="P240" t="str">
        <f>IF(TRIM(O240)="","Unknown",PROPER(TRIM(O240)))</f>
        <v>Technology</v>
      </c>
      <c r="Q240" t="s">
        <v>207</v>
      </c>
      <c r="R240" t="s">
        <v>1846</v>
      </c>
      <c r="S240" t="s">
        <v>65</v>
      </c>
      <c r="T240" t="str">
        <f>IF(TRIM(S240)="","Unknown",PROPER(TRIM(S240)))</f>
        <v>Standard Class</v>
      </c>
      <c r="U240">
        <v>8</v>
      </c>
      <c r="V240">
        <v>804.52</v>
      </c>
      <c r="W240">
        <v>0</v>
      </c>
      <c r="Y240">
        <v>0</v>
      </c>
      <c r="Z240">
        <v>6436.16</v>
      </c>
      <c r="AA240">
        <v>4263.83</v>
      </c>
      <c r="AB240">
        <v>2172.33</v>
      </c>
      <c r="AC240" t="s">
        <v>33</v>
      </c>
      <c r="AD240" t="s">
        <v>34</v>
      </c>
      <c r="AE240">
        <f>ROUND((U240*V240)-(U240*V240*Y240),2)</f>
        <v>6436.16</v>
      </c>
      <c r="AF240">
        <f>AE240-AA240</f>
        <v>2172.33</v>
      </c>
      <c r="AG240" s="7">
        <f>ROUND((AF240/AE240),4)</f>
        <v>0.33750000000000002</v>
      </c>
      <c r="AH240">
        <f>IF(AND(C240&lt;&gt;"",E240&lt;&gt;""),E240 - C240,"")</f>
        <v>3</v>
      </c>
      <c r="AI240" t="str">
        <f>IF(C240="","",TEXT(C240, "mmmm"))</f>
        <v>June</v>
      </c>
      <c r="AJ240">
        <f>IF(C240="","",YEAR(C240))</f>
        <v>2024</v>
      </c>
      <c r="AM240" t="str">
        <f>IF(AN240="","clean","")</f>
        <v>clean</v>
      </c>
      <c r="AN240" t="s">
        <v>3595</v>
      </c>
    </row>
    <row r="241" spans="1:40">
      <c r="A241" t="s">
        <v>1847</v>
      </c>
      <c r="B241" t="s">
        <v>3854</v>
      </c>
      <c r="D241" t="s">
        <v>1848</v>
      </c>
      <c r="E241" s="6">
        <v>45562</v>
      </c>
      <c r="F241" t="s">
        <v>1849</v>
      </c>
      <c r="G241" t="s">
        <v>52</v>
      </c>
      <c r="H241" t="s">
        <v>52</v>
      </c>
      <c r="I241" t="s">
        <v>110</v>
      </c>
      <c r="J241" t="s">
        <v>110</v>
      </c>
      <c r="K241" t="s">
        <v>26</v>
      </c>
      <c r="L241" t="str">
        <f>IF(TRIM(K241)="","Unknown",PROPER(TRIM(K241)))</f>
        <v>North</v>
      </c>
      <c r="M241" t="s">
        <v>454</v>
      </c>
      <c r="N241" t="s">
        <v>455</v>
      </c>
      <c r="O241" t="s">
        <v>29</v>
      </c>
      <c r="P241" t="str">
        <f>IF(TRIM(O241)="","Unknown",PROPER(TRIM(O241)))</f>
        <v>Office Supplies</v>
      </c>
      <c r="Q241" t="s">
        <v>105</v>
      </c>
      <c r="R241" t="s">
        <v>1850</v>
      </c>
      <c r="S241" t="s">
        <v>55</v>
      </c>
      <c r="T241" t="str">
        <f>IF(TRIM(S241)="","Unknown",PROPER(TRIM(S241)))</f>
        <v>First Class</v>
      </c>
      <c r="U241">
        <v>2</v>
      </c>
      <c r="V241">
        <v>1065.69</v>
      </c>
      <c r="W241">
        <v>0.1</v>
      </c>
      <c r="Y241">
        <v>0.1</v>
      </c>
      <c r="Z241">
        <v>1918.24</v>
      </c>
      <c r="AA241">
        <v>1373.52</v>
      </c>
      <c r="AB241">
        <v>544.72</v>
      </c>
      <c r="AC241" t="s">
        <v>119</v>
      </c>
      <c r="AD241" t="s">
        <v>76</v>
      </c>
      <c r="AE241">
        <f>ROUND((U241*V241)-(U241*V241*Y241),2)</f>
        <v>1918.24</v>
      </c>
      <c r="AF241">
        <f>AE241-AA241</f>
        <v>544.72</v>
      </c>
      <c r="AG241" s="7">
        <f>ROUND((AF241/AE241),4)</f>
        <v>0.28399999999999997</v>
      </c>
      <c r="AH241" t="str">
        <f>IF(AND(C241&lt;&gt;"",E241&lt;&gt;""),E241 - C241,"")</f>
        <v/>
      </c>
      <c r="AI241" t="str">
        <f>IF(C241="","",TEXT(C241, "mmmm"))</f>
        <v/>
      </c>
      <c r="AJ241" t="str">
        <f>IF(C241="","",YEAR(C241))</f>
        <v/>
      </c>
      <c r="AM241" t="s">
        <v>4144</v>
      </c>
      <c r="AN241" t="s">
        <v>4127</v>
      </c>
    </row>
    <row r="242" spans="1:40">
      <c r="A242" t="s">
        <v>1851</v>
      </c>
      <c r="B242" t="s">
        <v>3855</v>
      </c>
      <c r="D242" t="s">
        <v>1852</v>
      </c>
      <c r="E242" s="6">
        <v>45474</v>
      </c>
      <c r="F242" t="s">
        <v>1853</v>
      </c>
      <c r="G242" t="s">
        <v>103</v>
      </c>
      <c r="H242" t="s">
        <v>103</v>
      </c>
      <c r="I242" t="s">
        <v>25</v>
      </c>
      <c r="J242" t="s">
        <v>25</v>
      </c>
      <c r="K242" t="s">
        <v>26</v>
      </c>
      <c r="L242" t="str">
        <f>IF(TRIM(K242)="","Unknown",PROPER(TRIM(K242)))</f>
        <v>North</v>
      </c>
      <c r="M242" t="s">
        <v>294</v>
      </c>
      <c r="N242" t="s">
        <v>295</v>
      </c>
      <c r="O242" t="s">
        <v>83</v>
      </c>
      <c r="P242" t="str">
        <f>IF(TRIM(O242)="","Unknown",PROPER(TRIM(O242)))</f>
        <v>Technology</v>
      </c>
      <c r="Q242" t="s">
        <v>91</v>
      </c>
      <c r="R242" t="s">
        <v>1854</v>
      </c>
      <c r="S242" t="s">
        <v>47</v>
      </c>
      <c r="T242" t="str">
        <f>IF(TRIM(S242)="","Unknown",PROPER(TRIM(S242)))</f>
        <v>Same Day</v>
      </c>
      <c r="U242">
        <v>8</v>
      </c>
      <c r="V242">
        <v>3756.66</v>
      </c>
      <c r="W242">
        <v>0.1</v>
      </c>
      <c r="Y242">
        <v>0.1</v>
      </c>
      <c r="Z242">
        <v>27047.95</v>
      </c>
      <c r="AA242">
        <v>18431.330000000002</v>
      </c>
      <c r="AB242">
        <v>8616.6200000000008</v>
      </c>
      <c r="AC242" t="s">
        <v>33</v>
      </c>
      <c r="AD242" t="s">
        <v>34</v>
      </c>
      <c r="AE242">
        <f>ROUND((U242*V242)-(U242*V242*Y242),2)</f>
        <v>27047.95</v>
      </c>
      <c r="AF242">
        <f>AE242-AA242</f>
        <v>8616.619999999999</v>
      </c>
      <c r="AG242" s="7">
        <f>ROUND((AF242/AE242),4)</f>
        <v>0.31859999999999999</v>
      </c>
      <c r="AH242" t="str">
        <f>IF(AND(C242&lt;&gt;"",E242&lt;&gt;""),E242 - C242,"")</f>
        <v/>
      </c>
      <c r="AI242" t="str">
        <f>IF(C242="","",TEXT(C242, "mmmm"))</f>
        <v/>
      </c>
      <c r="AJ242" t="str">
        <f>IF(C242="","",YEAR(C242))</f>
        <v/>
      </c>
      <c r="AM242" t="s">
        <v>4144</v>
      </c>
      <c r="AN242" t="s">
        <v>4127</v>
      </c>
    </row>
    <row r="243" spans="1:40">
      <c r="A243" t="s">
        <v>1868</v>
      </c>
      <c r="B243" t="s">
        <v>3858</v>
      </c>
      <c r="C243" s="6">
        <v>45534</v>
      </c>
      <c r="D243" t="s">
        <v>1869</v>
      </c>
      <c r="E243" s="6">
        <v>45537</v>
      </c>
      <c r="F243" t="s">
        <v>1870</v>
      </c>
      <c r="G243" t="s">
        <v>90</v>
      </c>
      <c r="H243" t="s">
        <v>90</v>
      </c>
      <c r="I243" t="s">
        <v>40</v>
      </c>
      <c r="J243" t="s">
        <v>40</v>
      </c>
      <c r="K243" t="s">
        <v>26</v>
      </c>
      <c r="L243" t="str">
        <f>IF(TRIM(K243)="","Unknown",PROPER(TRIM(K243)))</f>
        <v>North</v>
      </c>
      <c r="M243" t="s">
        <v>294</v>
      </c>
      <c r="N243" t="s">
        <v>295</v>
      </c>
      <c r="O243" t="s">
        <v>29</v>
      </c>
      <c r="P243" t="str">
        <f>IF(TRIM(O243)="","Unknown",PROPER(TRIM(O243)))</f>
        <v>Office Supplies</v>
      </c>
      <c r="Q243" t="s">
        <v>30</v>
      </c>
      <c r="R243" t="s">
        <v>1871</v>
      </c>
      <c r="S243" t="s">
        <v>32</v>
      </c>
      <c r="T243" t="str">
        <f>IF(TRIM(S243)="","Unknown",PROPER(TRIM(S243)))</f>
        <v>Second Class</v>
      </c>
      <c r="U243">
        <v>1</v>
      </c>
      <c r="V243">
        <v>4320.84</v>
      </c>
      <c r="W243">
        <v>0.15</v>
      </c>
      <c r="Y243">
        <v>0.15</v>
      </c>
      <c r="Z243">
        <v>3672.71</v>
      </c>
      <c r="AA243">
        <v>2714.23</v>
      </c>
      <c r="AB243">
        <v>763.38</v>
      </c>
      <c r="AC243" t="s">
        <v>33</v>
      </c>
      <c r="AD243" t="s">
        <v>34</v>
      </c>
      <c r="AE243">
        <f>ROUND((U243*V243)-(U243*V243*Y243),2)</f>
        <v>3672.71</v>
      </c>
      <c r="AF243">
        <f>AE243-AA243</f>
        <v>958.48</v>
      </c>
      <c r="AG243" s="7">
        <f>ROUND((AF243/AE243),4)</f>
        <v>0.26100000000000001</v>
      </c>
      <c r="AH243">
        <f>IF(AND(C243&lt;&gt;"",E243&lt;&gt;""),E243 - C243,"")</f>
        <v>3</v>
      </c>
      <c r="AI243" t="str">
        <f>IF(C243="","",TEXT(C243, "mmmm"))</f>
        <v>August</v>
      </c>
      <c r="AJ243">
        <f>IF(C243="","",YEAR(C243))</f>
        <v>2024</v>
      </c>
      <c r="AM243" t="str">
        <f>IF(AN243="","clean","")</f>
        <v>clean</v>
      </c>
      <c r="AN243" t="s">
        <v>3595</v>
      </c>
    </row>
    <row r="244" spans="1:40">
      <c r="A244" t="s">
        <v>1872</v>
      </c>
      <c r="B244" t="s">
        <v>1873</v>
      </c>
      <c r="C244" s="6">
        <v>45332</v>
      </c>
      <c r="D244" t="s">
        <v>1874</v>
      </c>
      <c r="E244" s="6">
        <v>45335</v>
      </c>
      <c r="F244" t="s">
        <v>1875</v>
      </c>
      <c r="G244" t="s">
        <v>24</v>
      </c>
      <c r="H244" t="s">
        <v>24</v>
      </c>
      <c r="I244" t="s">
        <v>110</v>
      </c>
      <c r="J244" t="s">
        <v>110</v>
      </c>
      <c r="K244" t="s">
        <v>71</v>
      </c>
      <c r="L244" t="str">
        <f>IF(TRIM(K244)="","Unknown",PROPER(TRIM(K244)))</f>
        <v>West</v>
      </c>
      <c r="M244" t="s">
        <v>230</v>
      </c>
      <c r="N244" t="s">
        <v>231</v>
      </c>
      <c r="O244" t="s">
        <v>83</v>
      </c>
      <c r="P244" t="str">
        <f>IF(TRIM(O244)="","Unknown",PROPER(TRIM(O244)))</f>
        <v>Technology</v>
      </c>
      <c r="Q244" t="s">
        <v>347</v>
      </c>
      <c r="R244" t="s">
        <v>1876</v>
      </c>
      <c r="S244" t="s">
        <v>47</v>
      </c>
      <c r="T244" t="str">
        <f>IF(TRIM(S244)="","Unknown",PROPER(TRIM(S244)))</f>
        <v>Same Day</v>
      </c>
      <c r="U244">
        <v>2</v>
      </c>
      <c r="V244">
        <v>4118.45</v>
      </c>
      <c r="W244">
        <v>0.25</v>
      </c>
      <c r="Y244">
        <v>0.25</v>
      </c>
      <c r="Z244">
        <v>6177.67</v>
      </c>
      <c r="AA244">
        <v>4520.75</v>
      </c>
      <c r="AB244">
        <v>1656.92</v>
      </c>
      <c r="AC244" t="s">
        <v>33</v>
      </c>
      <c r="AD244" t="s">
        <v>34</v>
      </c>
      <c r="AE244">
        <f>ROUND((U244*V244)-(U244*V244*Y244),2)</f>
        <v>6177.68</v>
      </c>
      <c r="AF244">
        <f>AE244-AA244</f>
        <v>1656.9300000000003</v>
      </c>
      <c r="AG244" s="7">
        <f>ROUND((AF244/AE244),4)</f>
        <v>0.26819999999999999</v>
      </c>
      <c r="AH244">
        <f>IF(AND(C244&lt;&gt;"",E244&lt;&gt;""),E244 - C244,"")</f>
        <v>3</v>
      </c>
      <c r="AI244" t="str">
        <f>IF(C244="","",TEXT(C244, "mmmm"))</f>
        <v>February</v>
      </c>
      <c r="AJ244">
        <f>IF(C244="","",YEAR(C244))</f>
        <v>2024</v>
      </c>
      <c r="AM244" t="str">
        <f>IF(AN244="","clean","")</f>
        <v>clean</v>
      </c>
    </row>
    <row r="245" spans="1:40">
      <c r="A245" t="s">
        <v>1877</v>
      </c>
      <c r="B245" t="s">
        <v>1717</v>
      </c>
      <c r="C245" s="6">
        <v>45533</v>
      </c>
      <c r="D245" t="s">
        <v>1869</v>
      </c>
      <c r="E245" s="6">
        <v>45537</v>
      </c>
      <c r="F245" t="s">
        <v>1878</v>
      </c>
      <c r="G245" t="s">
        <v>136</v>
      </c>
      <c r="H245" t="s">
        <v>136</v>
      </c>
      <c r="I245" t="s">
        <v>40</v>
      </c>
      <c r="J245" t="s">
        <v>40</v>
      </c>
      <c r="K245" t="s">
        <v>71</v>
      </c>
      <c r="L245" t="str">
        <f>IF(TRIM(K245)="","Unknown",PROPER(TRIM(K245)))</f>
        <v>West</v>
      </c>
      <c r="M245" t="s">
        <v>72</v>
      </c>
      <c r="N245" t="s">
        <v>73</v>
      </c>
      <c r="O245" t="s">
        <v>44</v>
      </c>
      <c r="P245" t="str">
        <f>IF(TRIM(O245)="","Unknown",PROPER(TRIM(O245)))</f>
        <v>Furniture</v>
      </c>
      <c r="Q245" t="s">
        <v>190</v>
      </c>
      <c r="R245" t="s">
        <v>1879</v>
      </c>
      <c r="S245" t="s">
        <v>65</v>
      </c>
      <c r="T245" t="str">
        <f>IF(TRIM(S245)="","Unknown",PROPER(TRIM(S245)))</f>
        <v>Standard Class</v>
      </c>
      <c r="U245">
        <v>6</v>
      </c>
      <c r="V245">
        <v>172.82</v>
      </c>
      <c r="W245">
        <v>0.05</v>
      </c>
      <c r="Y245">
        <v>0.05</v>
      </c>
      <c r="Z245">
        <v>985.07</v>
      </c>
      <c r="AA245">
        <v>844.48</v>
      </c>
      <c r="AB245">
        <v>140.59</v>
      </c>
      <c r="AC245" t="s">
        <v>33</v>
      </c>
      <c r="AD245" t="s">
        <v>34</v>
      </c>
      <c r="AE245">
        <f>ROUND((U245*V245)-(U245*V245*Y245),2)</f>
        <v>985.07</v>
      </c>
      <c r="AF245">
        <f>AE245-AA245</f>
        <v>140.59000000000003</v>
      </c>
      <c r="AG245" s="7">
        <f>ROUND((AF245/AE245),4)</f>
        <v>0.14269999999999999</v>
      </c>
      <c r="AH245">
        <f>IF(AND(C245&lt;&gt;"",E245&lt;&gt;""),E245 - C245,"")</f>
        <v>4</v>
      </c>
      <c r="AI245" t="str">
        <f>IF(C245="","",TEXT(C245, "mmmm"))</f>
        <v>August</v>
      </c>
      <c r="AJ245">
        <f>IF(C245="","",YEAR(C245))</f>
        <v>2024</v>
      </c>
      <c r="AM245" t="str">
        <f>IF(AN245="","clean","")</f>
        <v>clean</v>
      </c>
      <c r="AN245" t="s">
        <v>3595</v>
      </c>
    </row>
    <row r="246" spans="1:40">
      <c r="A246" t="s">
        <v>1880</v>
      </c>
      <c r="B246" t="s">
        <v>3859</v>
      </c>
      <c r="C246" s="6">
        <v>45401</v>
      </c>
      <c r="D246" t="s">
        <v>1881</v>
      </c>
      <c r="F246" t="s">
        <v>1882</v>
      </c>
      <c r="G246" t="s">
        <v>136</v>
      </c>
      <c r="H246" t="s">
        <v>136</v>
      </c>
      <c r="I246" t="s">
        <v>104</v>
      </c>
      <c r="J246" t="s">
        <v>104</v>
      </c>
      <c r="K246" t="s">
        <v>60</v>
      </c>
      <c r="L246" t="str">
        <f>IF(TRIM(K246)="","Unknown",PROPER(TRIM(K246)))</f>
        <v>South</v>
      </c>
      <c r="M246" t="s">
        <v>224</v>
      </c>
      <c r="N246" t="s">
        <v>225</v>
      </c>
      <c r="O246" t="s">
        <v>29</v>
      </c>
      <c r="P246" t="str">
        <f>IF(TRIM(O246)="","Unknown",PROPER(TRIM(O246)))</f>
        <v>Office Supplies</v>
      </c>
      <c r="Q246" t="s">
        <v>53</v>
      </c>
      <c r="R246" t="s">
        <v>1883</v>
      </c>
      <c r="S246" t="s">
        <v>32</v>
      </c>
      <c r="T246" t="str">
        <f>IF(TRIM(S246)="","Unknown",PROPER(TRIM(S246)))</f>
        <v>Second Class</v>
      </c>
      <c r="U246">
        <v>4</v>
      </c>
      <c r="V246">
        <v>1540.22</v>
      </c>
      <c r="W246">
        <v>0</v>
      </c>
      <c r="Y246">
        <v>0</v>
      </c>
      <c r="Z246">
        <v>6160.88</v>
      </c>
      <c r="AA246">
        <v>4938.7</v>
      </c>
      <c r="AB246">
        <v>1222.18</v>
      </c>
      <c r="AC246" t="s">
        <v>119</v>
      </c>
      <c r="AD246" t="s">
        <v>120</v>
      </c>
      <c r="AE246">
        <f>ROUND((U246*V246)-(U246*V246*Y246),2)</f>
        <v>6160.88</v>
      </c>
      <c r="AF246">
        <f>AE246-AA246</f>
        <v>1222.1800000000003</v>
      </c>
      <c r="AG246" s="7">
        <f>ROUND((AF246/AE246),4)</f>
        <v>0.19839999999999999</v>
      </c>
      <c r="AH246" t="str">
        <f>IF(AND(C246&lt;&gt;"",E246&lt;&gt;""),E246 - C246,"")</f>
        <v/>
      </c>
      <c r="AI246" t="str">
        <f>IF(C246="","",TEXT(C246, "mmmm"))</f>
        <v>April</v>
      </c>
      <c r="AJ246">
        <f>IF(C246="","",YEAR(C246))</f>
        <v>2024</v>
      </c>
      <c r="AM246" t="s">
        <v>4144</v>
      </c>
      <c r="AN246" t="s">
        <v>4136</v>
      </c>
    </row>
    <row r="247" spans="1:40">
      <c r="A247" t="s">
        <v>1891</v>
      </c>
      <c r="B247" t="s">
        <v>3862</v>
      </c>
      <c r="C247" s="6">
        <v>45459</v>
      </c>
      <c r="D247" t="s">
        <v>1892</v>
      </c>
      <c r="E247" s="6">
        <v>45464</v>
      </c>
      <c r="F247" t="s">
        <v>1893</v>
      </c>
      <c r="G247" t="s">
        <v>90</v>
      </c>
      <c r="H247" t="s">
        <v>90</v>
      </c>
      <c r="I247" t="s">
        <v>25</v>
      </c>
      <c r="J247" t="s">
        <v>25</v>
      </c>
      <c r="K247" t="s">
        <v>60</v>
      </c>
      <c r="L247" t="str">
        <f>IF(TRIM(K247)="","Unknown",PROPER(TRIM(K247)))</f>
        <v>South</v>
      </c>
      <c r="M247" t="s">
        <v>224</v>
      </c>
      <c r="N247" t="s">
        <v>225</v>
      </c>
      <c r="O247" t="s">
        <v>44</v>
      </c>
      <c r="P247" t="str">
        <f>IF(TRIM(O247)="","Unknown",PROPER(TRIM(O247)))</f>
        <v>Furniture</v>
      </c>
      <c r="Q247" t="s">
        <v>63</v>
      </c>
      <c r="R247" t="s">
        <v>1894</v>
      </c>
      <c r="S247" t="s">
        <v>47</v>
      </c>
      <c r="T247" t="str">
        <f>IF(TRIM(S247)="","Unknown",PROPER(TRIM(S247)))</f>
        <v>Same Day</v>
      </c>
      <c r="U247">
        <v>6</v>
      </c>
      <c r="V247">
        <v>1156.78</v>
      </c>
      <c r="W247">
        <v>0.05</v>
      </c>
      <c r="Y247">
        <v>0.05</v>
      </c>
      <c r="Z247">
        <v>6593.65</v>
      </c>
      <c r="AA247">
        <v>4359.3900000000003</v>
      </c>
      <c r="AB247">
        <v>2234.2600000000002</v>
      </c>
      <c r="AC247" t="s">
        <v>33</v>
      </c>
      <c r="AD247" t="s">
        <v>120</v>
      </c>
      <c r="AE247">
        <f>ROUND((U247*V247)-(U247*V247*Y247),2)</f>
        <v>6593.65</v>
      </c>
      <c r="AF247">
        <f>AE247-AA247</f>
        <v>2234.2599999999993</v>
      </c>
      <c r="AG247" s="7">
        <f>ROUND((AF247/AE247),4)</f>
        <v>0.33889999999999998</v>
      </c>
      <c r="AH247">
        <f>IF(AND(C247&lt;&gt;"",E247&lt;&gt;""),E247 - C247,"")</f>
        <v>5</v>
      </c>
      <c r="AI247" t="str">
        <f>IF(C247="","",TEXT(C247, "mmmm"))</f>
        <v>June</v>
      </c>
      <c r="AJ247">
        <f>IF(C247="","",YEAR(C247))</f>
        <v>2024</v>
      </c>
      <c r="AM247" t="str">
        <f>IF(AN247="","clean","")</f>
        <v>clean</v>
      </c>
      <c r="AN247" t="s">
        <v>3595</v>
      </c>
    </row>
    <row r="248" spans="1:40">
      <c r="A248" t="s">
        <v>1895</v>
      </c>
      <c r="B248" t="s">
        <v>3863</v>
      </c>
      <c r="C248" s="6">
        <v>45337</v>
      </c>
      <c r="D248" t="s">
        <v>1896</v>
      </c>
      <c r="E248" s="6">
        <v>45340</v>
      </c>
      <c r="F248" t="s">
        <v>1897</v>
      </c>
      <c r="G248" t="s">
        <v>103</v>
      </c>
      <c r="H248" t="s">
        <v>103</v>
      </c>
      <c r="I248" t="s">
        <v>40</v>
      </c>
      <c r="J248" t="s">
        <v>40</v>
      </c>
      <c r="K248" t="s">
        <v>60</v>
      </c>
      <c r="L248" t="str">
        <f>IF(TRIM(K248)="","Unknown",PROPER(TRIM(K248)))</f>
        <v>South</v>
      </c>
      <c r="M248" t="s">
        <v>224</v>
      </c>
      <c r="N248" t="s">
        <v>225</v>
      </c>
      <c r="O248" t="s">
        <v>83</v>
      </c>
      <c r="P248" t="str">
        <f>IF(TRIM(O248)="","Unknown",PROPER(TRIM(O248)))</f>
        <v>Technology</v>
      </c>
      <c r="Q248" t="s">
        <v>84</v>
      </c>
      <c r="R248" t="s">
        <v>1898</v>
      </c>
      <c r="S248" t="s">
        <v>47</v>
      </c>
      <c r="T248" t="str">
        <f>IF(TRIM(S248)="","Unknown",PROPER(TRIM(S248)))</f>
        <v>Same Day</v>
      </c>
      <c r="U248">
        <v>8</v>
      </c>
      <c r="V248">
        <v>379.82</v>
      </c>
      <c r="W248">
        <v>0.05</v>
      </c>
      <c r="Y248">
        <v>0.05</v>
      </c>
      <c r="Z248">
        <v>2886.63</v>
      </c>
      <c r="AA248">
        <v>1588.23</v>
      </c>
      <c r="AB248">
        <v>1298.4000000000001</v>
      </c>
      <c r="AC248" t="s">
        <v>186</v>
      </c>
      <c r="AD248" t="s">
        <v>120</v>
      </c>
      <c r="AE248">
        <f>ROUND((U248*V248)-(U248*V248*Y248),2)</f>
        <v>2886.63</v>
      </c>
      <c r="AF248">
        <f>AE248-AA248</f>
        <v>1298.4000000000001</v>
      </c>
      <c r="AG248" s="7">
        <f>ROUND((AF248/AE248),4)</f>
        <v>0.44979999999999998</v>
      </c>
      <c r="AH248">
        <f>IF(AND(C248&lt;&gt;"",E248&lt;&gt;""),E248 - C248,"")</f>
        <v>3</v>
      </c>
      <c r="AI248" t="str">
        <f>IF(C248="","",TEXT(C248, "mmmm"))</f>
        <v>February</v>
      </c>
      <c r="AJ248">
        <f>IF(C248="","",YEAR(C248))</f>
        <v>2024</v>
      </c>
      <c r="AM248" t="str">
        <f>IF(AN248="","clean","")</f>
        <v>clean</v>
      </c>
      <c r="AN248" t="s">
        <v>3595</v>
      </c>
    </row>
    <row r="249" spans="1:40">
      <c r="A249" t="s">
        <v>1907</v>
      </c>
      <c r="B249" t="s">
        <v>1908</v>
      </c>
      <c r="C249" s="6">
        <v>45384</v>
      </c>
      <c r="D249" t="s">
        <v>1909</v>
      </c>
      <c r="E249" s="6">
        <v>45390</v>
      </c>
      <c r="F249" t="s">
        <v>342</v>
      </c>
      <c r="G249" t="s">
        <v>80</v>
      </c>
      <c r="H249" t="s">
        <v>80</v>
      </c>
      <c r="I249" t="s">
        <v>104</v>
      </c>
      <c r="J249" t="s">
        <v>104</v>
      </c>
      <c r="K249" t="s">
        <v>41</v>
      </c>
      <c r="L249" t="str">
        <f>IF(TRIM(K249)="","Unknown",PROPER(TRIM(K249)))</f>
        <v>East</v>
      </c>
      <c r="M249" t="s">
        <v>42</v>
      </c>
      <c r="N249" t="s">
        <v>43</v>
      </c>
      <c r="O249" t="s">
        <v>83</v>
      </c>
      <c r="P249" t="str">
        <f>IF(TRIM(O249)="","Unknown",PROPER(TRIM(O249)))</f>
        <v>Technology</v>
      </c>
      <c r="Q249" t="s">
        <v>347</v>
      </c>
      <c r="R249" t="s">
        <v>1910</v>
      </c>
      <c r="S249" t="s">
        <v>32</v>
      </c>
      <c r="T249" t="str">
        <f>IF(TRIM(S249)="","Unknown",PROPER(TRIM(S249)))</f>
        <v>Second Class</v>
      </c>
      <c r="U249">
        <v>6</v>
      </c>
      <c r="V249">
        <v>3722.84</v>
      </c>
      <c r="W249">
        <v>0.2</v>
      </c>
      <c r="Y249">
        <v>0.2</v>
      </c>
      <c r="Z249">
        <v>17869.63</v>
      </c>
      <c r="AA249">
        <v>12163.8</v>
      </c>
      <c r="AB249">
        <v>5705.83</v>
      </c>
      <c r="AC249" t="s">
        <v>33</v>
      </c>
      <c r="AD249" t="s">
        <v>34</v>
      </c>
      <c r="AE249">
        <f>ROUND((U249*V249)-(U249*V249*Y249),2)</f>
        <v>17869.63</v>
      </c>
      <c r="AF249">
        <f>AE249-AA249</f>
        <v>5705.8300000000017</v>
      </c>
      <c r="AG249" s="7">
        <f>ROUND((AF249/AE249),4)</f>
        <v>0.31929999999999997</v>
      </c>
      <c r="AH249">
        <f>IF(AND(C249&lt;&gt;"",E249&lt;&gt;""),E249 - C249,"")</f>
        <v>6</v>
      </c>
      <c r="AI249" t="str">
        <f>IF(C249="","",TEXT(C249, "mmmm"))</f>
        <v>April</v>
      </c>
      <c r="AJ249">
        <f>IF(C249="","",YEAR(C249))</f>
        <v>2024</v>
      </c>
      <c r="AM249" t="str">
        <f>IF(AN249="","clean","")</f>
        <v>clean</v>
      </c>
      <c r="AN249" t="s">
        <v>3595</v>
      </c>
    </row>
    <row r="250" spans="1:40">
      <c r="A250" t="s">
        <v>1911</v>
      </c>
      <c r="B250" t="s">
        <v>3865</v>
      </c>
      <c r="C250" s="6">
        <v>45568</v>
      </c>
      <c r="D250" t="s">
        <v>471</v>
      </c>
      <c r="E250" s="6">
        <v>45568</v>
      </c>
      <c r="F250" t="s">
        <v>1912</v>
      </c>
      <c r="G250" t="s">
        <v>24</v>
      </c>
      <c r="H250" t="s">
        <v>24</v>
      </c>
      <c r="I250" t="s">
        <v>25</v>
      </c>
      <c r="J250" t="s">
        <v>25</v>
      </c>
      <c r="K250" t="s">
        <v>41</v>
      </c>
      <c r="L250" t="str">
        <f>IF(TRIM(K250)="","Unknown",PROPER(TRIM(K250)))</f>
        <v>East</v>
      </c>
      <c r="M250" t="s">
        <v>174</v>
      </c>
      <c r="N250" t="s">
        <v>175</v>
      </c>
      <c r="O250" t="s">
        <v>44</v>
      </c>
      <c r="P250" t="str">
        <f>IF(TRIM(O250)="","Unknown",PROPER(TRIM(O250)))</f>
        <v>Furniture</v>
      </c>
      <c r="Q250" t="s">
        <v>190</v>
      </c>
      <c r="R250" t="s">
        <v>1913</v>
      </c>
      <c r="S250" t="s">
        <v>65</v>
      </c>
      <c r="T250" t="str">
        <f>IF(TRIM(S250)="","Unknown",PROPER(TRIM(S250)))</f>
        <v>Standard Class</v>
      </c>
      <c r="U250">
        <v>6</v>
      </c>
      <c r="V250">
        <v>4217.49</v>
      </c>
      <c r="W250">
        <v>0</v>
      </c>
      <c r="Y250">
        <v>0</v>
      </c>
      <c r="Z250">
        <v>25304.94</v>
      </c>
      <c r="AA250">
        <v>20771.95</v>
      </c>
      <c r="AB250">
        <v>4532.99</v>
      </c>
      <c r="AC250" t="s">
        <v>33</v>
      </c>
      <c r="AD250" t="s">
        <v>76</v>
      </c>
      <c r="AE250">
        <f>ROUND((U250*V250)-(U250*V250*Y250),2)</f>
        <v>25304.94</v>
      </c>
      <c r="AF250">
        <f>AE250-AA250</f>
        <v>4532.989999999998</v>
      </c>
      <c r="AG250" s="7">
        <f>ROUND((AF250/AE250),4)</f>
        <v>0.17910000000000001</v>
      </c>
      <c r="AH250">
        <f>IF(AND(C250&lt;&gt;"",E250&lt;&gt;""),E250 - C250,"")</f>
        <v>0</v>
      </c>
      <c r="AI250" t="str">
        <f>IF(C250="","",TEXT(C250, "mmmm"))</f>
        <v>October</v>
      </c>
      <c r="AJ250">
        <f>IF(C250="","",YEAR(C250))</f>
        <v>2024</v>
      </c>
      <c r="AM250" t="str">
        <f>IF(AN250="","clean","")</f>
        <v>clean</v>
      </c>
      <c r="AN250" t="s">
        <v>3595</v>
      </c>
    </row>
    <row r="251" spans="1:40">
      <c r="A251" t="s">
        <v>1919</v>
      </c>
      <c r="B251" t="s">
        <v>1920</v>
      </c>
      <c r="C251" s="6">
        <v>45386</v>
      </c>
      <c r="D251" t="s">
        <v>1669</v>
      </c>
      <c r="E251" s="6">
        <v>45389</v>
      </c>
      <c r="F251" t="s">
        <v>1921</v>
      </c>
      <c r="G251" t="s">
        <v>169</v>
      </c>
      <c r="H251" t="s">
        <v>169</v>
      </c>
      <c r="I251" t="s">
        <v>110</v>
      </c>
      <c r="J251" t="s">
        <v>110</v>
      </c>
      <c r="K251" t="s">
        <v>41</v>
      </c>
      <c r="L251" t="str">
        <f>IF(TRIM(K251)="","Unknown",PROPER(TRIM(K251)))</f>
        <v>East</v>
      </c>
      <c r="M251" t="s">
        <v>42</v>
      </c>
      <c r="N251" t="s">
        <v>43</v>
      </c>
      <c r="O251" t="s">
        <v>44</v>
      </c>
      <c r="P251" t="str">
        <f>IF(TRIM(O251)="","Unknown",PROPER(TRIM(O251)))</f>
        <v>Furniture</v>
      </c>
      <c r="Q251" t="s">
        <v>63</v>
      </c>
      <c r="R251" t="s">
        <v>1922</v>
      </c>
      <c r="S251" t="s">
        <v>55</v>
      </c>
      <c r="T251" t="str">
        <f>IF(TRIM(S251)="","Unknown",PROPER(TRIM(S251)))</f>
        <v>First Class</v>
      </c>
      <c r="U251">
        <v>1</v>
      </c>
      <c r="V251">
        <v>3683.75</v>
      </c>
      <c r="W251">
        <v>0.1</v>
      </c>
      <c r="Y251">
        <v>0.1</v>
      </c>
      <c r="Z251">
        <v>3315.38</v>
      </c>
      <c r="AA251">
        <v>2347.6799999999998</v>
      </c>
      <c r="AB251">
        <v>967.7</v>
      </c>
      <c r="AC251" t="s">
        <v>33</v>
      </c>
      <c r="AD251" t="s">
        <v>34</v>
      </c>
      <c r="AE251">
        <f>ROUND((U251*V251)-(U251*V251*Y251),2)</f>
        <v>3315.38</v>
      </c>
      <c r="AF251">
        <f>AE251-AA251</f>
        <v>967.70000000000027</v>
      </c>
      <c r="AG251" s="7">
        <f>ROUND((AF251/AE251),4)</f>
        <v>0.29189999999999999</v>
      </c>
      <c r="AH251">
        <f>IF(AND(C251&lt;&gt;"",E251&lt;&gt;""),E251 - C251,"")</f>
        <v>3</v>
      </c>
      <c r="AI251" t="str">
        <f>IF(C251="","",TEXT(C251, "mmmm"))</f>
        <v>April</v>
      </c>
      <c r="AJ251">
        <f>IF(C251="","",YEAR(C251))</f>
        <v>2024</v>
      </c>
      <c r="AM251" t="str">
        <f>IF(AN251="","clean","")</f>
        <v>clean</v>
      </c>
      <c r="AN251" t="s">
        <v>3595</v>
      </c>
    </row>
    <row r="252" spans="1:40">
      <c r="A252" t="s">
        <v>1926</v>
      </c>
      <c r="B252" t="s">
        <v>3867</v>
      </c>
      <c r="C252" s="6">
        <v>45421</v>
      </c>
      <c r="D252" t="s">
        <v>1927</v>
      </c>
      <c r="E252" s="6">
        <v>45417</v>
      </c>
      <c r="F252" t="s">
        <v>1928</v>
      </c>
      <c r="G252" t="s">
        <v>59</v>
      </c>
      <c r="H252" t="s">
        <v>59</v>
      </c>
      <c r="I252" t="s">
        <v>25</v>
      </c>
      <c r="J252" t="s">
        <v>25</v>
      </c>
      <c r="K252" t="s">
        <v>41</v>
      </c>
      <c r="L252" t="str">
        <f>IF(TRIM(K252)="","Unknown",PROPER(TRIM(K252)))</f>
        <v>East</v>
      </c>
      <c r="M252" t="s">
        <v>201</v>
      </c>
      <c r="N252" t="s">
        <v>202</v>
      </c>
      <c r="O252" t="s">
        <v>44</v>
      </c>
      <c r="P252" t="str">
        <f>IF(TRIM(O252)="","Unknown",PROPER(TRIM(O252)))</f>
        <v>Furniture</v>
      </c>
      <c r="Q252" t="s">
        <v>190</v>
      </c>
      <c r="R252" t="s">
        <v>1929</v>
      </c>
      <c r="S252" t="s">
        <v>47</v>
      </c>
      <c r="T252" t="str">
        <f>IF(TRIM(S252)="","Unknown",PROPER(TRIM(S252)))</f>
        <v>Same Day</v>
      </c>
      <c r="U252">
        <v>2</v>
      </c>
      <c r="V252">
        <v>2111.23</v>
      </c>
      <c r="W252">
        <v>0.2</v>
      </c>
      <c r="Y252">
        <v>0.2</v>
      </c>
      <c r="Z252">
        <v>3377.97</v>
      </c>
      <c r="AA252">
        <v>2496.29</v>
      </c>
      <c r="AB252">
        <v>881.68</v>
      </c>
      <c r="AC252" t="s">
        <v>33</v>
      </c>
      <c r="AD252" t="s">
        <v>34</v>
      </c>
      <c r="AE252">
        <f>ROUND((U252*V252)-(U252*V252*Y252),2)</f>
        <v>3377.97</v>
      </c>
      <c r="AF252">
        <f>AE252-AA252</f>
        <v>881.67999999999984</v>
      </c>
      <c r="AG252" s="7">
        <f>ROUND((AF252/AE252),4)</f>
        <v>0.26100000000000001</v>
      </c>
      <c r="AH252">
        <f>IF(AND(C252&lt;&gt;"",E252&lt;&gt;""),E252 - C252,"")</f>
        <v>-4</v>
      </c>
      <c r="AI252" t="str">
        <f>IF(C252="","",TEXT(C252, "mmmm"))</f>
        <v>May</v>
      </c>
      <c r="AJ252">
        <f>IF(C252="","",YEAR(C252))</f>
        <v>2024</v>
      </c>
      <c r="AM252" t="s">
        <v>4145</v>
      </c>
      <c r="AN252" t="s">
        <v>4140</v>
      </c>
    </row>
    <row r="253" spans="1:40">
      <c r="A253" t="s">
        <v>1939</v>
      </c>
      <c r="B253" t="s">
        <v>3868</v>
      </c>
      <c r="C253" s="6">
        <v>45306</v>
      </c>
      <c r="D253" t="s">
        <v>298</v>
      </c>
      <c r="E253" s="6">
        <v>45309</v>
      </c>
      <c r="F253" t="s">
        <v>1940</v>
      </c>
      <c r="G253" t="s">
        <v>39</v>
      </c>
      <c r="H253" t="s">
        <v>39</v>
      </c>
      <c r="I253" t="s">
        <v>40</v>
      </c>
      <c r="J253" t="s">
        <v>40</v>
      </c>
      <c r="K253" t="s">
        <v>60</v>
      </c>
      <c r="L253" t="str">
        <f>IF(TRIM(K253)="","Unknown",PROPER(TRIM(K253)))</f>
        <v>South</v>
      </c>
      <c r="M253" t="s">
        <v>97</v>
      </c>
      <c r="N253" t="s">
        <v>98</v>
      </c>
      <c r="O253" t="s">
        <v>44</v>
      </c>
      <c r="P253" t="str">
        <f>IF(TRIM(O253)="","Unknown",PROPER(TRIM(O253)))</f>
        <v>Furniture</v>
      </c>
      <c r="Q253" t="s">
        <v>74</v>
      </c>
      <c r="R253" t="s">
        <v>1941</v>
      </c>
      <c r="S253" t="s">
        <v>55</v>
      </c>
      <c r="T253" t="str">
        <f>IF(TRIM(S253)="","Unknown",PROPER(TRIM(S253)))</f>
        <v>First Class</v>
      </c>
      <c r="U253">
        <v>2</v>
      </c>
      <c r="V253">
        <v>201.21</v>
      </c>
      <c r="W253">
        <v>0.15</v>
      </c>
      <c r="Y253">
        <v>0.15</v>
      </c>
      <c r="Z253">
        <v>342.06</v>
      </c>
      <c r="AA253">
        <v>244.57</v>
      </c>
      <c r="AB253">
        <v>97.49</v>
      </c>
      <c r="AC253" t="s">
        <v>33</v>
      </c>
      <c r="AD253" t="s">
        <v>34</v>
      </c>
      <c r="AE253">
        <f>ROUND((U253*V253)-(U253*V253*Y253),2)</f>
        <v>342.06</v>
      </c>
      <c r="AF253">
        <f>AE253-AA253</f>
        <v>97.490000000000009</v>
      </c>
      <c r="AG253" s="7">
        <f>ROUND((AF253/AE253),4)</f>
        <v>0.28499999999999998</v>
      </c>
      <c r="AH253">
        <f>IF(AND(C253&lt;&gt;"",E253&lt;&gt;""),E253 - C253,"")</f>
        <v>3</v>
      </c>
      <c r="AI253" t="str">
        <f>IF(C253="","",TEXT(C253, "mmmm"))</f>
        <v>January</v>
      </c>
      <c r="AJ253">
        <f>IF(C253="","",YEAR(C253))</f>
        <v>2024</v>
      </c>
      <c r="AM253" t="str">
        <f>IF(AN253="","clean","")</f>
        <v>clean</v>
      </c>
      <c r="AN253" t="s">
        <v>3595</v>
      </c>
    </row>
    <row r="254" spans="1:40">
      <c r="A254" t="s">
        <v>1942</v>
      </c>
      <c r="B254" t="s">
        <v>3869</v>
      </c>
      <c r="C254" s="6">
        <v>45449</v>
      </c>
      <c r="D254" t="s">
        <v>1943</v>
      </c>
      <c r="E254" s="6">
        <v>45456</v>
      </c>
      <c r="F254" t="s">
        <v>1798</v>
      </c>
      <c r="G254" t="s">
        <v>103</v>
      </c>
      <c r="H254" t="s">
        <v>103</v>
      </c>
      <c r="I254" t="s">
        <v>104</v>
      </c>
      <c r="J254" t="s">
        <v>104</v>
      </c>
      <c r="K254" t="s">
        <v>41</v>
      </c>
      <c r="L254" t="str">
        <f>IF(TRIM(K254)="","Unknown",PROPER(TRIM(K254)))</f>
        <v>East</v>
      </c>
      <c r="M254" t="s">
        <v>201</v>
      </c>
      <c r="N254" t="s">
        <v>202</v>
      </c>
      <c r="O254" t="s">
        <v>83</v>
      </c>
      <c r="P254" t="str">
        <f>IF(TRIM(O254)="","Unknown",PROPER(TRIM(O254)))</f>
        <v>Technology</v>
      </c>
      <c r="Q254" t="s">
        <v>347</v>
      </c>
      <c r="R254" t="s">
        <v>1944</v>
      </c>
      <c r="S254" t="s">
        <v>32</v>
      </c>
      <c r="T254" t="str">
        <f>IF(TRIM(S254)="","Unknown",PROPER(TRIM(S254)))</f>
        <v>Second Class</v>
      </c>
      <c r="U254">
        <v>6</v>
      </c>
      <c r="V254">
        <v>3270.36</v>
      </c>
      <c r="W254">
        <v>0</v>
      </c>
      <c r="Y254">
        <v>0</v>
      </c>
      <c r="Z254">
        <v>19622.16</v>
      </c>
      <c r="AA254">
        <v>14271.27</v>
      </c>
      <c r="AB254">
        <v>5350.89</v>
      </c>
      <c r="AC254" t="s">
        <v>33</v>
      </c>
      <c r="AD254" t="s">
        <v>34</v>
      </c>
      <c r="AE254">
        <f>ROUND((U254*V254)-(U254*V254*Y254),2)</f>
        <v>19622.16</v>
      </c>
      <c r="AF254">
        <f>AE254-AA254</f>
        <v>5350.8899999999994</v>
      </c>
      <c r="AG254" s="7">
        <f>ROUND((AF254/AE254),4)</f>
        <v>0.2727</v>
      </c>
      <c r="AH254">
        <f>IF(AND(C254&lt;&gt;"",E254&lt;&gt;""),E254 - C254,"")</f>
        <v>7</v>
      </c>
      <c r="AI254" t="str">
        <f>IF(C254="","",TEXT(C254, "mmmm"))</f>
        <v>June</v>
      </c>
      <c r="AJ254">
        <f>IF(C254="","",YEAR(C254))</f>
        <v>2024</v>
      </c>
      <c r="AM254" t="str">
        <f>IF(AN254="","clean","")</f>
        <v>clean</v>
      </c>
      <c r="AN254" t="s">
        <v>3595</v>
      </c>
    </row>
    <row r="255" spans="1:40">
      <c r="A255" t="s">
        <v>1949</v>
      </c>
      <c r="B255" t="s">
        <v>3870</v>
      </c>
      <c r="D255" t="s">
        <v>1950</v>
      </c>
      <c r="F255" t="s">
        <v>1951</v>
      </c>
      <c r="G255" t="s">
        <v>169</v>
      </c>
      <c r="H255" t="s">
        <v>169</v>
      </c>
      <c r="I255" t="s">
        <v>40</v>
      </c>
      <c r="J255" t="s">
        <v>40</v>
      </c>
      <c r="K255" t="s">
        <v>26</v>
      </c>
      <c r="L255" t="str">
        <f>IF(TRIM(K255)="","Unknown",PROPER(TRIM(K255)))</f>
        <v>North</v>
      </c>
      <c r="M255" t="s">
        <v>294</v>
      </c>
      <c r="N255" t="s">
        <v>295</v>
      </c>
      <c r="O255" t="s">
        <v>29</v>
      </c>
      <c r="P255" t="str">
        <f>IF(TRIM(O255)="","Unknown",PROPER(TRIM(O255)))</f>
        <v>Office Supplies</v>
      </c>
      <c r="Q255" t="s">
        <v>30</v>
      </c>
      <c r="R255" t="s">
        <v>1952</v>
      </c>
      <c r="S255" t="s">
        <v>32</v>
      </c>
      <c r="T255" t="str">
        <f>IF(TRIM(S255)="","Unknown",PROPER(TRIM(S255)))</f>
        <v>Second Class</v>
      </c>
      <c r="U255">
        <v>8</v>
      </c>
      <c r="V255">
        <v>1917.64</v>
      </c>
      <c r="W255">
        <v>0.15</v>
      </c>
      <c r="Y255">
        <v>0.15</v>
      </c>
      <c r="Z255">
        <v>13039.95</v>
      </c>
      <c r="AA255">
        <v>11127.82</v>
      </c>
      <c r="AB255">
        <v>1912.13</v>
      </c>
      <c r="AC255" t="s">
        <v>33</v>
      </c>
      <c r="AD255" t="s">
        <v>76</v>
      </c>
      <c r="AE255">
        <f>ROUND((U255*V255)-(U255*V255*Y255),2)</f>
        <v>13039.95</v>
      </c>
      <c r="AF255">
        <f>AE255-AA255</f>
        <v>1912.130000000001</v>
      </c>
      <c r="AG255" s="7">
        <f>ROUND((AF255/AE255),4)</f>
        <v>0.14660000000000001</v>
      </c>
      <c r="AH255" t="str">
        <f>IF(AND(C255&lt;&gt;"",E255&lt;&gt;""),E255 - C255,"")</f>
        <v/>
      </c>
      <c r="AI255" t="str">
        <f>IF(C255="","",TEXT(C255, "mmmm"))</f>
        <v/>
      </c>
      <c r="AJ255" t="str">
        <f>IF(C255="","",YEAR(C255))</f>
        <v/>
      </c>
      <c r="AM255" t="s">
        <v>4144</v>
      </c>
      <c r="AN255" t="s">
        <v>4123</v>
      </c>
    </row>
    <row r="256" spans="1:40">
      <c r="A256" t="s">
        <v>1953</v>
      </c>
      <c r="B256" t="s">
        <v>3871</v>
      </c>
      <c r="C256" s="6">
        <v>45422</v>
      </c>
      <c r="D256" t="s">
        <v>1206</v>
      </c>
      <c r="E256" s="6">
        <v>45428</v>
      </c>
      <c r="F256" t="s">
        <v>1954</v>
      </c>
      <c r="G256" t="s">
        <v>196</v>
      </c>
      <c r="H256" t="s">
        <v>196</v>
      </c>
      <c r="I256" t="s">
        <v>110</v>
      </c>
      <c r="J256" t="s">
        <v>110</v>
      </c>
      <c r="K256" t="s">
        <v>41</v>
      </c>
      <c r="L256" t="str">
        <f>IF(TRIM(K256)="","Unknown",PROPER(TRIM(K256)))</f>
        <v>East</v>
      </c>
      <c r="M256" t="s">
        <v>284</v>
      </c>
      <c r="N256" t="s">
        <v>285</v>
      </c>
      <c r="O256" t="s">
        <v>83</v>
      </c>
      <c r="P256" t="str">
        <f>IF(TRIM(O256)="","Unknown",PROPER(TRIM(O256)))</f>
        <v>Technology</v>
      </c>
      <c r="Q256" t="s">
        <v>84</v>
      </c>
      <c r="R256" t="s">
        <v>1955</v>
      </c>
      <c r="S256" t="s">
        <v>32</v>
      </c>
      <c r="T256" t="str">
        <f>IF(TRIM(S256)="","Unknown",PROPER(TRIM(S256)))</f>
        <v>Second Class</v>
      </c>
      <c r="U256">
        <v>6</v>
      </c>
      <c r="V256">
        <v>2013.33</v>
      </c>
      <c r="W256">
        <v>0.2</v>
      </c>
      <c r="Y256">
        <v>0.2</v>
      </c>
      <c r="Z256">
        <v>9663.98</v>
      </c>
      <c r="AA256">
        <v>5628.93</v>
      </c>
      <c r="AB256">
        <v>4035.05</v>
      </c>
      <c r="AC256" t="s">
        <v>33</v>
      </c>
      <c r="AD256" t="s">
        <v>34</v>
      </c>
      <c r="AE256">
        <f>ROUND((U256*V256)-(U256*V256*Y256),2)</f>
        <v>9663.98</v>
      </c>
      <c r="AF256">
        <f>AE256-AA256</f>
        <v>4035.0499999999993</v>
      </c>
      <c r="AG256" s="7">
        <f>ROUND((AF256/AE256),4)</f>
        <v>0.41749999999999998</v>
      </c>
      <c r="AH256">
        <f>IF(AND(C256&lt;&gt;"",E256&lt;&gt;""),E256 - C256,"")</f>
        <v>6</v>
      </c>
      <c r="AI256" t="str">
        <f>IF(C256="","",TEXT(C256, "mmmm"))</f>
        <v>May</v>
      </c>
      <c r="AJ256">
        <f>IF(C256="","",YEAR(C256))</f>
        <v>2024</v>
      </c>
      <c r="AM256" t="str">
        <f>IF(AN256="","clean","")</f>
        <v>clean</v>
      </c>
      <c r="AN256" t="s">
        <v>3595</v>
      </c>
    </row>
    <row r="257" spans="1:40">
      <c r="A257" t="s">
        <v>1965</v>
      </c>
      <c r="B257" t="s">
        <v>3873</v>
      </c>
      <c r="C257" s="6">
        <v>45491</v>
      </c>
      <c r="D257" t="s">
        <v>1966</v>
      </c>
      <c r="F257" t="s">
        <v>1967</v>
      </c>
      <c r="G257" t="s">
        <v>90</v>
      </c>
      <c r="H257" t="s">
        <v>90</v>
      </c>
      <c r="I257" t="s">
        <v>40</v>
      </c>
      <c r="J257" t="s">
        <v>40</v>
      </c>
      <c r="K257" t="s">
        <v>60</v>
      </c>
      <c r="L257" t="str">
        <f>IF(TRIM(K257)="","Unknown",PROPER(TRIM(K257)))</f>
        <v>South</v>
      </c>
      <c r="M257" t="s">
        <v>61</v>
      </c>
      <c r="N257" t="s">
        <v>62</v>
      </c>
      <c r="O257" t="s">
        <v>29</v>
      </c>
      <c r="P257" t="str">
        <f>IF(TRIM(O257)="","Unknown",PROPER(TRIM(O257)))</f>
        <v>Office Supplies</v>
      </c>
      <c r="Q257" t="s">
        <v>53</v>
      </c>
      <c r="R257" t="s">
        <v>1968</v>
      </c>
      <c r="S257" t="s">
        <v>65</v>
      </c>
      <c r="T257" t="str">
        <f>IF(TRIM(S257)="","Unknown",PROPER(TRIM(S257)))</f>
        <v>Standard Class</v>
      </c>
      <c r="U257">
        <v>4</v>
      </c>
      <c r="V257">
        <v>808.77</v>
      </c>
      <c r="W257">
        <v>0</v>
      </c>
      <c r="Y257">
        <v>0</v>
      </c>
      <c r="Z257">
        <v>3235.08</v>
      </c>
      <c r="AA257">
        <v>1848.6</v>
      </c>
      <c r="AB257">
        <v>1386.48</v>
      </c>
      <c r="AC257" t="s">
        <v>33</v>
      </c>
      <c r="AD257" t="s">
        <v>34</v>
      </c>
      <c r="AE257">
        <f>ROUND((U257*V257)-(U257*V257*Y257),2)</f>
        <v>3235.08</v>
      </c>
      <c r="AF257">
        <f>AE257-AA257</f>
        <v>1386.48</v>
      </c>
      <c r="AG257" s="7">
        <f>ROUND((AF257/AE257),4)</f>
        <v>0.42859999999999998</v>
      </c>
      <c r="AH257" t="str">
        <f>IF(AND(C257&lt;&gt;"",E257&lt;&gt;""),E257 - C257,"")</f>
        <v/>
      </c>
      <c r="AI257" t="str">
        <f>IF(C257="","",TEXT(C257, "mmmm"))</f>
        <v>July</v>
      </c>
      <c r="AJ257">
        <f>IF(C257="","",YEAR(C257))</f>
        <v>2024</v>
      </c>
      <c r="AM257" t="s">
        <v>4144</v>
      </c>
      <c r="AN257" t="s">
        <v>4136</v>
      </c>
    </row>
    <row r="258" spans="1:40">
      <c r="A258" t="s">
        <v>1969</v>
      </c>
      <c r="B258" t="s">
        <v>1837</v>
      </c>
      <c r="C258" s="6">
        <v>45342</v>
      </c>
      <c r="D258" t="s">
        <v>1837</v>
      </c>
      <c r="E258" s="6">
        <v>45342</v>
      </c>
      <c r="F258" t="s">
        <v>1970</v>
      </c>
      <c r="G258" t="s">
        <v>90</v>
      </c>
      <c r="H258" t="s">
        <v>90</v>
      </c>
      <c r="I258" t="s">
        <v>104</v>
      </c>
      <c r="J258" t="s">
        <v>104</v>
      </c>
      <c r="K258" t="s">
        <v>26</v>
      </c>
      <c r="L258" t="str">
        <f>IF(TRIM(K258)="","Unknown",PROPER(TRIM(K258)))</f>
        <v>North</v>
      </c>
      <c r="M258" t="s">
        <v>163</v>
      </c>
      <c r="N258" t="s">
        <v>164</v>
      </c>
      <c r="O258" t="s">
        <v>83</v>
      </c>
      <c r="P258" t="str">
        <f>IF(TRIM(O258)="","Unknown",PROPER(TRIM(O258)))</f>
        <v>Technology</v>
      </c>
      <c r="Q258" t="s">
        <v>84</v>
      </c>
      <c r="R258" t="s">
        <v>1971</v>
      </c>
      <c r="S258" t="s">
        <v>47</v>
      </c>
      <c r="T258" t="str">
        <f>IF(TRIM(S258)="","Unknown",PROPER(TRIM(S258)))</f>
        <v>Same Day</v>
      </c>
      <c r="U258">
        <v>5</v>
      </c>
      <c r="V258">
        <v>2604.91</v>
      </c>
      <c r="W258">
        <v>0.15</v>
      </c>
      <c r="Y258">
        <v>0.15</v>
      </c>
      <c r="Z258">
        <v>11070.87</v>
      </c>
      <c r="AA258">
        <v>6623.61</v>
      </c>
      <c r="AB258">
        <v>4447.26</v>
      </c>
      <c r="AC258" t="s">
        <v>33</v>
      </c>
      <c r="AD258" t="s">
        <v>120</v>
      </c>
      <c r="AE258">
        <f>ROUND((U258*V258)-(U258*V258*Y258),2)</f>
        <v>11070.87</v>
      </c>
      <c r="AF258">
        <f>AE258-AA258</f>
        <v>4447.2600000000011</v>
      </c>
      <c r="AG258" s="7">
        <f>ROUND((AF258/AE258),4)</f>
        <v>0.4017</v>
      </c>
      <c r="AH258">
        <f>IF(AND(C258&lt;&gt;"",E258&lt;&gt;""),E258 - C258,"")</f>
        <v>0</v>
      </c>
      <c r="AI258" t="str">
        <f>IF(C258="","",TEXT(C258, "mmmm"))</f>
        <v>February</v>
      </c>
      <c r="AJ258">
        <f>IF(C258="","",YEAR(C258))</f>
        <v>2024</v>
      </c>
      <c r="AM258" t="str">
        <f>IF(AN258="","clean","")</f>
        <v>clean</v>
      </c>
      <c r="AN258" t="s">
        <v>3595</v>
      </c>
    </row>
    <row r="259" spans="1:40">
      <c r="A259" t="s">
        <v>1972</v>
      </c>
      <c r="B259" t="s">
        <v>3874</v>
      </c>
      <c r="C259" s="6">
        <v>45416</v>
      </c>
      <c r="D259" t="s">
        <v>1973</v>
      </c>
      <c r="E259" s="6">
        <v>45416</v>
      </c>
      <c r="F259" t="s">
        <v>1974</v>
      </c>
      <c r="G259" t="s">
        <v>39</v>
      </c>
      <c r="H259" t="s">
        <v>39</v>
      </c>
      <c r="I259" t="s">
        <v>40</v>
      </c>
      <c r="J259" t="s">
        <v>40</v>
      </c>
      <c r="K259" t="s">
        <v>71</v>
      </c>
      <c r="L259" t="str">
        <f>IF(TRIM(K259)="","Unknown",PROPER(TRIM(K259)))</f>
        <v>West</v>
      </c>
      <c r="M259" t="s">
        <v>230</v>
      </c>
      <c r="N259" t="s">
        <v>231</v>
      </c>
      <c r="O259" t="s">
        <v>44</v>
      </c>
      <c r="P259" t="str">
        <f>IF(TRIM(O259)="","Unknown",PROPER(TRIM(O259)))</f>
        <v>Furniture</v>
      </c>
      <c r="Q259" t="s">
        <v>45</v>
      </c>
      <c r="R259" t="s">
        <v>1975</v>
      </c>
      <c r="S259" t="s">
        <v>65</v>
      </c>
      <c r="T259" t="str">
        <f>IF(TRIM(S259)="","Unknown",PROPER(TRIM(S259)))</f>
        <v>Standard Class</v>
      </c>
      <c r="U259">
        <v>7</v>
      </c>
      <c r="V259">
        <v>2851.51</v>
      </c>
      <c r="W259">
        <v>0</v>
      </c>
      <c r="Y259">
        <v>0</v>
      </c>
      <c r="Z259">
        <v>19960.57</v>
      </c>
      <c r="AA259">
        <v>16603.599999999999</v>
      </c>
      <c r="AB259">
        <v>3356.97</v>
      </c>
      <c r="AC259" t="s">
        <v>33</v>
      </c>
      <c r="AD259" t="s">
        <v>34</v>
      </c>
      <c r="AE259">
        <f>ROUND((U259*V259)-(U259*V259*Y259),2)</f>
        <v>19960.57</v>
      </c>
      <c r="AF259">
        <f>AE259-AA259</f>
        <v>3356.9700000000012</v>
      </c>
      <c r="AG259" s="7">
        <f>ROUND((AF259/AE259),4)</f>
        <v>0.16819999999999999</v>
      </c>
      <c r="AH259">
        <f>IF(AND(C259&lt;&gt;"",E259&lt;&gt;""),E259 - C259,"")</f>
        <v>0</v>
      </c>
      <c r="AI259" t="str">
        <f>IF(C259="","",TEXT(C259, "mmmm"))</f>
        <v>May</v>
      </c>
      <c r="AJ259">
        <f>IF(C259="","",YEAR(C259))</f>
        <v>2024</v>
      </c>
      <c r="AM259" t="str">
        <f>IF(AN259="","clean","")</f>
        <v>clean</v>
      </c>
      <c r="AN259" t="s">
        <v>3595</v>
      </c>
    </row>
    <row r="260" spans="1:40">
      <c r="A260" t="s">
        <v>1976</v>
      </c>
      <c r="B260" t="s">
        <v>3875</v>
      </c>
      <c r="C260" s="6">
        <v>45332</v>
      </c>
      <c r="D260" t="s">
        <v>763</v>
      </c>
      <c r="E260" s="6">
        <v>45333</v>
      </c>
      <c r="F260" t="s">
        <v>1977</v>
      </c>
      <c r="G260" t="s">
        <v>24</v>
      </c>
      <c r="H260" t="s">
        <v>24</v>
      </c>
      <c r="I260" t="s">
        <v>104</v>
      </c>
      <c r="J260" t="s">
        <v>104</v>
      </c>
      <c r="K260" t="s">
        <v>26</v>
      </c>
      <c r="L260" t="str">
        <f>IF(TRIM(K260)="","Unknown",PROPER(TRIM(K260)))</f>
        <v>North</v>
      </c>
      <c r="M260" t="s">
        <v>27</v>
      </c>
      <c r="N260" t="s">
        <v>28</v>
      </c>
      <c r="O260" t="s">
        <v>83</v>
      </c>
      <c r="P260" t="str">
        <f>IF(TRIM(O260)="","Unknown",PROPER(TRIM(O260)))</f>
        <v>Technology</v>
      </c>
      <c r="Q260" t="s">
        <v>207</v>
      </c>
      <c r="R260" t="s">
        <v>1978</v>
      </c>
      <c r="S260" t="s">
        <v>32</v>
      </c>
      <c r="T260" t="str">
        <f>IF(TRIM(S260)="","Unknown",PROPER(TRIM(S260)))</f>
        <v>Second Class</v>
      </c>
      <c r="U260">
        <v>3</v>
      </c>
      <c r="V260">
        <v>3183.72</v>
      </c>
      <c r="W260">
        <v>0.1</v>
      </c>
      <c r="Y260">
        <v>0.1</v>
      </c>
      <c r="Z260">
        <v>8596.0400000000009</v>
      </c>
      <c r="AA260">
        <v>5378.16</v>
      </c>
      <c r="AB260">
        <v>3217.88</v>
      </c>
      <c r="AC260" t="s">
        <v>33</v>
      </c>
      <c r="AD260" t="s">
        <v>34</v>
      </c>
      <c r="AE260">
        <f>ROUND((U260*V260)-(U260*V260*Y260),2)</f>
        <v>8596.0400000000009</v>
      </c>
      <c r="AF260">
        <f>AE260-AA260</f>
        <v>3217.880000000001</v>
      </c>
      <c r="AG260" s="7">
        <f>ROUND((AF260/AE260),4)</f>
        <v>0.37430000000000002</v>
      </c>
      <c r="AH260">
        <f>IF(AND(C260&lt;&gt;"",E260&lt;&gt;""),E260 - C260,"")</f>
        <v>1</v>
      </c>
      <c r="AI260" t="str">
        <f>IF(C260="","",TEXT(C260, "mmmm"))</f>
        <v>February</v>
      </c>
      <c r="AJ260">
        <f>IF(C260="","",YEAR(C260))</f>
        <v>2024</v>
      </c>
      <c r="AM260" t="str">
        <f>IF(AN260="","clean","")</f>
        <v>clean</v>
      </c>
      <c r="AN260" t="s">
        <v>3595</v>
      </c>
    </row>
    <row r="261" spans="1:40">
      <c r="A261" t="s">
        <v>1979</v>
      </c>
      <c r="B261" t="s">
        <v>3876</v>
      </c>
      <c r="C261" s="6">
        <v>45379</v>
      </c>
      <c r="D261" t="s">
        <v>1920</v>
      </c>
      <c r="E261" s="6">
        <v>45386</v>
      </c>
      <c r="F261" t="s">
        <v>1980</v>
      </c>
      <c r="G261" t="s">
        <v>70</v>
      </c>
      <c r="H261" t="s">
        <v>70</v>
      </c>
      <c r="I261" t="s">
        <v>110</v>
      </c>
      <c r="J261" t="s">
        <v>110</v>
      </c>
      <c r="K261" t="s">
        <v>71</v>
      </c>
      <c r="L261" t="str">
        <f>IF(TRIM(K261)="","Unknown",PROPER(TRIM(K261)))</f>
        <v>West</v>
      </c>
      <c r="M261" t="s">
        <v>230</v>
      </c>
      <c r="N261" t="s">
        <v>231</v>
      </c>
      <c r="O261" t="s">
        <v>29</v>
      </c>
      <c r="P261" t="str">
        <f>IF(TRIM(O261)="","Unknown",PROPER(TRIM(O261)))</f>
        <v>Office Supplies</v>
      </c>
      <c r="Q261" t="s">
        <v>30</v>
      </c>
      <c r="R261" t="s">
        <v>1981</v>
      </c>
      <c r="S261" t="s">
        <v>55</v>
      </c>
      <c r="T261" t="str">
        <f>IF(TRIM(S261)="","Unknown",PROPER(TRIM(S261)))</f>
        <v>First Class</v>
      </c>
      <c r="U261">
        <v>3</v>
      </c>
      <c r="V261">
        <v>1150.92</v>
      </c>
      <c r="W261">
        <v>0</v>
      </c>
      <c r="Y261">
        <v>0</v>
      </c>
      <c r="Z261">
        <v>3452.76</v>
      </c>
      <c r="AA261">
        <v>2077.96</v>
      </c>
      <c r="AB261">
        <v>1374.8</v>
      </c>
      <c r="AC261" t="s">
        <v>33</v>
      </c>
      <c r="AD261" t="s">
        <v>34</v>
      </c>
      <c r="AE261">
        <f>ROUND((U261*V261)-(U261*V261*Y261),2)</f>
        <v>3452.76</v>
      </c>
      <c r="AF261">
        <f>AE261-AA261</f>
        <v>1374.8000000000002</v>
      </c>
      <c r="AG261" s="7">
        <f>ROUND((AF261/AE261),4)</f>
        <v>0.3982</v>
      </c>
      <c r="AH261">
        <f>IF(AND(C261&lt;&gt;"",E261&lt;&gt;""),E261 - C261,"")</f>
        <v>7</v>
      </c>
      <c r="AI261" t="str">
        <f>IF(C261="","",TEXT(C261, "mmmm"))</f>
        <v>March</v>
      </c>
      <c r="AJ261">
        <f>IF(C261="","",YEAR(C261))</f>
        <v>2024</v>
      </c>
      <c r="AM261" t="str">
        <f>IF(AN261="","clean","")</f>
        <v>clean</v>
      </c>
      <c r="AN261" t="s">
        <v>3595</v>
      </c>
    </row>
    <row r="262" spans="1:40">
      <c r="A262" t="s">
        <v>1989</v>
      </c>
      <c r="B262" t="s">
        <v>3844</v>
      </c>
      <c r="C262" s="6">
        <v>45558</v>
      </c>
      <c r="D262" t="s">
        <v>1990</v>
      </c>
      <c r="F262" t="s">
        <v>1991</v>
      </c>
      <c r="G262" t="s">
        <v>153</v>
      </c>
      <c r="H262" t="s">
        <v>153</v>
      </c>
      <c r="I262" t="s">
        <v>110</v>
      </c>
      <c r="J262" t="s">
        <v>110</v>
      </c>
      <c r="K262" t="s">
        <v>26</v>
      </c>
      <c r="L262" t="str">
        <f>IF(TRIM(K262)="","Unknown",PROPER(TRIM(K262)))</f>
        <v>North</v>
      </c>
      <c r="M262" t="s">
        <v>454</v>
      </c>
      <c r="N262" t="s">
        <v>455</v>
      </c>
      <c r="O262" t="s">
        <v>29</v>
      </c>
      <c r="P262" t="str">
        <f>IF(TRIM(O262)="","Unknown",PROPER(TRIM(O262)))</f>
        <v>Office Supplies</v>
      </c>
      <c r="Q262" t="s">
        <v>184</v>
      </c>
      <c r="R262" t="s">
        <v>1992</v>
      </c>
      <c r="S262" t="s">
        <v>55</v>
      </c>
      <c r="T262" t="str">
        <f>IF(TRIM(S262)="","Unknown",PROPER(TRIM(S262)))</f>
        <v>First Class</v>
      </c>
      <c r="U262">
        <v>2</v>
      </c>
      <c r="V262">
        <v>1275.1400000000001</v>
      </c>
      <c r="W262">
        <v>0.2</v>
      </c>
      <c r="Y262">
        <v>0.2</v>
      </c>
      <c r="Z262">
        <v>2040.22</v>
      </c>
      <c r="AA262">
        <v>1395.71</v>
      </c>
      <c r="AB262">
        <v>644.51</v>
      </c>
      <c r="AC262" t="s">
        <v>33</v>
      </c>
      <c r="AD262" t="s">
        <v>34</v>
      </c>
      <c r="AE262">
        <f>ROUND((U262*V262)-(U262*V262*Y262),2)</f>
        <v>2040.22</v>
      </c>
      <c r="AF262">
        <f>AE262-AA262</f>
        <v>644.51</v>
      </c>
      <c r="AG262" s="7">
        <f>ROUND((AF262/AE262),4)</f>
        <v>0.31590000000000001</v>
      </c>
      <c r="AH262" t="str">
        <f>IF(AND(C262&lt;&gt;"",E262&lt;&gt;""),E262 - C262,"")</f>
        <v/>
      </c>
      <c r="AI262" t="str">
        <f>IF(C262="","",TEXT(C262, "mmmm"))</f>
        <v>September</v>
      </c>
      <c r="AJ262">
        <f>IF(C262="","",YEAR(C262))</f>
        <v>2024</v>
      </c>
      <c r="AM262" t="s">
        <v>4144</v>
      </c>
      <c r="AN262" t="s">
        <v>4136</v>
      </c>
    </row>
    <row r="263" spans="1:40">
      <c r="A263" t="s">
        <v>2001</v>
      </c>
      <c r="B263" t="s">
        <v>3880</v>
      </c>
      <c r="D263" t="s">
        <v>2002</v>
      </c>
      <c r="E263" s="6">
        <v>45328</v>
      </c>
      <c r="F263" t="s">
        <v>2003</v>
      </c>
      <c r="G263" t="s">
        <v>153</v>
      </c>
      <c r="H263" t="s">
        <v>153</v>
      </c>
      <c r="I263" t="s">
        <v>40</v>
      </c>
      <c r="J263" t="s">
        <v>40</v>
      </c>
      <c r="K263" t="s">
        <v>71</v>
      </c>
      <c r="L263" t="str">
        <f>IF(TRIM(K263)="","Unknown",PROPER(TRIM(K263)))</f>
        <v>West</v>
      </c>
      <c r="M263" t="s">
        <v>81</v>
      </c>
      <c r="N263" t="s">
        <v>82</v>
      </c>
      <c r="O263" t="s">
        <v>29</v>
      </c>
      <c r="P263" t="str">
        <f>IF(TRIM(O263)="","Unknown",PROPER(TRIM(O263)))</f>
        <v>Office Supplies</v>
      </c>
      <c r="Q263" t="s">
        <v>105</v>
      </c>
      <c r="R263" t="s">
        <v>2004</v>
      </c>
      <c r="S263" t="s">
        <v>65</v>
      </c>
      <c r="T263" t="str">
        <f>IF(TRIM(S263)="","Unknown",PROPER(TRIM(S263)))</f>
        <v>Standard Class</v>
      </c>
      <c r="U263">
        <v>2</v>
      </c>
      <c r="V263">
        <v>1258.9000000000001</v>
      </c>
      <c r="W263">
        <v>0</v>
      </c>
      <c r="Y263">
        <v>0</v>
      </c>
      <c r="Z263">
        <v>2517.8000000000002</v>
      </c>
      <c r="AA263">
        <v>1478.54</v>
      </c>
      <c r="AB263">
        <v>1039.26</v>
      </c>
      <c r="AC263" t="s">
        <v>33</v>
      </c>
      <c r="AD263" t="s">
        <v>34</v>
      </c>
      <c r="AE263">
        <f>ROUND((U263*V263)-(U263*V263*Y263),2)</f>
        <v>2517.8000000000002</v>
      </c>
      <c r="AF263">
        <f>AE263-AA263</f>
        <v>1039.2600000000002</v>
      </c>
      <c r="AG263" s="7">
        <f>ROUND((AF263/AE263),4)</f>
        <v>0.4128</v>
      </c>
      <c r="AH263" t="str">
        <f>IF(AND(C263&lt;&gt;"",E263&lt;&gt;""),E263 - C263,"")</f>
        <v/>
      </c>
      <c r="AI263" t="str">
        <f>IF(C263="","",TEXT(C263, "mmmm"))</f>
        <v/>
      </c>
      <c r="AJ263" t="str">
        <f>IF(C263="","",YEAR(C263))</f>
        <v/>
      </c>
      <c r="AM263" t="s">
        <v>4144</v>
      </c>
      <c r="AN263" t="s">
        <v>4127</v>
      </c>
    </row>
    <row r="264" spans="1:40">
      <c r="A264" t="s">
        <v>2005</v>
      </c>
      <c r="B264" t="s">
        <v>3881</v>
      </c>
      <c r="C264" s="6">
        <v>45295</v>
      </c>
      <c r="D264" t="s">
        <v>2006</v>
      </c>
      <c r="E264" s="6">
        <v>45299</v>
      </c>
      <c r="F264" t="s">
        <v>2007</v>
      </c>
      <c r="G264" t="s">
        <v>39</v>
      </c>
      <c r="H264" t="s">
        <v>39</v>
      </c>
      <c r="I264" t="s">
        <v>40</v>
      </c>
      <c r="J264" t="s">
        <v>40</v>
      </c>
      <c r="K264" t="s">
        <v>41</v>
      </c>
      <c r="L264" t="str">
        <f>IF(TRIM(K264)="","Unknown",PROPER(TRIM(K264)))</f>
        <v>East</v>
      </c>
      <c r="M264" t="s">
        <v>174</v>
      </c>
      <c r="N264" t="s">
        <v>175</v>
      </c>
      <c r="O264" t="s">
        <v>83</v>
      </c>
      <c r="P264" t="str">
        <f>IF(TRIM(O264)="","Unknown",PROPER(TRIM(O264)))</f>
        <v>Technology</v>
      </c>
      <c r="Q264" t="s">
        <v>84</v>
      </c>
      <c r="R264" t="s">
        <v>2008</v>
      </c>
      <c r="S264" t="s">
        <v>47</v>
      </c>
      <c r="T264" t="str">
        <f>IF(TRIM(S264)="","Unknown",PROPER(TRIM(S264)))</f>
        <v>Same Day</v>
      </c>
      <c r="U264">
        <v>9</v>
      </c>
      <c r="V264">
        <v>1591.96</v>
      </c>
      <c r="W264">
        <v>0.2</v>
      </c>
      <c r="Y264">
        <v>0.2</v>
      </c>
      <c r="Z264">
        <v>11462.11</v>
      </c>
      <c r="AA264">
        <v>7105.48</v>
      </c>
      <c r="AB264">
        <v>4356.63</v>
      </c>
      <c r="AC264" t="s">
        <v>33</v>
      </c>
      <c r="AD264" t="s">
        <v>34</v>
      </c>
      <c r="AE264">
        <f>ROUND((U264*V264)-(U264*V264*Y264),2)</f>
        <v>11462.11</v>
      </c>
      <c r="AF264">
        <f>AE264-AA264</f>
        <v>4356.630000000001</v>
      </c>
      <c r="AG264" s="7">
        <f>ROUND((AF264/AE264),4)</f>
        <v>0.38009999999999999</v>
      </c>
      <c r="AH264">
        <f>IF(AND(C264&lt;&gt;"",E264&lt;&gt;""),E264 - C264,"")</f>
        <v>4</v>
      </c>
      <c r="AI264" t="str">
        <f>IF(C264="","",TEXT(C264, "mmmm"))</f>
        <v>January</v>
      </c>
      <c r="AJ264">
        <f>IF(C264="","",YEAR(C264))</f>
        <v>2024</v>
      </c>
      <c r="AM264" t="str">
        <f>IF(AN264="","clean","")</f>
        <v>clean</v>
      </c>
      <c r="AN264" t="s">
        <v>3595</v>
      </c>
    </row>
    <row r="265" spans="1:40">
      <c r="A265" t="s">
        <v>2009</v>
      </c>
      <c r="B265" t="s">
        <v>3882</v>
      </c>
      <c r="D265" t="s">
        <v>1431</v>
      </c>
      <c r="E265" s="6">
        <v>45525</v>
      </c>
      <c r="F265" t="s">
        <v>2010</v>
      </c>
      <c r="G265" t="s">
        <v>103</v>
      </c>
      <c r="H265" t="s">
        <v>103</v>
      </c>
      <c r="I265" t="s">
        <v>104</v>
      </c>
      <c r="J265" t="s">
        <v>104</v>
      </c>
      <c r="K265" t="s">
        <v>41</v>
      </c>
      <c r="L265" t="str">
        <f>IF(TRIM(K265)="","Unknown",PROPER(TRIM(K265)))</f>
        <v>East</v>
      </c>
      <c r="M265" t="s">
        <v>42</v>
      </c>
      <c r="N265" t="s">
        <v>43</v>
      </c>
      <c r="O265" t="s">
        <v>83</v>
      </c>
      <c r="P265" t="str">
        <f>IF(TRIM(O265)="","Unknown",PROPER(TRIM(O265)))</f>
        <v>Technology</v>
      </c>
      <c r="Q265" t="s">
        <v>91</v>
      </c>
      <c r="R265" t="s">
        <v>2011</v>
      </c>
      <c r="S265" t="s">
        <v>55</v>
      </c>
      <c r="T265" t="str">
        <f>IF(TRIM(S265)="","Unknown",PROPER(TRIM(S265)))</f>
        <v>First Class</v>
      </c>
      <c r="U265">
        <v>5</v>
      </c>
      <c r="V265">
        <v>4288.33</v>
      </c>
      <c r="W265">
        <v>0.1</v>
      </c>
      <c r="Y265">
        <v>0.1</v>
      </c>
      <c r="Z265">
        <v>19297.490000000002</v>
      </c>
      <c r="AA265">
        <v>15451.66</v>
      </c>
      <c r="AB265">
        <v>3845.83</v>
      </c>
      <c r="AC265" t="s">
        <v>119</v>
      </c>
      <c r="AD265" t="s">
        <v>76</v>
      </c>
      <c r="AE265">
        <f>ROUND((U265*V265)-(U265*V265*Y265),2)</f>
        <v>19297.490000000002</v>
      </c>
      <c r="AF265">
        <f>AE265-AA265</f>
        <v>3845.8300000000017</v>
      </c>
      <c r="AG265" s="7">
        <f>ROUND((AF265/AE265),4)</f>
        <v>0.1993</v>
      </c>
      <c r="AH265" t="str">
        <f>IF(AND(C265&lt;&gt;"",E265&lt;&gt;""),E265 - C265,"")</f>
        <v/>
      </c>
      <c r="AI265" t="str">
        <f>IF(C265="","",TEXT(C265, "mmmm"))</f>
        <v/>
      </c>
      <c r="AJ265" t="str">
        <f>IF(C265="","",YEAR(C265))</f>
        <v/>
      </c>
      <c r="AM265" t="s">
        <v>4144</v>
      </c>
      <c r="AN265" t="s">
        <v>4127</v>
      </c>
    </row>
    <row r="266" spans="1:40">
      <c r="A266" t="s">
        <v>2017</v>
      </c>
      <c r="B266" t="s">
        <v>3883</v>
      </c>
      <c r="C266" s="6">
        <v>45310</v>
      </c>
      <c r="D266" t="s">
        <v>1805</v>
      </c>
      <c r="E266" s="6">
        <v>45316</v>
      </c>
      <c r="F266" t="s">
        <v>2018</v>
      </c>
      <c r="G266" t="s">
        <v>103</v>
      </c>
      <c r="H266" t="s">
        <v>103</v>
      </c>
      <c r="I266" t="s">
        <v>104</v>
      </c>
      <c r="J266" t="s">
        <v>104</v>
      </c>
      <c r="K266" t="s">
        <v>71</v>
      </c>
      <c r="L266" t="str">
        <f>IF(TRIM(K266)="","Unknown",PROPER(TRIM(K266)))</f>
        <v>West</v>
      </c>
      <c r="M266" t="s">
        <v>230</v>
      </c>
      <c r="N266" t="s">
        <v>231</v>
      </c>
      <c r="O266" t="s">
        <v>83</v>
      </c>
      <c r="P266" t="str">
        <f>IF(TRIM(O266)="","Unknown",PROPER(TRIM(O266)))</f>
        <v>Technology</v>
      </c>
      <c r="Q266" t="s">
        <v>91</v>
      </c>
      <c r="R266" t="s">
        <v>2019</v>
      </c>
      <c r="S266" t="s">
        <v>55</v>
      </c>
      <c r="T266" t="str">
        <f>IF(TRIM(S266)="","Unknown",PROPER(TRIM(S266)))</f>
        <v>First Class</v>
      </c>
      <c r="U266">
        <v>3</v>
      </c>
      <c r="V266">
        <v>1041.6600000000001</v>
      </c>
      <c r="W266">
        <v>0.1</v>
      </c>
      <c r="Y266">
        <v>0.1</v>
      </c>
      <c r="Z266">
        <v>2812.48</v>
      </c>
      <c r="AA266">
        <v>2282.12</v>
      </c>
      <c r="AB266">
        <v>530.36</v>
      </c>
      <c r="AC266" t="s">
        <v>33</v>
      </c>
      <c r="AD266" t="s">
        <v>34</v>
      </c>
      <c r="AE266">
        <f>ROUND((U266*V266)-(U266*V266*Y266),2)</f>
        <v>2812.48</v>
      </c>
      <c r="AF266">
        <f>AE266-AA266</f>
        <v>530.36000000000013</v>
      </c>
      <c r="AG266" s="7">
        <f>ROUND((AF266/AE266),4)</f>
        <v>0.18859999999999999</v>
      </c>
      <c r="AH266">
        <f>IF(AND(C266&lt;&gt;"",E266&lt;&gt;""),E266 - C266,"")</f>
        <v>6</v>
      </c>
      <c r="AI266" t="str">
        <f>IF(C266="","",TEXT(C266, "mmmm"))</f>
        <v>January</v>
      </c>
      <c r="AJ266">
        <f>IF(C266="","",YEAR(C266))</f>
        <v>2024</v>
      </c>
      <c r="AM266" t="str">
        <f>IF(AN266="","clean","")</f>
        <v>clean</v>
      </c>
      <c r="AN266" t="s">
        <v>3595</v>
      </c>
    </row>
    <row r="267" spans="1:40">
      <c r="A267" t="s">
        <v>2020</v>
      </c>
      <c r="B267" t="s">
        <v>3884</v>
      </c>
      <c r="D267" t="s">
        <v>1403</v>
      </c>
      <c r="E267" s="6">
        <v>45504</v>
      </c>
      <c r="F267" t="s">
        <v>2021</v>
      </c>
      <c r="G267" t="s">
        <v>103</v>
      </c>
      <c r="H267" t="s">
        <v>103</v>
      </c>
      <c r="I267" t="s">
        <v>25</v>
      </c>
      <c r="J267" t="s">
        <v>25</v>
      </c>
      <c r="K267" t="s">
        <v>26</v>
      </c>
      <c r="L267" t="str">
        <f>IF(TRIM(K267)="","Unknown",PROPER(TRIM(K267)))</f>
        <v>North</v>
      </c>
      <c r="M267" t="s">
        <v>27</v>
      </c>
      <c r="N267" t="s">
        <v>28</v>
      </c>
      <c r="O267" t="s">
        <v>44</v>
      </c>
      <c r="P267" t="str">
        <f>IF(TRIM(O267)="","Unknown",PROPER(TRIM(O267)))</f>
        <v>Furniture</v>
      </c>
      <c r="Q267" t="s">
        <v>45</v>
      </c>
      <c r="R267" t="s">
        <v>2022</v>
      </c>
      <c r="S267" t="s">
        <v>47</v>
      </c>
      <c r="T267" t="str">
        <f>IF(TRIM(S267)="","Unknown",PROPER(TRIM(S267)))</f>
        <v>Same Day</v>
      </c>
      <c r="U267">
        <v>2</v>
      </c>
      <c r="V267">
        <v>4424.78</v>
      </c>
      <c r="W267">
        <v>0.2</v>
      </c>
      <c r="Y267">
        <v>0.2</v>
      </c>
      <c r="Z267">
        <v>7079.65</v>
      </c>
      <c r="AA267">
        <v>4465.91</v>
      </c>
      <c r="AB267">
        <v>2613.7399999999998</v>
      </c>
      <c r="AC267" t="s">
        <v>33</v>
      </c>
      <c r="AD267" t="s">
        <v>34</v>
      </c>
      <c r="AE267">
        <f>ROUND((U267*V267)-(U267*V267*Y267),2)</f>
        <v>7079.65</v>
      </c>
      <c r="AF267">
        <f>AE267-AA267</f>
        <v>2613.7399999999998</v>
      </c>
      <c r="AG267" s="7">
        <f>ROUND((AF267/AE267),4)</f>
        <v>0.36919999999999997</v>
      </c>
      <c r="AH267" t="str">
        <f>IF(AND(C267&lt;&gt;"",E267&lt;&gt;""),E267 - C267,"")</f>
        <v/>
      </c>
      <c r="AI267" t="str">
        <f>IF(C267="","",TEXT(C267, "mmmm"))</f>
        <v/>
      </c>
      <c r="AJ267" t="str">
        <f>IF(C267="","",YEAR(C267))</f>
        <v/>
      </c>
      <c r="AM267" t="s">
        <v>4144</v>
      </c>
      <c r="AN267" t="s">
        <v>4127</v>
      </c>
    </row>
    <row r="268" spans="1:40">
      <c r="A268" t="s">
        <v>2023</v>
      </c>
      <c r="B268" t="s">
        <v>3885</v>
      </c>
      <c r="C268" s="6">
        <v>45333</v>
      </c>
      <c r="D268" t="s">
        <v>2024</v>
      </c>
      <c r="E268" s="6">
        <v>45337</v>
      </c>
      <c r="F268" t="s">
        <v>2025</v>
      </c>
      <c r="G268" t="s">
        <v>334</v>
      </c>
      <c r="H268" t="s">
        <v>334</v>
      </c>
      <c r="I268" t="s">
        <v>25</v>
      </c>
      <c r="J268" t="s">
        <v>25</v>
      </c>
      <c r="K268" t="s">
        <v>60</v>
      </c>
      <c r="L268" t="str">
        <f>IF(TRIM(K268)="","Unknown",PROPER(TRIM(K268)))</f>
        <v>South</v>
      </c>
      <c r="M268" t="s">
        <v>61</v>
      </c>
      <c r="N268" t="s">
        <v>62</v>
      </c>
      <c r="O268" t="s">
        <v>29</v>
      </c>
      <c r="P268" t="str">
        <f>IF(TRIM(O268)="","Unknown",PROPER(TRIM(O268)))</f>
        <v>Office Supplies</v>
      </c>
      <c r="Q268" t="s">
        <v>184</v>
      </c>
      <c r="R268" t="s">
        <v>2026</v>
      </c>
      <c r="S268" t="s">
        <v>65</v>
      </c>
      <c r="T268" t="str">
        <f>IF(TRIM(S268)="","Unknown",PROPER(TRIM(S268)))</f>
        <v>Standard Class</v>
      </c>
      <c r="U268">
        <v>3</v>
      </c>
      <c r="V268">
        <v>3019.14</v>
      </c>
      <c r="W268">
        <v>0.25</v>
      </c>
      <c r="Y268">
        <v>0.25</v>
      </c>
      <c r="Z268">
        <v>6793.07</v>
      </c>
      <c r="AA268">
        <v>4985.22</v>
      </c>
      <c r="AB268">
        <v>1807.85</v>
      </c>
      <c r="AC268" t="s">
        <v>33</v>
      </c>
      <c r="AD268" t="s">
        <v>34</v>
      </c>
      <c r="AE268">
        <f>ROUND((U268*V268)-(U268*V268*Y268),2)</f>
        <v>6793.07</v>
      </c>
      <c r="AF268">
        <f>AE268-AA268</f>
        <v>1807.8499999999995</v>
      </c>
      <c r="AG268" s="7">
        <f>ROUND((AF268/AE268),4)</f>
        <v>0.2661</v>
      </c>
      <c r="AH268">
        <f>IF(AND(C268&lt;&gt;"",E268&lt;&gt;""),E268 - C268,"")</f>
        <v>4</v>
      </c>
      <c r="AI268" t="str">
        <f>IF(C268="","",TEXT(C268, "mmmm"))</f>
        <v>February</v>
      </c>
      <c r="AJ268">
        <f>IF(C268="","",YEAR(C268))</f>
        <v>2024</v>
      </c>
      <c r="AM268" t="str">
        <f>IF(AN268="","clean","")</f>
        <v>clean</v>
      </c>
      <c r="AN268" t="s">
        <v>3595</v>
      </c>
    </row>
    <row r="269" spans="1:40">
      <c r="A269" t="s">
        <v>2027</v>
      </c>
      <c r="B269" t="s">
        <v>3886</v>
      </c>
      <c r="C269" s="6">
        <v>45353</v>
      </c>
      <c r="D269" t="s">
        <v>1326</v>
      </c>
      <c r="E269" s="6">
        <v>45358</v>
      </c>
      <c r="F269" t="s">
        <v>2028</v>
      </c>
      <c r="G269" t="s">
        <v>169</v>
      </c>
      <c r="H269" t="s">
        <v>169</v>
      </c>
      <c r="I269" t="s">
        <v>104</v>
      </c>
      <c r="J269" t="s">
        <v>104</v>
      </c>
      <c r="K269" t="s">
        <v>41</v>
      </c>
      <c r="L269" t="str">
        <f>IF(TRIM(K269)="","Unknown",PROPER(TRIM(K269)))</f>
        <v>East</v>
      </c>
      <c r="M269" t="s">
        <v>42</v>
      </c>
      <c r="N269" t="s">
        <v>43</v>
      </c>
      <c r="O269" t="s">
        <v>29</v>
      </c>
      <c r="P269" t="str">
        <f>IF(TRIM(O269)="","Unknown",PROPER(TRIM(O269)))</f>
        <v>Office Supplies</v>
      </c>
      <c r="Q269" t="s">
        <v>148</v>
      </c>
      <c r="R269" t="s">
        <v>2029</v>
      </c>
      <c r="S269" t="s">
        <v>65</v>
      </c>
      <c r="T269" t="str">
        <f>IF(TRIM(S269)="","Unknown",PROPER(TRIM(S269)))</f>
        <v>Standard Class</v>
      </c>
      <c r="U269">
        <v>7</v>
      </c>
      <c r="V269">
        <v>263.45999999999998</v>
      </c>
      <c r="W269">
        <v>0</v>
      </c>
      <c r="Y269">
        <v>0</v>
      </c>
      <c r="Z269">
        <v>1844.22</v>
      </c>
      <c r="AA269">
        <v>1094.21</v>
      </c>
      <c r="AB269">
        <v>750.01</v>
      </c>
      <c r="AC269" t="s">
        <v>33</v>
      </c>
      <c r="AD269" t="s">
        <v>34</v>
      </c>
      <c r="AE269">
        <f>ROUND((U269*V269)-(U269*V269*Y269),2)</f>
        <v>1844.22</v>
      </c>
      <c r="AF269">
        <f>AE269-AA269</f>
        <v>750.01</v>
      </c>
      <c r="AG269" s="7">
        <f>ROUND((AF269/AE269),4)</f>
        <v>0.40670000000000001</v>
      </c>
      <c r="AH269">
        <f>IF(AND(C269&lt;&gt;"",E269&lt;&gt;""),E269 - C269,"")</f>
        <v>5</v>
      </c>
      <c r="AI269" t="str">
        <f>IF(C269="","",TEXT(C269, "mmmm"))</f>
        <v>March</v>
      </c>
      <c r="AJ269">
        <f>IF(C269="","",YEAR(C269))</f>
        <v>2024</v>
      </c>
      <c r="AM269" t="str">
        <f>IF(AN269="","clean","")</f>
        <v>clean</v>
      </c>
      <c r="AN269" t="s">
        <v>3595</v>
      </c>
    </row>
    <row r="270" spans="1:40">
      <c r="A270" t="s">
        <v>2030</v>
      </c>
      <c r="B270" t="s">
        <v>3887</v>
      </c>
      <c r="C270" s="6">
        <v>45609</v>
      </c>
      <c r="D270" t="s">
        <v>402</v>
      </c>
      <c r="E270" s="6">
        <v>45609</v>
      </c>
      <c r="F270" t="s">
        <v>2031</v>
      </c>
      <c r="G270" t="s">
        <v>136</v>
      </c>
      <c r="H270" t="s">
        <v>136</v>
      </c>
      <c r="I270" t="s">
        <v>25</v>
      </c>
      <c r="J270" t="s">
        <v>25</v>
      </c>
      <c r="K270" t="s">
        <v>71</v>
      </c>
      <c r="L270" t="str">
        <f>IF(TRIM(K270)="","Unknown",PROPER(TRIM(K270)))</f>
        <v>West</v>
      </c>
      <c r="M270" t="s">
        <v>230</v>
      </c>
      <c r="N270" t="s">
        <v>231</v>
      </c>
      <c r="O270" t="s">
        <v>83</v>
      </c>
      <c r="P270" t="str">
        <f>IF(TRIM(O270)="","Unknown",PROPER(TRIM(O270)))</f>
        <v>Technology</v>
      </c>
      <c r="Q270" t="s">
        <v>91</v>
      </c>
      <c r="R270" t="s">
        <v>2032</v>
      </c>
      <c r="S270" t="s">
        <v>65</v>
      </c>
      <c r="T270" t="str">
        <f>IF(TRIM(S270)="","Unknown",PROPER(TRIM(S270)))</f>
        <v>Standard Class</v>
      </c>
      <c r="U270">
        <v>6</v>
      </c>
      <c r="V270">
        <v>191.45</v>
      </c>
      <c r="W270">
        <v>0.2</v>
      </c>
      <c r="Y270">
        <v>0.2</v>
      </c>
      <c r="Z270">
        <v>918.96</v>
      </c>
      <c r="AA270">
        <v>554.17999999999995</v>
      </c>
      <c r="AB270">
        <v>364.78</v>
      </c>
      <c r="AC270" t="s">
        <v>33</v>
      </c>
      <c r="AD270" t="s">
        <v>34</v>
      </c>
      <c r="AE270">
        <f>ROUND((U270*V270)-(U270*V270*Y270),2)</f>
        <v>918.96</v>
      </c>
      <c r="AF270">
        <f>AE270-AA270</f>
        <v>364.78000000000009</v>
      </c>
      <c r="AG270" s="7">
        <f>ROUND((AF270/AE270),4)</f>
        <v>0.39689999999999998</v>
      </c>
      <c r="AH270">
        <f>IF(AND(C270&lt;&gt;"",E270&lt;&gt;""),E270 - C270,"")</f>
        <v>0</v>
      </c>
      <c r="AI270" t="str">
        <f>IF(C270="","",TEXT(C270, "mmmm"))</f>
        <v>November</v>
      </c>
      <c r="AJ270">
        <f>IF(C270="","",YEAR(C270))</f>
        <v>2024</v>
      </c>
      <c r="AM270" t="str">
        <f>IF(AN270="","clean","")</f>
        <v>clean</v>
      </c>
      <c r="AN270" t="s">
        <v>3595</v>
      </c>
    </row>
    <row r="271" spans="1:40">
      <c r="A271" t="s">
        <v>2033</v>
      </c>
      <c r="B271" t="s">
        <v>1076</v>
      </c>
      <c r="C271" s="6">
        <v>45446</v>
      </c>
      <c r="D271" t="s">
        <v>2034</v>
      </c>
      <c r="E271" s="6">
        <v>45453</v>
      </c>
      <c r="F271" t="s">
        <v>2035</v>
      </c>
      <c r="G271" t="s">
        <v>196</v>
      </c>
      <c r="H271" t="s">
        <v>196</v>
      </c>
      <c r="I271" t="s">
        <v>104</v>
      </c>
      <c r="J271" t="s">
        <v>104</v>
      </c>
      <c r="K271" t="s">
        <v>26</v>
      </c>
      <c r="L271" t="str">
        <f>IF(TRIM(K271)="","Unknown",PROPER(TRIM(K271)))</f>
        <v>North</v>
      </c>
      <c r="M271" t="s">
        <v>146</v>
      </c>
      <c r="N271" t="s">
        <v>147</v>
      </c>
      <c r="O271" t="s">
        <v>44</v>
      </c>
      <c r="P271" t="str">
        <f>IF(TRIM(O271)="","Unknown",PROPER(TRIM(O271)))</f>
        <v>Furniture</v>
      </c>
      <c r="Q271" t="s">
        <v>63</v>
      </c>
      <c r="R271" t="s">
        <v>2036</v>
      </c>
      <c r="S271" t="s">
        <v>65</v>
      </c>
      <c r="T271" t="str">
        <f>IF(TRIM(S271)="","Unknown",PROPER(TRIM(S271)))</f>
        <v>Standard Class</v>
      </c>
      <c r="U271">
        <v>3</v>
      </c>
      <c r="V271">
        <v>1633.57</v>
      </c>
      <c r="W271">
        <v>0</v>
      </c>
      <c r="Y271">
        <v>0</v>
      </c>
      <c r="Z271">
        <v>4900.71</v>
      </c>
      <c r="AA271">
        <v>2713.9</v>
      </c>
      <c r="AB271">
        <v>2186.81</v>
      </c>
      <c r="AC271" t="s">
        <v>33</v>
      </c>
      <c r="AD271" t="s">
        <v>34</v>
      </c>
      <c r="AE271">
        <f>ROUND((U271*V271)-(U271*V271*Y271),2)</f>
        <v>4900.71</v>
      </c>
      <c r="AF271">
        <f>AE271-AA271</f>
        <v>2186.81</v>
      </c>
      <c r="AG271" s="7">
        <f>ROUND((AF271/AE271),4)</f>
        <v>0.44619999999999999</v>
      </c>
      <c r="AH271">
        <f>IF(AND(C271&lt;&gt;"",E271&lt;&gt;""),E271 - C271,"")</f>
        <v>7</v>
      </c>
      <c r="AI271" t="str">
        <f>IF(C271="","",TEXT(C271, "mmmm"))</f>
        <v>June</v>
      </c>
      <c r="AJ271">
        <f>IF(C271="","",YEAR(C271))</f>
        <v>2024</v>
      </c>
      <c r="AM271" t="str">
        <f>IF(AN271="","clean","")</f>
        <v>clean</v>
      </c>
      <c r="AN271" t="s">
        <v>3595</v>
      </c>
    </row>
    <row r="272" spans="1:40">
      <c r="A272" t="s">
        <v>2041</v>
      </c>
      <c r="B272" t="s">
        <v>3889</v>
      </c>
      <c r="C272" s="6">
        <v>45419</v>
      </c>
      <c r="D272" t="s">
        <v>2042</v>
      </c>
      <c r="E272" s="6">
        <v>45426</v>
      </c>
      <c r="F272" t="s">
        <v>2043</v>
      </c>
      <c r="G272" t="s">
        <v>158</v>
      </c>
      <c r="H272" t="s">
        <v>158</v>
      </c>
      <c r="I272" t="s">
        <v>40</v>
      </c>
      <c r="J272" t="s">
        <v>40</v>
      </c>
      <c r="K272" t="s">
        <v>26</v>
      </c>
      <c r="L272" t="str">
        <f>IF(TRIM(K272)="","Unknown",PROPER(TRIM(K272)))</f>
        <v>North</v>
      </c>
      <c r="M272" t="s">
        <v>27</v>
      </c>
      <c r="N272" t="s">
        <v>28</v>
      </c>
      <c r="O272" t="s">
        <v>29</v>
      </c>
      <c r="P272" t="str">
        <f>IF(TRIM(O272)="","Unknown",PROPER(TRIM(O272)))</f>
        <v>Office Supplies</v>
      </c>
      <c r="Q272" t="s">
        <v>148</v>
      </c>
      <c r="R272" t="s">
        <v>2044</v>
      </c>
      <c r="S272" t="s">
        <v>55</v>
      </c>
      <c r="T272" t="str">
        <f>IF(TRIM(S272)="","Unknown",PROPER(TRIM(S272)))</f>
        <v>First Class</v>
      </c>
      <c r="U272">
        <v>3</v>
      </c>
      <c r="V272">
        <v>383.58</v>
      </c>
      <c r="W272">
        <v>0.1</v>
      </c>
      <c r="Y272">
        <v>0.1</v>
      </c>
      <c r="Z272">
        <v>1035.67</v>
      </c>
      <c r="AA272">
        <v>595.41999999999996</v>
      </c>
      <c r="AB272">
        <v>440.25</v>
      </c>
      <c r="AC272" t="s">
        <v>33</v>
      </c>
      <c r="AD272" t="s">
        <v>34</v>
      </c>
      <c r="AE272">
        <f>ROUND((U272*V272)-(U272*V272*Y272),2)</f>
        <v>1035.67</v>
      </c>
      <c r="AF272">
        <f>AE272-AA272</f>
        <v>440.25000000000011</v>
      </c>
      <c r="AG272" s="7">
        <f>ROUND((AF272/AE272),4)</f>
        <v>0.42509999999999998</v>
      </c>
      <c r="AH272">
        <f>IF(AND(C272&lt;&gt;"",E272&lt;&gt;""),E272 - C272,"")</f>
        <v>7</v>
      </c>
      <c r="AI272" t="str">
        <f>IF(C272="","",TEXT(C272, "mmmm"))</f>
        <v>May</v>
      </c>
      <c r="AJ272">
        <f>IF(C272="","",YEAR(C272))</f>
        <v>2024</v>
      </c>
      <c r="AM272" t="str">
        <f>IF(AN272="","clean","")</f>
        <v>clean</v>
      </c>
      <c r="AN272" t="s">
        <v>3595</v>
      </c>
    </row>
    <row r="273" spans="1:40">
      <c r="A273" t="s">
        <v>2049</v>
      </c>
      <c r="B273" t="s">
        <v>3891</v>
      </c>
      <c r="C273" s="6">
        <v>45452</v>
      </c>
      <c r="D273" t="s">
        <v>2050</v>
      </c>
      <c r="E273" s="6">
        <v>45456</v>
      </c>
      <c r="F273" t="s">
        <v>2051</v>
      </c>
      <c r="G273" t="s">
        <v>39</v>
      </c>
      <c r="H273" t="s">
        <v>39</v>
      </c>
      <c r="I273" t="s">
        <v>110</v>
      </c>
      <c r="J273" t="s">
        <v>110</v>
      </c>
      <c r="L273" t="str">
        <f>IF(TRIM(K273)="","Unknown",PROPER(TRIM(K273)))</f>
        <v>Unknown</v>
      </c>
      <c r="M273" t="s">
        <v>163</v>
      </c>
      <c r="N273" t="s">
        <v>164</v>
      </c>
      <c r="O273" t="s">
        <v>83</v>
      </c>
      <c r="P273" t="str">
        <f>IF(TRIM(O273)="","Unknown",PROPER(TRIM(O273)))</f>
        <v>Technology</v>
      </c>
      <c r="Q273" t="s">
        <v>347</v>
      </c>
      <c r="R273" t="s">
        <v>2052</v>
      </c>
      <c r="S273" t="s">
        <v>47</v>
      </c>
      <c r="T273" t="str">
        <f>IF(TRIM(S273)="","Unknown",PROPER(TRIM(S273)))</f>
        <v>Same Day</v>
      </c>
      <c r="U273">
        <v>7</v>
      </c>
      <c r="V273">
        <v>4079.71</v>
      </c>
      <c r="W273">
        <v>0.1</v>
      </c>
      <c r="Y273">
        <v>0.1</v>
      </c>
      <c r="Z273">
        <v>25702.17</v>
      </c>
      <c r="AA273">
        <v>14571.48</v>
      </c>
      <c r="AB273">
        <v>11130.69</v>
      </c>
      <c r="AC273" t="s">
        <v>119</v>
      </c>
      <c r="AD273" t="s">
        <v>120</v>
      </c>
      <c r="AE273">
        <f>ROUND((U273*V273)-(U273*V273*Y273),2)</f>
        <v>25702.17</v>
      </c>
      <c r="AF273">
        <f>AE273-AA273</f>
        <v>11130.689999999999</v>
      </c>
      <c r="AG273" s="7">
        <f>ROUND((AF273/AE273),4)</f>
        <v>0.43309999999999998</v>
      </c>
      <c r="AH273">
        <f>IF(AND(C273&lt;&gt;"",E273&lt;&gt;""),E273 - C273,"")</f>
        <v>4</v>
      </c>
      <c r="AI273" t="str">
        <f>IF(C273="","",TEXT(C273, "mmmm"))</f>
        <v>June</v>
      </c>
      <c r="AJ273">
        <f>IF(C273="","",YEAR(C273))</f>
        <v>2024</v>
      </c>
      <c r="AM273" t="s">
        <v>4145</v>
      </c>
      <c r="AN273" t="s">
        <v>3597</v>
      </c>
    </row>
    <row r="274" spans="1:40">
      <c r="A274" t="s">
        <v>2053</v>
      </c>
      <c r="B274" t="s">
        <v>2054</v>
      </c>
      <c r="C274" s="6">
        <v>45345</v>
      </c>
      <c r="D274" t="s">
        <v>1837</v>
      </c>
      <c r="E274" s="6">
        <v>45342</v>
      </c>
      <c r="F274" t="s">
        <v>2055</v>
      </c>
      <c r="G274" t="s">
        <v>59</v>
      </c>
      <c r="H274" t="s">
        <v>59</v>
      </c>
      <c r="I274" t="s">
        <v>104</v>
      </c>
      <c r="J274" t="s">
        <v>104</v>
      </c>
      <c r="K274" t="s">
        <v>41</v>
      </c>
      <c r="L274" t="str">
        <f>IF(TRIM(K274)="","Unknown",PROPER(TRIM(K274)))</f>
        <v>East</v>
      </c>
      <c r="M274" t="s">
        <v>42</v>
      </c>
      <c r="N274" t="s">
        <v>43</v>
      </c>
      <c r="O274" t="s">
        <v>44</v>
      </c>
      <c r="P274" t="str">
        <f>IF(TRIM(O274)="","Unknown",PROPER(TRIM(O274)))</f>
        <v>Furniture</v>
      </c>
      <c r="Q274" t="s">
        <v>74</v>
      </c>
      <c r="R274" t="s">
        <v>2056</v>
      </c>
      <c r="S274" t="s">
        <v>32</v>
      </c>
      <c r="T274" t="str">
        <f>IF(TRIM(S274)="","Unknown",PROPER(TRIM(S274)))</f>
        <v>Second Class</v>
      </c>
      <c r="U274">
        <v>1</v>
      </c>
      <c r="V274">
        <v>2202.5500000000002</v>
      </c>
      <c r="Y274">
        <v>0.25</v>
      </c>
      <c r="Z274">
        <v>1651.91</v>
      </c>
      <c r="AA274">
        <v>1034.57</v>
      </c>
      <c r="AB274">
        <v>617.34</v>
      </c>
      <c r="AC274" t="s">
        <v>33</v>
      </c>
      <c r="AD274" t="s">
        <v>34</v>
      </c>
      <c r="AE274">
        <f>ROUND((U274*V274)-(U274*V274*Y274),2)</f>
        <v>1651.91</v>
      </c>
      <c r="AF274">
        <f>AE274-AA274</f>
        <v>617.34000000000015</v>
      </c>
      <c r="AG274" s="7">
        <f>ROUND((AF274/AE274),4)</f>
        <v>0.37369999999999998</v>
      </c>
      <c r="AH274">
        <f>IF(AND(C274&lt;&gt;"",E274&lt;&gt;""),E274 - C274,"")</f>
        <v>-3</v>
      </c>
      <c r="AI274" t="str">
        <f>IF(C274="","",TEXT(C274, "mmmm"))</f>
        <v>February</v>
      </c>
      <c r="AJ274">
        <f>IF(C274="","",YEAR(C274))</f>
        <v>2024</v>
      </c>
      <c r="AM274" t="s">
        <v>4145</v>
      </c>
      <c r="AN274" t="s">
        <v>4141</v>
      </c>
    </row>
    <row r="275" spans="1:40">
      <c r="A275" t="s">
        <v>2064</v>
      </c>
      <c r="B275" t="s">
        <v>242</v>
      </c>
      <c r="C275" s="6">
        <v>45495</v>
      </c>
      <c r="D275" t="s">
        <v>242</v>
      </c>
      <c r="E275" s="6">
        <v>45495</v>
      </c>
      <c r="F275" t="s">
        <v>2065</v>
      </c>
      <c r="G275" t="s">
        <v>136</v>
      </c>
      <c r="H275" t="s">
        <v>136</v>
      </c>
      <c r="I275" t="s">
        <v>25</v>
      </c>
      <c r="J275" t="s">
        <v>25</v>
      </c>
      <c r="K275" t="s">
        <v>60</v>
      </c>
      <c r="L275" t="str">
        <f>IF(TRIM(K275)="","Unknown",PROPER(TRIM(K275)))</f>
        <v>South</v>
      </c>
      <c r="M275" t="s">
        <v>212</v>
      </c>
      <c r="N275" t="s">
        <v>213</v>
      </c>
      <c r="O275" t="s">
        <v>83</v>
      </c>
      <c r="P275" t="str">
        <f>IF(TRIM(O275)="","Unknown",PROPER(TRIM(O275)))</f>
        <v>Technology</v>
      </c>
      <c r="Q275" t="s">
        <v>84</v>
      </c>
      <c r="R275" t="s">
        <v>2066</v>
      </c>
      <c r="S275" t="s">
        <v>32</v>
      </c>
      <c r="T275" t="str">
        <f>IF(TRIM(S275)="","Unknown",PROPER(TRIM(S275)))</f>
        <v>Second Class</v>
      </c>
      <c r="U275">
        <v>3</v>
      </c>
      <c r="V275">
        <v>1286.22</v>
      </c>
      <c r="W275">
        <v>0.25</v>
      </c>
      <c r="Y275">
        <v>0.25</v>
      </c>
      <c r="Z275">
        <v>2893.99</v>
      </c>
      <c r="AA275">
        <v>1856.03</v>
      </c>
      <c r="AB275">
        <v>1037.96</v>
      </c>
      <c r="AC275" t="s">
        <v>33</v>
      </c>
      <c r="AD275" t="s">
        <v>34</v>
      </c>
      <c r="AE275">
        <f>ROUND((U275*V275)-(U275*V275*Y275),2)</f>
        <v>2894</v>
      </c>
      <c r="AF275">
        <f>AE275-AA275</f>
        <v>1037.97</v>
      </c>
      <c r="AG275" s="7">
        <f>ROUND((AF275/AE275),4)</f>
        <v>0.35870000000000002</v>
      </c>
      <c r="AH275">
        <f>IF(AND(C275&lt;&gt;"",E275&lt;&gt;""),E275 - C275,"")</f>
        <v>0</v>
      </c>
      <c r="AI275" t="str">
        <f>IF(C275="","",TEXT(C275, "mmmm"))</f>
        <v>July</v>
      </c>
      <c r="AJ275">
        <f>IF(C275="","",YEAR(C275))</f>
        <v>2024</v>
      </c>
      <c r="AM275" t="str">
        <f>IF(AN275="","clean","")</f>
        <v>clean</v>
      </c>
    </row>
    <row r="276" spans="1:40">
      <c r="A276" t="s">
        <v>2067</v>
      </c>
      <c r="B276" t="s">
        <v>1235</v>
      </c>
      <c r="C276" s="6">
        <v>45651</v>
      </c>
      <c r="D276" t="s">
        <v>2068</v>
      </c>
      <c r="F276" t="s">
        <v>2069</v>
      </c>
      <c r="G276" t="s">
        <v>39</v>
      </c>
      <c r="H276" t="s">
        <v>39</v>
      </c>
      <c r="I276" t="s">
        <v>104</v>
      </c>
      <c r="J276" t="s">
        <v>104</v>
      </c>
      <c r="K276" t="s">
        <v>41</v>
      </c>
      <c r="L276" t="str">
        <f>IF(TRIM(K276)="","Unknown",PROPER(TRIM(K276)))</f>
        <v>East</v>
      </c>
      <c r="M276" t="s">
        <v>174</v>
      </c>
      <c r="N276" t="s">
        <v>175</v>
      </c>
      <c r="O276" t="s">
        <v>83</v>
      </c>
      <c r="P276" t="str">
        <f>IF(TRIM(O276)="","Unknown",PROPER(TRIM(O276)))</f>
        <v>Technology</v>
      </c>
      <c r="Q276" t="s">
        <v>91</v>
      </c>
      <c r="R276" t="s">
        <v>2070</v>
      </c>
      <c r="S276" t="s">
        <v>65</v>
      </c>
      <c r="T276" t="str">
        <f>IF(TRIM(S276)="","Unknown",PROPER(TRIM(S276)))</f>
        <v>Standard Class</v>
      </c>
      <c r="U276">
        <v>1</v>
      </c>
      <c r="V276">
        <v>829.66</v>
      </c>
      <c r="W276">
        <v>0.15</v>
      </c>
      <c r="Y276">
        <v>0.15</v>
      </c>
      <c r="Z276">
        <v>705.21</v>
      </c>
      <c r="AA276">
        <v>438.32</v>
      </c>
      <c r="AB276">
        <v>266.89</v>
      </c>
      <c r="AC276" t="s">
        <v>33</v>
      </c>
      <c r="AD276" t="s">
        <v>34</v>
      </c>
      <c r="AE276">
        <f>ROUND((U276*V276)-(U276*V276*Y276),2)</f>
        <v>705.21</v>
      </c>
      <c r="AF276">
        <f>AE276-AA276</f>
        <v>266.89000000000004</v>
      </c>
      <c r="AG276" s="7">
        <f>ROUND((AF276/AE276),4)</f>
        <v>0.3785</v>
      </c>
      <c r="AH276" t="str">
        <f>IF(AND(C276&lt;&gt;"",E276&lt;&gt;""),E276 - C276,"")</f>
        <v/>
      </c>
      <c r="AI276" t="str">
        <f>IF(C276="","",TEXT(C276, "mmmm"))</f>
        <v>December</v>
      </c>
      <c r="AJ276">
        <f>IF(C276="","",YEAR(C276))</f>
        <v>2024</v>
      </c>
      <c r="AM276" t="s">
        <v>4144</v>
      </c>
      <c r="AN276" t="s">
        <v>4136</v>
      </c>
    </row>
    <row r="277" spans="1:40">
      <c r="A277" t="s">
        <v>2071</v>
      </c>
      <c r="B277" t="s">
        <v>3893</v>
      </c>
      <c r="C277" s="6">
        <v>45654</v>
      </c>
      <c r="D277" t="s">
        <v>2072</v>
      </c>
      <c r="E277" s="6">
        <v>45657</v>
      </c>
      <c r="F277" t="s">
        <v>2073</v>
      </c>
      <c r="G277" t="s">
        <v>39</v>
      </c>
      <c r="H277" t="s">
        <v>39</v>
      </c>
      <c r="I277" t="s">
        <v>40</v>
      </c>
      <c r="J277" t="s">
        <v>40</v>
      </c>
      <c r="K277" t="s">
        <v>60</v>
      </c>
      <c r="L277" t="str">
        <f>IF(TRIM(K277)="","Unknown",PROPER(TRIM(K277)))</f>
        <v>South</v>
      </c>
      <c r="M277" t="s">
        <v>97</v>
      </c>
      <c r="N277" t="s">
        <v>98</v>
      </c>
      <c r="O277" t="s">
        <v>44</v>
      </c>
      <c r="P277" t="str">
        <f>IF(TRIM(O277)="","Unknown",PROPER(TRIM(O277)))</f>
        <v>Furniture</v>
      </c>
      <c r="Q277" t="s">
        <v>63</v>
      </c>
      <c r="R277" t="s">
        <v>2074</v>
      </c>
      <c r="S277" t="s">
        <v>55</v>
      </c>
      <c r="T277" t="str">
        <f>IF(TRIM(S277)="","Unknown",PROPER(TRIM(S277)))</f>
        <v>First Class</v>
      </c>
      <c r="U277">
        <v>6</v>
      </c>
      <c r="V277">
        <v>3641.22</v>
      </c>
      <c r="W277">
        <v>0.25</v>
      </c>
      <c r="Y277">
        <v>0.25</v>
      </c>
      <c r="Z277">
        <v>16385.490000000002</v>
      </c>
      <c r="AA277">
        <v>13679.24</v>
      </c>
      <c r="AB277">
        <v>2706.25</v>
      </c>
      <c r="AC277" t="s">
        <v>33</v>
      </c>
      <c r="AD277" t="s">
        <v>34</v>
      </c>
      <c r="AE277">
        <f>ROUND((U277*V277)-(U277*V277*Y277),2)</f>
        <v>16385.490000000002</v>
      </c>
      <c r="AF277">
        <f>AE277-AA277</f>
        <v>2706.2500000000018</v>
      </c>
      <c r="AG277" s="7">
        <f>ROUND((AF277/AE277),4)</f>
        <v>0.16520000000000001</v>
      </c>
      <c r="AH277">
        <f>IF(AND(C277&lt;&gt;"",E277&lt;&gt;""),E277 - C277,"")</f>
        <v>3</v>
      </c>
      <c r="AI277" t="str">
        <f>IF(C277="","",TEXT(C277, "mmmm"))</f>
        <v>December</v>
      </c>
      <c r="AJ277">
        <f>IF(C277="","",YEAR(C277))</f>
        <v>2024</v>
      </c>
      <c r="AM277" t="str">
        <f>IF(AN277="","clean","")</f>
        <v>clean</v>
      </c>
      <c r="AN277" t="s">
        <v>3595</v>
      </c>
    </row>
    <row r="278" spans="1:40">
      <c r="A278" t="s">
        <v>2086</v>
      </c>
      <c r="B278" t="s">
        <v>3895</v>
      </c>
      <c r="C278" s="6">
        <v>45579</v>
      </c>
      <c r="D278" t="s">
        <v>2087</v>
      </c>
      <c r="E278" s="6">
        <v>45585</v>
      </c>
      <c r="F278" t="s">
        <v>2088</v>
      </c>
      <c r="G278" t="s">
        <v>103</v>
      </c>
      <c r="H278" t="s">
        <v>103</v>
      </c>
      <c r="I278" t="s">
        <v>40</v>
      </c>
      <c r="J278" t="s">
        <v>40</v>
      </c>
      <c r="K278" t="s">
        <v>26</v>
      </c>
      <c r="L278" t="str">
        <f>IF(TRIM(K278)="","Unknown",PROPER(TRIM(K278)))</f>
        <v>North</v>
      </c>
      <c r="M278" t="s">
        <v>27</v>
      </c>
      <c r="N278" t="s">
        <v>28</v>
      </c>
      <c r="O278" t="s">
        <v>44</v>
      </c>
      <c r="P278" t="str">
        <f>IF(TRIM(O278)="","Unknown",PROPER(TRIM(O278)))</f>
        <v>Furniture</v>
      </c>
      <c r="Q278" t="s">
        <v>45</v>
      </c>
      <c r="R278" t="s">
        <v>2089</v>
      </c>
      <c r="S278" t="s">
        <v>47</v>
      </c>
      <c r="T278" t="str">
        <f>IF(TRIM(S278)="","Unknown",PROPER(TRIM(S278)))</f>
        <v>Same Day</v>
      </c>
      <c r="U278">
        <v>7</v>
      </c>
      <c r="V278">
        <v>1547.6</v>
      </c>
      <c r="W278">
        <v>0.2</v>
      </c>
      <c r="Y278">
        <v>0.2</v>
      </c>
      <c r="Z278">
        <v>8666.56</v>
      </c>
      <c r="AA278">
        <v>5967.44</v>
      </c>
      <c r="AB278">
        <v>2699.12</v>
      </c>
      <c r="AC278" t="s">
        <v>33</v>
      </c>
      <c r="AD278" t="s">
        <v>34</v>
      </c>
      <c r="AE278">
        <f>ROUND((U278*V278)-(U278*V278*Y278),2)</f>
        <v>8666.56</v>
      </c>
      <c r="AF278">
        <f>AE278-AA278</f>
        <v>2699.12</v>
      </c>
      <c r="AG278" s="7">
        <f>ROUND((AF278/AE278),4)</f>
        <v>0.31140000000000001</v>
      </c>
      <c r="AH278">
        <f>IF(AND(C278&lt;&gt;"",E278&lt;&gt;""),E278 - C278,"")</f>
        <v>6</v>
      </c>
      <c r="AI278" t="str">
        <f>IF(C278="","",TEXT(C278, "mmmm"))</f>
        <v>October</v>
      </c>
      <c r="AJ278">
        <f>IF(C278="","",YEAR(C278))</f>
        <v>2024</v>
      </c>
      <c r="AM278" t="str">
        <f>IF(AN278="","clean","")</f>
        <v>clean</v>
      </c>
      <c r="AN278" t="s">
        <v>3595</v>
      </c>
    </row>
    <row r="279" spans="1:40">
      <c r="A279" t="s">
        <v>2090</v>
      </c>
      <c r="B279" t="s">
        <v>3639</v>
      </c>
      <c r="C279" s="6">
        <v>45329</v>
      </c>
      <c r="D279" t="s">
        <v>2091</v>
      </c>
      <c r="E279" s="6">
        <v>45334</v>
      </c>
      <c r="F279" t="s">
        <v>2092</v>
      </c>
      <c r="G279" t="s">
        <v>59</v>
      </c>
      <c r="H279" t="s">
        <v>59</v>
      </c>
      <c r="I279" t="s">
        <v>110</v>
      </c>
      <c r="J279" t="s">
        <v>110</v>
      </c>
      <c r="K279" t="s">
        <v>41</v>
      </c>
      <c r="L279" t="str">
        <f>IF(TRIM(K279)="","Unknown",PROPER(TRIM(K279)))</f>
        <v>East</v>
      </c>
      <c r="M279" t="s">
        <v>116</v>
      </c>
      <c r="N279" t="s">
        <v>117</v>
      </c>
      <c r="O279" t="s">
        <v>83</v>
      </c>
      <c r="P279" t="str">
        <f>IF(TRIM(O279)="","Unknown",PROPER(TRIM(O279)))</f>
        <v>Technology</v>
      </c>
      <c r="Q279" t="s">
        <v>84</v>
      </c>
      <c r="R279" t="s">
        <v>2093</v>
      </c>
      <c r="S279" t="s">
        <v>32</v>
      </c>
      <c r="T279" t="str">
        <f>IF(TRIM(S279)="","Unknown",PROPER(TRIM(S279)))</f>
        <v>Second Class</v>
      </c>
      <c r="U279">
        <v>1</v>
      </c>
      <c r="V279">
        <v>452.19</v>
      </c>
      <c r="W279">
        <v>0.2</v>
      </c>
      <c r="Y279">
        <v>0.2</v>
      </c>
      <c r="Z279">
        <v>361.75</v>
      </c>
      <c r="AA279">
        <v>262.52999999999997</v>
      </c>
      <c r="AB279">
        <v>99.22</v>
      </c>
      <c r="AC279" t="s">
        <v>33</v>
      </c>
      <c r="AD279" t="s">
        <v>34</v>
      </c>
      <c r="AE279">
        <f>ROUND((U279*V279)-(U279*V279*Y279),2)</f>
        <v>361.75</v>
      </c>
      <c r="AF279">
        <f>AE279-AA279</f>
        <v>99.220000000000027</v>
      </c>
      <c r="AG279" s="7">
        <f>ROUND((AF279/AE279),4)</f>
        <v>0.27429999999999999</v>
      </c>
      <c r="AH279">
        <f>IF(AND(C279&lt;&gt;"",E279&lt;&gt;""),E279 - C279,"")</f>
        <v>5</v>
      </c>
      <c r="AI279" t="str">
        <f>IF(C279="","",TEXT(C279, "mmmm"))</f>
        <v>February</v>
      </c>
      <c r="AJ279">
        <f>IF(C279="","",YEAR(C279))</f>
        <v>2024</v>
      </c>
      <c r="AM279" t="str">
        <f>IF(AN279="","clean","")</f>
        <v>clean</v>
      </c>
      <c r="AN279" t="s">
        <v>3595</v>
      </c>
    </row>
    <row r="280" spans="1:40">
      <c r="A280" t="s">
        <v>2094</v>
      </c>
      <c r="B280" t="s">
        <v>3896</v>
      </c>
      <c r="C280" s="6">
        <v>45551</v>
      </c>
      <c r="D280" t="s">
        <v>1664</v>
      </c>
      <c r="E280" s="6">
        <v>45554</v>
      </c>
      <c r="F280" t="s">
        <v>2095</v>
      </c>
      <c r="G280" t="s">
        <v>103</v>
      </c>
      <c r="H280" t="s">
        <v>103</v>
      </c>
      <c r="I280" t="s">
        <v>25</v>
      </c>
      <c r="J280" t="s">
        <v>25</v>
      </c>
      <c r="K280" t="s">
        <v>71</v>
      </c>
      <c r="L280" t="str">
        <f>IF(TRIM(K280)="","Unknown",PROPER(TRIM(K280)))</f>
        <v>West</v>
      </c>
      <c r="M280" t="s">
        <v>27</v>
      </c>
      <c r="N280" t="s">
        <v>129</v>
      </c>
      <c r="O280" t="s">
        <v>29</v>
      </c>
      <c r="P280" t="str">
        <f>IF(TRIM(O280)="","Unknown",PROPER(TRIM(O280)))</f>
        <v>Office Supplies</v>
      </c>
      <c r="Q280" t="s">
        <v>184</v>
      </c>
      <c r="R280" t="s">
        <v>2096</v>
      </c>
      <c r="S280" t="s">
        <v>55</v>
      </c>
      <c r="T280" t="str">
        <f>IF(TRIM(S280)="","Unknown",PROPER(TRIM(S280)))</f>
        <v>First Class</v>
      </c>
      <c r="U280">
        <v>7</v>
      </c>
      <c r="V280">
        <v>406.42</v>
      </c>
      <c r="W280">
        <v>0.15</v>
      </c>
      <c r="Y280">
        <v>0.15</v>
      </c>
      <c r="Z280">
        <v>2418.1999999999998</v>
      </c>
      <c r="AA280">
        <v>1613.82</v>
      </c>
      <c r="AB280">
        <v>804.38</v>
      </c>
      <c r="AC280" t="s">
        <v>33</v>
      </c>
      <c r="AD280" t="s">
        <v>34</v>
      </c>
      <c r="AE280">
        <f>ROUND((U280*V280)-(U280*V280*Y280),2)</f>
        <v>2418.1999999999998</v>
      </c>
      <c r="AF280">
        <f>AE280-AA280</f>
        <v>804.37999999999988</v>
      </c>
      <c r="AG280" s="7">
        <f>ROUND((AF280/AE280),4)</f>
        <v>0.33260000000000001</v>
      </c>
      <c r="AH280">
        <f>IF(AND(C280&lt;&gt;"",E280&lt;&gt;""),E280 - C280,"")</f>
        <v>3</v>
      </c>
      <c r="AI280" t="str">
        <f>IF(C280="","",TEXT(C280, "mmmm"))</f>
        <v>September</v>
      </c>
      <c r="AJ280">
        <f>IF(C280="","",YEAR(C280))</f>
        <v>2024</v>
      </c>
      <c r="AM280" t="str">
        <f>IF(AN280="","clean","")</f>
        <v>clean</v>
      </c>
      <c r="AN280" t="s">
        <v>3595</v>
      </c>
    </row>
    <row r="281" spans="1:40">
      <c r="A281" t="s">
        <v>2110</v>
      </c>
      <c r="B281" t="s">
        <v>3898</v>
      </c>
      <c r="C281" s="6">
        <v>45610</v>
      </c>
      <c r="D281" t="s">
        <v>2111</v>
      </c>
      <c r="E281" s="6">
        <v>45618</v>
      </c>
      <c r="F281" t="s">
        <v>2112</v>
      </c>
      <c r="G281" t="s">
        <v>52</v>
      </c>
      <c r="H281" t="s">
        <v>52</v>
      </c>
      <c r="I281" t="s">
        <v>25</v>
      </c>
      <c r="J281" t="s">
        <v>25</v>
      </c>
      <c r="K281" t="s">
        <v>71</v>
      </c>
      <c r="L281" t="str">
        <f>IF(TRIM(K281)="","Unknown",PROPER(TRIM(K281)))</f>
        <v>West</v>
      </c>
      <c r="M281" t="s">
        <v>81</v>
      </c>
      <c r="N281" t="s">
        <v>82</v>
      </c>
      <c r="O281" t="s">
        <v>83</v>
      </c>
      <c r="P281" t="str">
        <f>IF(TRIM(O281)="","Unknown",PROPER(TRIM(O281)))</f>
        <v>Technology</v>
      </c>
      <c r="Q281" t="s">
        <v>207</v>
      </c>
      <c r="R281" t="s">
        <v>2113</v>
      </c>
      <c r="S281" t="s">
        <v>65</v>
      </c>
      <c r="T281" t="str">
        <f>IF(TRIM(S281)="","Unknown",PROPER(TRIM(S281)))</f>
        <v>Standard Class</v>
      </c>
      <c r="U281">
        <v>3</v>
      </c>
      <c r="V281">
        <v>671.68</v>
      </c>
      <c r="W281">
        <v>-0.13</v>
      </c>
      <c r="Y281">
        <v>0.15</v>
      </c>
      <c r="Z281">
        <v>1712.78</v>
      </c>
      <c r="AA281">
        <v>1569.38</v>
      </c>
      <c r="AB281">
        <v>360.66</v>
      </c>
      <c r="AC281" t="s">
        <v>186</v>
      </c>
      <c r="AD281" t="s">
        <v>76</v>
      </c>
      <c r="AE281">
        <f>ROUND((U281*V281)-(U281*V281*Y281),2)</f>
        <v>1712.78</v>
      </c>
      <c r="AF281">
        <f>AE281-AA281</f>
        <v>143.39999999999986</v>
      </c>
      <c r="AG281" s="7">
        <f>ROUND((AF281/AE281),4)</f>
        <v>8.3699999999999997E-2</v>
      </c>
      <c r="AH281">
        <f>IF(AND(C281&lt;&gt;"",E281&lt;&gt;""),E281 - C281,"")</f>
        <v>8</v>
      </c>
      <c r="AI281" t="str">
        <f>IF(C281="","",TEXT(C281, "mmmm"))</f>
        <v>November</v>
      </c>
      <c r="AJ281">
        <f>IF(C281="","",YEAR(C281))</f>
        <v>2024</v>
      </c>
      <c r="AM281" t="s">
        <v>4145</v>
      </c>
      <c r="AN281" t="s">
        <v>3596</v>
      </c>
    </row>
    <row r="282" spans="1:40">
      <c r="A282" t="s">
        <v>2114</v>
      </c>
      <c r="B282" t="s">
        <v>3867</v>
      </c>
      <c r="C282" s="6">
        <v>45421</v>
      </c>
      <c r="D282" t="s">
        <v>2115</v>
      </c>
      <c r="E282" s="6">
        <v>45427</v>
      </c>
      <c r="F282" t="s">
        <v>2116</v>
      </c>
      <c r="G282" t="s">
        <v>39</v>
      </c>
      <c r="H282" t="s">
        <v>39</v>
      </c>
      <c r="I282" t="s">
        <v>40</v>
      </c>
      <c r="J282" t="s">
        <v>40</v>
      </c>
      <c r="K282" t="s">
        <v>41</v>
      </c>
      <c r="L282" t="str">
        <f>IF(TRIM(K282)="","Unknown",PROPER(TRIM(K282)))</f>
        <v>East</v>
      </c>
      <c r="M282" t="s">
        <v>201</v>
      </c>
      <c r="N282" t="s">
        <v>202</v>
      </c>
      <c r="O282" t="s">
        <v>83</v>
      </c>
      <c r="P282" t="str">
        <f>IF(TRIM(O282)="","Unknown",PROPER(TRIM(O282)))</f>
        <v>Technology</v>
      </c>
      <c r="Q282" t="s">
        <v>207</v>
      </c>
      <c r="R282" t="s">
        <v>2117</v>
      </c>
      <c r="S282" t="s">
        <v>32</v>
      </c>
      <c r="T282" t="str">
        <f>IF(TRIM(S282)="","Unknown",PROPER(TRIM(S282)))</f>
        <v>Second Class</v>
      </c>
      <c r="U282">
        <v>4</v>
      </c>
      <c r="V282">
        <v>995.98</v>
      </c>
      <c r="W282">
        <v>0.05</v>
      </c>
      <c r="Y282">
        <v>0.05</v>
      </c>
      <c r="Z282">
        <v>3784.72</v>
      </c>
      <c r="AA282">
        <v>2419.2399999999998</v>
      </c>
      <c r="AB282">
        <v>1365.48</v>
      </c>
      <c r="AC282" t="s">
        <v>119</v>
      </c>
      <c r="AD282" t="s">
        <v>120</v>
      </c>
      <c r="AE282">
        <f>ROUND((U282*V282)-(U282*V282*Y282),2)</f>
        <v>3784.72</v>
      </c>
      <c r="AF282">
        <f>AE282-AA282</f>
        <v>1365.48</v>
      </c>
      <c r="AG282" s="7">
        <f>ROUND((AF282/AE282),4)</f>
        <v>0.36080000000000001</v>
      </c>
      <c r="AH282">
        <f>IF(AND(C282&lt;&gt;"",E282&lt;&gt;""),E282 - C282,"")</f>
        <v>6</v>
      </c>
      <c r="AI282" t="str">
        <f>IF(C282="","",TEXT(C282, "mmmm"))</f>
        <v>May</v>
      </c>
      <c r="AJ282">
        <f>IF(C282="","",YEAR(C282))</f>
        <v>2024</v>
      </c>
      <c r="AM282" t="str">
        <f>IF(AN282="","clean","")</f>
        <v>clean</v>
      </c>
      <c r="AN282" t="s">
        <v>3595</v>
      </c>
    </row>
    <row r="283" spans="1:40">
      <c r="A283" t="s">
        <v>2123</v>
      </c>
      <c r="B283" t="s">
        <v>2124</v>
      </c>
      <c r="C283" s="6">
        <v>45533</v>
      </c>
      <c r="D283" t="s">
        <v>2124</v>
      </c>
      <c r="E283" s="6">
        <v>45533</v>
      </c>
      <c r="F283" t="s">
        <v>2125</v>
      </c>
      <c r="G283" t="s">
        <v>158</v>
      </c>
      <c r="H283" t="s">
        <v>158</v>
      </c>
      <c r="I283" t="s">
        <v>40</v>
      </c>
      <c r="J283" t="s">
        <v>40</v>
      </c>
      <c r="K283" t="s">
        <v>635</v>
      </c>
      <c r="L283" t="str">
        <f>IF(TRIM(K283)="","Unknown",PROPER(TRIM(K283)))</f>
        <v>North</v>
      </c>
      <c r="M283" t="s">
        <v>163</v>
      </c>
      <c r="N283" t="s">
        <v>164</v>
      </c>
      <c r="O283" t="s">
        <v>83</v>
      </c>
      <c r="P283" t="str">
        <f>IF(TRIM(O283)="","Unknown",PROPER(TRIM(O283)))</f>
        <v>Technology</v>
      </c>
      <c r="Q283" t="s">
        <v>84</v>
      </c>
      <c r="R283" t="s">
        <v>2126</v>
      </c>
      <c r="S283" t="s">
        <v>32</v>
      </c>
      <c r="T283" t="str">
        <f>IF(TRIM(S283)="","Unknown",PROPER(TRIM(S283)))</f>
        <v>Second Class</v>
      </c>
      <c r="U283">
        <v>1</v>
      </c>
      <c r="V283">
        <v>3106.88</v>
      </c>
      <c r="W283">
        <v>0.2</v>
      </c>
      <c r="Y283">
        <v>0.2</v>
      </c>
      <c r="Z283">
        <v>2485.5</v>
      </c>
      <c r="AA283">
        <v>2028.43</v>
      </c>
      <c r="AB283">
        <v>457.07</v>
      </c>
      <c r="AC283" t="s">
        <v>33</v>
      </c>
      <c r="AD283" t="s">
        <v>76</v>
      </c>
      <c r="AE283">
        <f>ROUND((U283*V283)-(U283*V283*Y283),2)</f>
        <v>2485.5</v>
      </c>
      <c r="AF283">
        <f>AE283-AA283</f>
        <v>457.06999999999994</v>
      </c>
      <c r="AG283" s="7">
        <f>ROUND((AF283/AE283),4)</f>
        <v>0.18390000000000001</v>
      </c>
      <c r="AH283">
        <f>IF(AND(C283&lt;&gt;"",E283&lt;&gt;""),E283 - C283,"")</f>
        <v>0</v>
      </c>
      <c r="AI283" t="str">
        <f>IF(C283="","",TEXT(C283, "mmmm"))</f>
        <v>August</v>
      </c>
      <c r="AJ283">
        <f>IF(C283="","",YEAR(C283))</f>
        <v>2024</v>
      </c>
      <c r="AM283" t="str">
        <f>IF(AN283="","clean","")</f>
        <v>clean</v>
      </c>
      <c r="AN283" t="s">
        <v>3595</v>
      </c>
    </row>
    <row r="284" spans="1:40">
      <c r="A284" t="s">
        <v>2132</v>
      </c>
      <c r="B284" t="s">
        <v>3900</v>
      </c>
      <c r="C284" s="6">
        <v>45648</v>
      </c>
      <c r="D284" t="s">
        <v>1271</v>
      </c>
      <c r="F284" t="s">
        <v>2133</v>
      </c>
      <c r="G284" t="s">
        <v>141</v>
      </c>
      <c r="H284" t="s">
        <v>141</v>
      </c>
      <c r="I284" t="s">
        <v>110</v>
      </c>
      <c r="J284" t="s">
        <v>110</v>
      </c>
      <c r="K284" t="s">
        <v>26</v>
      </c>
      <c r="L284" t="str">
        <f>IF(TRIM(K284)="","Unknown",PROPER(TRIM(K284)))</f>
        <v>North</v>
      </c>
      <c r="M284" t="s">
        <v>163</v>
      </c>
      <c r="N284" t="s">
        <v>164</v>
      </c>
      <c r="O284" t="s">
        <v>44</v>
      </c>
      <c r="P284" t="str">
        <f>IF(TRIM(O284)="","Unknown",PROPER(TRIM(O284)))</f>
        <v>Furniture</v>
      </c>
      <c r="Q284" t="s">
        <v>74</v>
      </c>
      <c r="R284" t="s">
        <v>2134</v>
      </c>
      <c r="S284" t="s">
        <v>65</v>
      </c>
      <c r="T284" t="str">
        <f>IF(TRIM(S284)="","Unknown",PROPER(TRIM(S284)))</f>
        <v>Standard Class</v>
      </c>
      <c r="U284">
        <v>9</v>
      </c>
      <c r="V284">
        <v>1110.8699999999999</v>
      </c>
      <c r="Y284">
        <v>0.25</v>
      </c>
      <c r="Z284">
        <v>7498.37</v>
      </c>
      <c r="AA284">
        <v>6059.07</v>
      </c>
      <c r="AB284">
        <v>1439.3</v>
      </c>
      <c r="AC284" t="s">
        <v>33</v>
      </c>
      <c r="AD284" t="s">
        <v>76</v>
      </c>
      <c r="AE284">
        <f>ROUND((U284*V284)-(U284*V284*Y284),2)</f>
        <v>7498.37</v>
      </c>
      <c r="AF284">
        <f>AE284-AA284</f>
        <v>1439.3000000000002</v>
      </c>
      <c r="AG284" s="7">
        <f>ROUND((AF284/AE284),4)</f>
        <v>0.19189999999999999</v>
      </c>
      <c r="AH284" t="str">
        <f>IF(AND(C284&lt;&gt;"",E284&lt;&gt;""),E284 - C284,"")</f>
        <v/>
      </c>
      <c r="AI284" t="str">
        <f>IF(C284="","",TEXT(C284, "mmmm"))</f>
        <v>December</v>
      </c>
      <c r="AJ284">
        <f>IF(C284="","",YEAR(C284))</f>
        <v>2024</v>
      </c>
      <c r="AM284" t="s">
        <v>4144</v>
      </c>
      <c r="AN284" t="s">
        <v>4138</v>
      </c>
    </row>
    <row r="285" spans="1:40">
      <c r="A285" t="s">
        <v>2135</v>
      </c>
      <c r="B285" t="s">
        <v>996</v>
      </c>
      <c r="C285" s="6">
        <v>45429</v>
      </c>
      <c r="D285" t="s">
        <v>2136</v>
      </c>
      <c r="E285" s="6">
        <v>45434</v>
      </c>
      <c r="F285" t="s">
        <v>2137</v>
      </c>
      <c r="G285" t="s">
        <v>158</v>
      </c>
      <c r="H285" t="s">
        <v>158</v>
      </c>
      <c r="I285" t="s">
        <v>25</v>
      </c>
      <c r="J285" t="s">
        <v>25</v>
      </c>
      <c r="K285" t="s">
        <v>60</v>
      </c>
      <c r="L285" t="str">
        <f>IF(TRIM(K285)="","Unknown",PROPER(TRIM(K285)))</f>
        <v>South</v>
      </c>
      <c r="M285" t="s">
        <v>224</v>
      </c>
      <c r="N285" t="s">
        <v>225</v>
      </c>
      <c r="O285" t="s">
        <v>83</v>
      </c>
      <c r="P285" t="str">
        <f>IF(TRIM(O285)="","Unknown",PROPER(TRIM(O285)))</f>
        <v>Technology</v>
      </c>
      <c r="Q285" t="s">
        <v>207</v>
      </c>
      <c r="R285" t="s">
        <v>2138</v>
      </c>
      <c r="S285" t="s">
        <v>47</v>
      </c>
      <c r="T285" t="str">
        <f>IF(TRIM(S285)="","Unknown",PROPER(TRIM(S285)))</f>
        <v>Same Day</v>
      </c>
      <c r="U285">
        <v>9</v>
      </c>
      <c r="V285">
        <v>3795.99</v>
      </c>
      <c r="W285" t="s">
        <v>1032</v>
      </c>
      <c r="Y285">
        <v>0</v>
      </c>
      <c r="Z285">
        <v>34163.910000000003</v>
      </c>
      <c r="AA285">
        <v>28577.15</v>
      </c>
      <c r="AB285">
        <v>5586.76</v>
      </c>
      <c r="AC285" t="s">
        <v>33</v>
      </c>
      <c r="AD285" t="s">
        <v>34</v>
      </c>
      <c r="AE285">
        <f>ROUND((U285*V285)-(U285*V285*Y285),2)</f>
        <v>34163.910000000003</v>
      </c>
      <c r="AF285">
        <f>AE285-AA285</f>
        <v>5586.760000000002</v>
      </c>
      <c r="AG285" s="7">
        <f>ROUND((AF285/AE285),4)</f>
        <v>0.16350000000000001</v>
      </c>
      <c r="AH285">
        <f>IF(AND(C285&lt;&gt;"",E285&lt;&gt;""),E285 - C285,"")</f>
        <v>5</v>
      </c>
      <c r="AI285" t="str">
        <f>IF(C285="","",TEXT(C285, "mmmm"))</f>
        <v>May</v>
      </c>
      <c r="AJ285">
        <f>IF(C285="","",YEAR(C285))</f>
        <v>2024</v>
      </c>
      <c r="AM285" t="s">
        <v>4145</v>
      </c>
      <c r="AN285" t="s">
        <v>3596</v>
      </c>
    </row>
    <row r="286" spans="1:40">
      <c r="A286" t="s">
        <v>2139</v>
      </c>
      <c r="B286" t="s">
        <v>3901</v>
      </c>
      <c r="C286" s="6">
        <v>45515</v>
      </c>
      <c r="D286" t="s">
        <v>2140</v>
      </c>
      <c r="E286" s="6">
        <v>45521</v>
      </c>
      <c r="F286" t="s">
        <v>1090</v>
      </c>
      <c r="G286" t="s">
        <v>90</v>
      </c>
      <c r="H286" t="s">
        <v>90</v>
      </c>
      <c r="I286" t="s">
        <v>25</v>
      </c>
      <c r="J286" t="s">
        <v>25</v>
      </c>
      <c r="K286" t="s">
        <v>41</v>
      </c>
      <c r="L286" t="str">
        <f>IF(TRIM(K286)="","Unknown",PROPER(TRIM(K286)))</f>
        <v>East</v>
      </c>
      <c r="M286" t="s">
        <v>284</v>
      </c>
      <c r="N286" t="s">
        <v>285</v>
      </c>
      <c r="O286" t="s">
        <v>29</v>
      </c>
      <c r="P286" t="str">
        <f>IF(TRIM(O286)="","Unknown",PROPER(TRIM(O286)))</f>
        <v>Office Supplies</v>
      </c>
      <c r="Q286" t="s">
        <v>53</v>
      </c>
      <c r="R286" t="s">
        <v>2141</v>
      </c>
      <c r="S286" t="s">
        <v>32</v>
      </c>
      <c r="T286" t="str">
        <f>IF(TRIM(S286)="","Unknown",PROPER(TRIM(S286)))</f>
        <v>Second Class</v>
      </c>
      <c r="U286">
        <v>6</v>
      </c>
      <c r="V286">
        <v>3497.54</v>
      </c>
      <c r="W286">
        <v>0.15</v>
      </c>
      <c r="Y286">
        <v>0.15</v>
      </c>
      <c r="Z286">
        <v>17837.45</v>
      </c>
      <c r="AA286">
        <v>13627.02</v>
      </c>
      <c r="AB286">
        <v>4210.43</v>
      </c>
      <c r="AC286" t="s">
        <v>33</v>
      </c>
      <c r="AD286" t="s">
        <v>34</v>
      </c>
      <c r="AE286">
        <f>ROUND((U286*V286)-(U286*V286*Y286),2)</f>
        <v>17837.45</v>
      </c>
      <c r="AF286">
        <f>AE286-AA286</f>
        <v>4210.43</v>
      </c>
      <c r="AG286" s="7">
        <f>ROUND((AF286/AE286),4)</f>
        <v>0.23599999999999999</v>
      </c>
      <c r="AH286">
        <f>IF(AND(C286&lt;&gt;"",E286&lt;&gt;""),E286 - C286,"")</f>
        <v>6</v>
      </c>
      <c r="AI286" t="str">
        <f>IF(C286="","",TEXT(C286, "mmmm"))</f>
        <v>August</v>
      </c>
      <c r="AJ286">
        <f>IF(C286="","",YEAR(C286))</f>
        <v>2024</v>
      </c>
      <c r="AM286" t="str">
        <f>IF(AN286="","clean","")</f>
        <v>clean</v>
      </c>
      <c r="AN286" t="s">
        <v>3595</v>
      </c>
    </row>
    <row r="287" spans="1:40">
      <c r="A287" t="s">
        <v>2142</v>
      </c>
      <c r="B287" t="s">
        <v>3902</v>
      </c>
      <c r="C287" s="6">
        <v>45383</v>
      </c>
      <c r="D287" t="s">
        <v>2143</v>
      </c>
      <c r="E287" s="6">
        <v>45391</v>
      </c>
      <c r="F287" t="s">
        <v>2144</v>
      </c>
      <c r="G287" t="s">
        <v>136</v>
      </c>
      <c r="H287" t="s">
        <v>136</v>
      </c>
      <c r="I287" t="s">
        <v>40</v>
      </c>
      <c r="J287" t="s">
        <v>40</v>
      </c>
      <c r="K287" t="s">
        <v>41</v>
      </c>
      <c r="L287" t="str">
        <f>IF(TRIM(K287)="","Unknown",PROPER(TRIM(K287)))</f>
        <v>East</v>
      </c>
      <c r="M287" t="s">
        <v>42</v>
      </c>
      <c r="N287" t="s">
        <v>43</v>
      </c>
      <c r="O287" t="s">
        <v>83</v>
      </c>
      <c r="P287" t="str">
        <f>IF(TRIM(O287)="","Unknown",PROPER(TRIM(O287)))</f>
        <v>Technology</v>
      </c>
      <c r="Q287" t="s">
        <v>91</v>
      </c>
      <c r="R287" t="s">
        <v>2145</v>
      </c>
      <c r="S287" t="s">
        <v>32</v>
      </c>
      <c r="T287" t="str">
        <f>IF(TRIM(S287)="","Unknown",PROPER(TRIM(S287)))</f>
        <v>Second Class</v>
      </c>
      <c r="U287">
        <v>6</v>
      </c>
      <c r="V287">
        <v>826.93</v>
      </c>
      <c r="W287">
        <v>0.1</v>
      </c>
      <c r="Y287">
        <v>0.1</v>
      </c>
      <c r="Z287">
        <v>4465.42</v>
      </c>
      <c r="AA287">
        <v>3377.1</v>
      </c>
      <c r="AB287">
        <v>1088.32</v>
      </c>
      <c r="AC287" t="s">
        <v>33</v>
      </c>
      <c r="AD287" t="s">
        <v>34</v>
      </c>
      <c r="AE287">
        <f>ROUND((U287*V287)-(U287*V287*Y287),2)</f>
        <v>4465.42</v>
      </c>
      <c r="AF287">
        <f>AE287-AA287</f>
        <v>1088.3200000000002</v>
      </c>
      <c r="AG287" s="7">
        <f>ROUND((AF287/AE287),4)</f>
        <v>0.2437</v>
      </c>
      <c r="AH287">
        <f>IF(AND(C287&lt;&gt;"",E287&lt;&gt;""),E287 - C287,"")</f>
        <v>8</v>
      </c>
      <c r="AI287" t="str">
        <f>IF(C287="","",TEXT(C287, "mmmm"))</f>
        <v>April</v>
      </c>
      <c r="AJ287">
        <f>IF(C287="","",YEAR(C287))</f>
        <v>2024</v>
      </c>
      <c r="AM287" t="str">
        <f>IF(AN287="","clean","")</f>
        <v>clean</v>
      </c>
      <c r="AN287" t="s">
        <v>3595</v>
      </c>
    </row>
    <row r="288" spans="1:40">
      <c r="A288" t="s">
        <v>2142</v>
      </c>
      <c r="B288" t="s">
        <v>3902</v>
      </c>
      <c r="C288" s="6">
        <v>45383</v>
      </c>
      <c r="D288" t="s">
        <v>2143</v>
      </c>
      <c r="E288" s="6">
        <v>45391</v>
      </c>
      <c r="F288" t="s">
        <v>2144</v>
      </c>
      <c r="G288" t="s">
        <v>136</v>
      </c>
      <c r="H288" t="s">
        <v>136</v>
      </c>
      <c r="I288" t="s">
        <v>40</v>
      </c>
      <c r="J288" t="s">
        <v>40</v>
      </c>
      <c r="K288" t="s">
        <v>41</v>
      </c>
      <c r="L288" t="str">
        <f>IF(TRIM(K288)="","Unknown",PROPER(TRIM(K288)))</f>
        <v>East</v>
      </c>
      <c r="M288" t="s">
        <v>42</v>
      </c>
      <c r="N288" t="s">
        <v>43</v>
      </c>
      <c r="O288" t="s">
        <v>83</v>
      </c>
      <c r="P288" t="str">
        <f>IF(TRIM(O288)="","Unknown",PROPER(TRIM(O288)))</f>
        <v>Technology</v>
      </c>
      <c r="Q288" t="s">
        <v>91</v>
      </c>
      <c r="R288" t="s">
        <v>2145</v>
      </c>
      <c r="S288" t="s">
        <v>32</v>
      </c>
      <c r="T288" t="str">
        <f>IF(TRIM(S288)="","Unknown",PROPER(TRIM(S288)))</f>
        <v>Second Class</v>
      </c>
      <c r="U288">
        <v>6</v>
      </c>
      <c r="V288">
        <v>826.93</v>
      </c>
      <c r="W288">
        <v>0.1</v>
      </c>
      <c r="Y288">
        <v>0.1</v>
      </c>
      <c r="Z288">
        <v>4465.42</v>
      </c>
      <c r="AA288">
        <v>3377.1</v>
      </c>
      <c r="AB288">
        <v>1088.32</v>
      </c>
      <c r="AC288" t="s">
        <v>33</v>
      </c>
      <c r="AD288" t="s">
        <v>34</v>
      </c>
      <c r="AE288">
        <f>ROUND((U288*V288)-(U288*V288*Y288),2)</f>
        <v>4465.42</v>
      </c>
      <c r="AF288">
        <f>AE288-AA288</f>
        <v>1088.3200000000002</v>
      </c>
      <c r="AG288" s="7">
        <f>ROUND((AF288/AE288),4)</f>
        <v>0.2437</v>
      </c>
      <c r="AH288">
        <f>IF(AND(C288&lt;&gt;"",E288&lt;&gt;""),E288 - C288,"")</f>
        <v>8</v>
      </c>
      <c r="AI288" t="str">
        <f>IF(C288="","",TEXT(C288, "mmmm"))</f>
        <v>April</v>
      </c>
      <c r="AJ288">
        <f>IF(C288="","",YEAR(C288))</f>
        <v>2024</v>
      </c>
      <c r="AL288" t="s">
        <v>4152</v>
      </c>
      <c r="AM288" t="s">
        <v>4144</v>
      </c>
      <c r="AN288" t="s">
        <v>4149</v>
      </c>
    </row>
    <row r="289" spans="1:40">
      <c r="A289" t="s">
        <v>2146</v>
      </c>
      <c r="B289" t="s">
        <v>3903</v>
      </c>
      <c r="C289" s="6">
        <v>45563</v>
      </c>
      <c r="D289" t="s">
        <v>2147</v>
      </c>
      <c r="E289" s="6">
        <v>45570</v>
      </c>
      <c r="F289" t="s">
        <v>2148</v>
      </c>
      <c r="G289" t="s">
        <v>153</v>
      </c>
      <c r="H289" t="s">
        <v>153</v>
      </c>
      <c r="I289" t="s">
        <v>25</v>
      </c>
      <c r="J289" t="s">
        <v>25</v>
      </c>
      <c r="K289" t="s">
        <v>60</v>
      </c>
      <c r="L289" t="str">
        <f>IF(TRIM(K289)="","Unknown",PROPER(TRIM(K289)))</f>
        <v>South</v>
      </c>
      <c r="M289" t="s">
        <v>309</v>
      </c>
      <c r="N289" t="s">
        <v>310</v>
      </c>
      <c r="O289" t="s">
        <v>83</v>
      </c>
      <c r="P289" t="str">
        <f>IF(TRIM(O289)="","Unknown",PROPER(TRIM(O289)))</f>
        <v>Technology</v>
      </c>
      <c r="Q289" t="s">
        <v>207</v>
      </c>
      <c r="R289" t="s">
        <v>2149</v>
      </c>
      <c r="S289" t="s">
        <v>65</v>
      </c>
      <c r="T289" t="str">
        <f>IF(TRIM(S289)="","Unknown",PROPER(TRIM(S289)))</f>
        <v>Standard Class</v>
      </c>
      <c r="U289">
        <v>7</v>
      </c>
      <c r="V289">
        <v>1681.6</v>
      </c>
      <c r="W289">
        <v>0.1</v>
      </c>
      <c r="Y289">
        <v>0.1</v>
      </c>
      <c r="Z289">
        <v>10594.08</v>
      </c>
      <c r="AA289">
        <v>7160.31</v>
      </c>
      <c r="AB289">
        <v>3433.77</v>
      </c>
      <c r="AC289" t="s">
        <v>33</v>
      </c>
      <c r="AD289" t="s">
        <v>34</v>
      </c>
      <c r="AE289">
        <f>ROUND((U289*V289)-(U289*V289*Y289),2)</f>
        <v>10594.08</v>
      </c>
      <c r="AF289">
        <f>AE289-AA289</f>
        <v>3433.7699999999995</v>
      </c>
      <c r="AG289" s="7">
        <f>ROUND((AF289/AE289),4)</f>
        <v>0.3241</v>
      </c>
      <c r="AH289">
        <f>IF(AND(C289&lt;&gt;"",E289&lt;&gt;""),E289 - C289,"")</f>
        <v>7</v>
      </c>
      <c r="AI289" t="str">
        <f>IF(C289="","",TEXT(C289, "mmmm"))</f>
        <v>September</v>
      </c>
      <c r="AJ289">
        <f>IF(C289="","",YEAR(C289))</f>
        <v>2024</v>
      </c>
      <c r="AM289" t="str">
        <f>IF(AN289="","clean","")</f>
        <v>clean</v>
      </c>
      <c r="AN289" t="s">
        <v>3595</v>
      </c>
    </row>
    <row r="290" spans="1:40">
      <c r="A290" t="s">
        <v>2154</v>
      </c>
      <c r="B290" t="s">
        <v>3905</v>
      </c>
      <c r="C290" s="6">
        <v>45605</v>
      </c>
      <c r="D290" t="s">
        <v>1211</v>
      </c>
      <c r="E290" s="6">
        <v>45610</v>
      </c>
      <c r="F290" t="s">
        <v>2155</v>
      </c>
      <c r="G290" t="s">
        <v>90</v>
      </c>
      <c r="H290" t="s">
        <v>90</v>
      </c>
      <c r="I290" t="s">
        <v>104</v>
      </c>
      <c r="J290" t="s">
        <v>104</v>
      </c>
      <c r="K290" t="s">
        <v>71</v>
      </c>
      <c r="L290" t="str">
        <f>IF(TRIM(K290)="","Unknown",PROPER(TRIM(K290)))</f>
        <v>West</v>
      </c>
      <c r="M290" t="s">
        <v>81</v>
      </c>
      <c r="N290" t="s">
        <v>82</v>
      </c>
      <c r="O290" t="s">
        <v>29</v>
      </c>
      <c r="P290" t="str">
        <f>IF(TRIM(O290)="","Unknown",PROPER(TRIM(O290)))</f>
        <v>Office Supplies</v>
      </c>
      <c r="Q290" t="s">
        <v>53</v>
      </c>
      <c r="R290" t="s">
        <v>2156</v>
      </c>
      <c r="S290" t="s">
        <v>55</v>
      </c>
      <c r="T290" t="str">
        <f>IF(TRIM(S290)="","Unknown",PROPER(TRIM(S290)))</f>
        <v>First Class</v>
      </c>
      <c r="U290">
        <v>9</v>
      </c>
      <c r="V290">
        <v>2438.29</v>
      </c>
      <c r="W290">
        <v>0.2</v>
      </c>
      <c r="Y290">
        <v>0.2</v>
      </c>
      <c r="Z290">
        <v>17555.689999999999</v>
      </c>
      <c r="AA290">
        <v>13293.2</v>
      </c>
      <c r="AB290">
        <v>4262.49</v>
      </c>
      <c r="AC290" t="s">
        <v>33</v>
      </c>
      <c r="AD290" t="s">
        <v>76</v>
      </c>
      <c r="AE290">
        <f>ROUND((U290*V290)-(U290*V290*Y290),2)</f>
        <v>17555.689999999999</v>
      </c>
      <c r="AF290">
        <f>AE290-AA290</f>
        <v>4262.489999999998</v>
      </c>
      <c r="AG290" s="7">
        <f>ROUND((AF290/AE290),4)</f>
        <v>0.24279999999999999</v>
      </c>
      <c r="AH290">
        <f>IF(AND(C290&lt;&gt;"",E290&lt;&gt;""),E290 - C290,"")</f>
        <v>5</v>
      </c>
      <c r="AI290" t="str">
        <f>IF(C290="","",TEXT(C290, "mmmm"))</f>
        <v>November</v>
      </c>
      <c r="AJ290">
        <f>IF(C290="","",YEAR(C290))</f>
        <v>2024</v>
      </c>
      <c r="AM290" t="str">
        <f>IF(AN290="","clean","")</f>
        <v>clean</v>
      </c>
      <c r="AN290" t="s">
        <v>3595</v>
      </c>
    </row>
    <row r="291" spans="1:40">
      <c r="A291" t="s">
        <v>2157</v>
      </c>
      <c r="B291" t="s">
        <v>3906</v>
      </c>
      <c r="C291" s="6">
        <v>45641</v>
      </c>
      <c r="D291" t="s">
        <v>2158</v>
      </c>
      <c r="E291" s="6">
        <v>45641</v>
      </c>
      <c r="F291" t="s">
        <v>2159</v>
      </c>
      <c r="G291" t="s">
        <v>153</v>
      </c>
      <c r="H291" t="s">
        <v>153</v>
      </c>
      <c r="I291" t="s">
        <v>40</v>
      </c>
      <c r="J291" t="s">
        <v>40</v>
      </c>
      <c r="K291" t="s">
        <v>26</v>
      </c>
      <c r="L291" t="str">
        <f>IF(TRIM(K291)="","Unknown",PROPER(TRIM(K291)))</f>
        <v>North</v>
      </c>
      <c r="M291" t="s">
        <v>146</v>
      </c>
      <c r="N291" t="s">
        <v>147</v>
      </c>
      <c r="O291" t="s">
        <v>44</v>
      </c>
      <c r="P291" t="str">
        <f>IF(TRIM(O291)="","Unknown",PROPER(TRIM(O291)))</f>
        <v>Furniture</v>
      </c>
      <c r="Q291" t="s">
        <v>63</v>
      </c>
      <c r="R291" t="s">
        <v>2160</v>
      </c>
      <c r="S291" t="s">
        <v>55</v>
      </c>
      <c r="T291" t="str">
        <f>IF(TRIM(S291)="","Unknown",PROPER(TRIM(S291)))</f>
        <v>First Class</v>
      </c>
      <c r="U291">
        <v>2</v>
      </c>
      <c r="V291">
        <v>669.8</v>
      </c>
      <c r="W291">
        <v>0.1</v>
      </c>
      <c r="Y291">
        <v>0.1</v>
      </c>
      <c r="Z291">
        <v>1205.6400000000001</v>
      </c>
      <c r="AA291">
        <v>842.07</v>
      </c>
      <c r="AB291">
        <v>363.57</v>
      </c>
      <c r="AC291" t="s">
        <v>119</v>
      </c>
      <c r="AD291" t="s">
        <v>120</v>
      </c>
      <c r="AE291">
        <f>ROUND((U291*V291)-(U291*V291*Y291),2)</f>
        <v>1205.6400000000001</v>
      </c>
      <c r="AF291">
        <f>AE291-AA291</f>
        <v>363.57000000000005</v>
      </c>
      <c r="AG291" s="7">
        <f>ROUND((AF291/AE291),4)</f>
        <v>0.30159999999999998</v>
      </c>
      <c r="AH291">
        <f>IF(AND(C291&lt;&gt;"",E291&lt;&gt;""),E291 - C291,"")</f>
        <v>0</v>
      </c>
      <c r="AI291" t="str">
        <f>IF(C291="","",TEXT(C291, "mmmm"))</f>
        <v>December</v>
      </c>
      <c r="AJ291">
        <f>IF(C291="","",YEAR(C291))</f>
        <v>2024</v>
      </c>
      <c r="AM291" t="str">
        <f>IF(AN291="","clean","")</f>
        <v>clean</v>
      </c>
      <c r="AN291" t="s">
        <v>3595</v>
      </c>
    </row>
    <row r="292" spans="1:40">
      <c r="A292" t="s">
        <v>2164</v>
      </c>
      <c r="B292" t="s">
        <v>3907</v>
      </c>
      <c r="C292" s="6">
        <v>45382</v>
      </c>
      <c r="D292" t="s">
        <v>1247</v>
      </c>
      <c r="E292" s="6">
        <v>45389</v>
      </c>
      <c r="F292" t="s">
        <v>2165</v>
      </c>
      <c r="G292" t="s">
        <v>52</v>
      </c>
      <c r="H292" t="s">
        <v>52</v>
      </c>
      <c r="I292" t="s">
        <v>40</v>
      </c>
      <c r="J292" t="s">
        <v>40</v>
      </c>
      <c r="K292" t="s">
        <v>26</v>
      </c>
      <c r="L292" t="str">
        <f>IF(TRIM(K292)="","Unknown",PROPER(TRIM(K292)))</f>
        <v>North</v>
      </c>
      <c r="M292" t="s">
        <v>294</v>
      </c>
      <c r="N292" t="s">
        <v>295</v>
      </c>
      <c r="O292" t="s">
        <v>83</v>
      </c>
      <c r="P292" t="str">
        <f>IF(TRIM(O292)="","Unknown",PROPER(TRIM(O292)))</f>
        <v>Technology</v>
      </c>
      <c r="Q292" t="s">
        <v>347</v>
      </c>
      <c r="R292" t="s">
        <v>2166</v>
      </c>
      <c r="S292" t="s">
        <v>32</v>
      </c>
      <c r="T292" t="str">
        <f>IF(TRIM(S292)="","Unknown",PROPER(TRIM(S292)))</f>
        <v>Second Class</v>
      </c>
      <c r="U292">
        <v>4</v>
      </c>
      <c r="V292">
        <v>1831</v>
      </c>
      <c r="W292">
        <v>0</v>
      </c>
      <c r="Y292">
        <v>0</v>
      </c>
      <c r="Z292">
        <v>7324</v>
      </c>
      <c r="AA292">
        <v>4179.63</v>
      </c>
      <c r="AB292">
        <v>3144.37</v>
      </c>
      <c r="AC292" t="s">
        <v>33</v>
      </c>
      <c r="AD292" t="s">
        <v>34</v>
      </c>
      <c r="AE292">
        <f>ROUND((U292*V292)-(U292*V292*Y292),2)</f>
        <v>7324</v>
      </c>
      <c r="AF292">
        <f>AE292-AA292</f>
        <v>3144.37</v>
      </c>
      <c r="AG292" s="7">
        <f>ROUND((AF292/AE292),4)</f>
        <v>0.42930000000000001</v>
      </c>
      <c r="AH292">
        <f>IF(AND(C292&lt;&gt;"",E292&lt;&gt;""),E292 - C292,"")</f>
        <v>7</v>
      </c>
      <c r="AI292" t="str">
        <f>IF(C292="","",TEXT(C292, "mmmm"))</f>
        <v>March</v>
      </c>
      <c r="AJ292">
        <f>IF(C292="","",YEAR(C292))</f>
        <v>2024</v>
      </c>
      <c r="AM292" t="str">
        <f>IF(AN292="","clean","")</f>
        <v>clean</v>
      </c>
      <c r="AN292" t="s">
        <v>3595</v>
      </c>
    </row>
    <row r="293" spans="1:40">
      <c r="A293" t="s">
        <v>2171</v>
      </c>
      <c r="B293" t="s">
        <v>3671</v>
      </c>
      <c r="C293" s="6">
        <v>45583</v>
      </c>
      <c r="D293" t="s">
        <v>2172</v>
      </c>
      <c r="F293" t="s">
        <v>2173</v>
      </c>
      <c r="G293" t="s">
        <v>2174</v>
      </c>
      <c r="H293" t="s">
        <v>153</v>
      </c>
      <c r="I293" t="s">
        <v>25</v>
      </c>
      <c r="J293" t="s">
        <v>25</v>
      </c>
      <c r="K293" t="s">
        <v>60</v>
      </c>
      <c r="L293" t="str">
        <f>IF(TRIM(K293)="","Unknown",PROPER(TRIM(K293)))</f>
        <v>South</v>
      </c>
      <c r="M293" t="s">
        <v>212</v>
      </c>
      <c r="N293" t="s">
        <v>213</v>
      </c>
      <c r="O293" t="s">
        <v>29</v>
      </c>
      <c r="P293" t="str">
        <f>IF(TRIM(O293)="","Unknown",PROPER(TRIM(O293)))</f>
        <v>Office Supplies</v>
      </c>
      <c r="Q293" t="s">
        <v>148</v>
      </c>
      <c r="R293" t="s">
        <v>2175</v>
      </c>
      <c r="S293" t="s">
        <v>32</v>
      </c>
      <c r="T293" t="str">
        <f>IF(TRIM(S293)="","Unknown",PROPER(TRIM(S293)))</f>
        <v>Second Class</v>
      </c>
      <c r="U293">
        <v>2</v>
      </c>
      <c r="V293">
        <v>4238.51</v>
      </c>
      <c r="W293">
        <v>0</v>
      </c>
      <c r="Y293">
        <v>0</v>
      </c>
      <c r="Z293">
        <v>8477.02</v>
      </c>
      <c r="AA293">
        <v>6884.96</v>
      </c>
      <c r="AB293">
        <v>1592.06</v>
      </c>
      <c r="AC293" t="s">
        <v>33</v>
      </c>
      <c r="AD293" t="s">
        <v>34</v>
      </c>
      <c r="AE293">
        <f>ROUND((U293*V293)-(U293*V293*Y293),2)</f>
        <v>8477.02</v>
      </c>
      <c r="AF293">
        <f>AE293-AA293</f>
        <v>1592.0600000000004</v>
      </c>
      <c r="AG293" s="7">
        <f>ROUND((AF293/AE293),4)</f>
        <v>0.18779999999999999</v>
      </c>
      <c r="AH293" t="str">
        <f>IF(AND(C293&lt;&gt;"",E293&lt;&gt;""),E293 - C293,"")</f>
        <v/>
      </c>
      <c r="AI293" t="str">
        <f>IF(C293="","",TEXT(C293, "mmmm"))</f>
        <v>October</v>
      </c>
      <c r="AJ293">
        <f>IF(C293="","",YEAR(C293))</f>
        <v>2024</v>
      </c>
      <c r="AM293" t="s">
        <v>4144</v>
      </c>
      <c r="AN293" t="s">
        <v>4136</v>
      </c>
    </row>
    <row r="294" spans="1:40">
      <c r="A294" t="s">
        <v>2176</v>
      </c>
      <c r="B294" t="s">
        <v>3909</v>
      </c>
      <c r="C294" s="6">
        <v>45588</v>
      </c>
      <c r="D294" t="s">
        <v>2177</v>
      </c>
      <c r="E294" s="6">
        <v>45591</v>
      </c>
      <c r="F294" t="s">
        <v>2178</v>
      </c>
      <c r="G294" t="s">
        <v>158</v>
      </c>
      <c r="H294" t="s">
        <v>158</v>
      </c>
      <c r="I294" t="s">
        <v>25</v>
      </c>
      <c r="J294" t="s">
        <v>25</v>
      </c>
      <c r="K294" t="s">
        <v>71</v>
      </c>
      <c r="L294" t="str">
        <f>IF(TRIM(K294)="","Unknown",PROPER(TRIM(K294)))</f>
        <v>West</v>
      </c>
      <c r="M294" t="s">
        <v>81</v>
      </c>
      <c r="N294" t="s">
        <v>82</v>
      </c>
      <c r="O294" t="s">
        <v>44</v>
      </c>
      <c r="P294" t="str">
        <f>IF(TRIM(O294)="","Unknown",PROPER(TRIM(O294)))</f>
        <v>Furniture</v>
      </c>
      <c r="Q294" t="s">
        <v>190</v>
      </c>
      <c r="R294" t="s">
        <v>2179</v>
      </c>
      <c r="S294" t="s">
        <v>65</v>
      </c>
      <c r="T294" t="str">
        <f>IF(TRIM(S294)="","Unknown",PROPER(TRIM(S294)))</f>
        <v>Standard Class</v>
      </c>
      <c r="U294">
        <v>9</v>
      </c>
      <c r="V294">
        <v>544.27</v>
      </c>
      <c r="W294">
        <v>0.25</v>
      </c>
      <c r="Y294">
        <v>0.25</v>
      </c>
      <c r="Z294">
        <v>3673.82</v>
      </c>
      <c r="AA294">
        <v>2088.15</v>
      </c>
      <c r="AB294">
        <v>1585.67</v>
      </c>
      <c r="AC294" t="s">
        <v>33</v>
      </c>
      <c r="AD294" t="s">
        <v>34</v>
      </c>
      <c r="AE294">
        <f>ROUND((U294*V294)-(U294*V294*Y294),2)</f>
        <v>3673.82</v>
      </c>
      <c r="AF294">
        <f>AE294-AA294</f>
        <v>1585.67</v>
      </c>
      <c r="AG294" s="7">
        <f>ROUND((AF294/AE294),4)</f>
        <v>0.43159999999999998</v>
      </c>
      <c r="AH294">
        <f>IF(AND(C294&lt;&gt;"",E294&lt;&gt;""),E294 - C294,"")</f>
        <v>3</v>
      </c>
      <c r="AI294" t="str">
        <f>IF(C294="","",TEXT(C294, "mmmm"))</f>
        <v>October</v>
      </c>
      <c r="AJ294">
        <f>IF(C294="","",YEAR(C294))</f>
        <v>2024</v>
      </c>
      <c r="AM294" t="str">
        <f>IF(AN294="","clean","")</f>
        <v>clean</v>
      </c>
      <c r="AN294" t="s">
        <v>3595</v>
      </c>
    </row>
    <row r="295" spans="1:40">
      <c r="A295" t="s">
        <v>2186</v>
      </c>
      <c r="B295" t="s">
        <v>3910</v>
      </c>
      <c r="C295" s="6">
        <v>45614</v>
      </c>
      <c r="D295" t="s">
        <v>2111</v>
      </c>
      <c r="E295" s="6">
        <v>45618</v>
      </c>
      <c r="F295" t="s">
        <v>2187</v>
      </c>
      <c r="G295" t="s">
        <v>24</v>
      </c>
      <c r="H295" t="s">
        <v>24</v>
      </c>
      <c r="I295" t="s">
        <v>110</v>
      </c>
      <c r="J295" t="s">
        <v>110</v>
      </c>
      <c r="K295" t="s">
        <v>60</v>
      </c>
      <c r="L295" t="str">
        <f>IF(TRIM(K295)="","Unknown",PROPER(TRIM(K295)))</f>
        <v>South</v>
      </c>
      <c r="M295" t="s">
        <v>224</v>
      </c>
      <c r="N295" t="s">
        <v>225</v>
      </c>
      <c r="O295" t="s">
        <v>83</v>
      </c>
      <c r="P295" t="str">
        <f>IF(TRIM(O295)="","Unknown",PROPER(TRIM(O295)))</f>
        <v>Technology</v>
      </c>
      <c r="Q295" t="s">
        <v>84</v>
      </c>
      <c r="R295" t="s">
        <v>2188</v>
      </c>
      <c r="S295" t="s">
        <v>65</v>
      </c>
      <c r="T295" t="str">
        <f>IF(TRIM(S295)="","Unknown",PROPER(TRIM(S295)))</f>
        <v>Standard Class</v>
      </c>
      <c r="U295">
        <v>6</v>
      </c>
      <c r="V295">
        <v>3872.94</v>
      </c>
      <c r="W295">
        <v>0.1</v>
      </c>
      <c r="Y295">
        <v>0.1</v>
      </c>
      <c r="Z295">
        <v>20913.88</v>
      </c>
      <c r="AA295">
        <v>11684.68</v>
      </c>
      <c r="AB295">
        <v>9229.2000000000007</v>
      </c>
      <c r="AC295" t="s">
        <v>33</v>
      </c>
      <c r="AD295" t="s">
        <v>34</v>
      </c>
      <c r="AE295">
        <f>ROUND((U295*V295)-(U295*V295*Y295),2)</f>
        <v>20913.88</v>
      </c>
      <c r="AF295">
        <f>AE295-AA295</f>
        <v>9229.2000000000007</v>
      </c>
      <c r="AG295" s="7">
        <f>ROUND((AF295/AE295),4)</f>
        <v>0.44130000000000003</v>
      </c>
      <c r="AH295">
        <f>IF(AND(C295&lt;&gt;"",E295&lt;&gt;""),E295 - C295,"")</f>
        <v>4</v>
      </c>
      <c r="AI295" t="str">
        <f>IF(C295="","",TEXT(C295, "mmmm"))</f>
        <v>November</v>
      </c>
      <c r="AJ295">
        <f>IF(C295="","",YEAR(C295))</f>
        <v>2024</v>
      </c>
      <c r="AM295" t="str">
        <f>IF(AN295="","clean","")</f>
        <v>clean</v>
      </c>
      <c r="AN295" t="s">
        <v>3595</v>
      </c>
    </row>
    <row r="296" spans="1:40">
      <c r="A296" t="s">
        <v>2193</v>
      </c>
      <c r="B296" t="s">
        <v>3911</v>
      </c>
      <c r="C296" s="6">
        <v>45563</v>
      </c>
      <c r="D296" t="s">
        <v>2194</v>
      </c>
      <c r="E296" s="6">
        <v>45569</v>
      </c>
      <c r="F296" t="s">
        <v>2195</v>
      </c>
      <c r="G296" t="s">
        <v>334</v>
      </c>
      <c r="H296" t="s">
        <v>334</v>
      </c>
      <c r="I296" t="s">
        <v>110</v>
      </c>
      <c r="J296" t="s">
        <v>110</v>
      </c>
      <c r="K296" t="s">
        <v>26</v>
      </c>
      <c r="L296" t="str">
        <f>IF(TRIM(K296)="","Unknown",PROPER(TRIM(K296)))</f>
        <v>North</v>
      </c>
      <c r="M296" t="s">
        <v>454</v>
      </c>
      <c r="N296" t="s">
        <v>455</v>
      </c>
      <c r="O296" t="s">
        <v>83</v>
      </c>
      <c r="P296" t="str">
        <f>IF(TRIM(O296)="","Unknown",PROPER(TRIM(O296)))</f>
        <v>Technology</v>
      </c>
      <c r="Q296" t="s">
        <v>91</v>
      </c>
      <c r="R296" t="s">
        <v>2196</v>
      </c>
      <c r="S296" t="s">
        <v>65</v>
      </c>
      <c r="T296" t="str">
        <f>IF(TRIM(S296)="","Unknown",PROPER(TRIM(S296)))</f>
        <v>Standard Class</v>
      </c>
      <c r="U296">
        <v>1</v>
      </c>
      <c r="V296">
        <v>2233.1799999999998</v>
      </c>
      <c r="W296">
        <v>0</v>
      </c>
      <c r="Y296">
        <v>0</v>
      </c>
      <c r="Z296">
        <v>2233.1799999999998</v>
      </c>
      <c r="AA296">
        <v>1585.82</v>
      </c>
      <c r="AB296">
        <v>647.36</v>
      </c>
      <c r="AC296" t="s">
        <v>186</v>
      </c>
      <c r="AD296" t="s">
        <v>120</v>
      </c>
      <c r="AE296">
        <f>ROUND((U296*V296)-(U296*V296*Y296),2)</f>
        <v>2233.1799999999998</v>
      </c>
      <c r="AF296">
        <f>AE296-AA296</f>
        <v>647.3599999999999</v>
      </c>
      <c r="AG296" s="7">
        <f>ROUND((AF296/AE296),4)</f>
        <v>0.28989999999999999</v>
      </c>
      <c r="AH296">
        <f>IF(AND(C296&lt;&gt;"",E296&lt;&gt;""),E296 - C296,"")</f>
        <v>6</v>
      </c>
      <c r="AI296" t="str">
        <f>IF(C296="","",TEXT(C296, "mmmm"))</f>
        <v>September</v>
      </c>
      <c r="AJ296">
        <f>IF(C296="","",YEAR(C296))</f>
        <v>2024</v>
      </c>
      <c r="AM296" t="str">
        <f>IF(AN296="","clean","")</f>
        <v>clean</v>
      </c>
      <c r="AN296" t="s">
        <v>3595</v>
      </c>
    </row>
    <row r="297" spans="1:40">
      <c r="A297" t="s">
        <v>2208</v>
      </c>
      <c r="B297" t="s">
        <v>978</v>
      </c>
      <c r="C297" s="6">
        <v>45489</v>
      </c>
      <c r="D297" t="s">
        <v>2209</v>
      </c>
      <c r="E297" s="6">
        <v>45496</v>
      </c>
      <c r="F297" t="s">
        <v>2210</v>
      </c>
      <c r="G297" t="s">
        <v>153</v>
      </c>
      <c r="H297" t="s">
        <v>153</v>
      </c>
      <c r="I297" t="s">
        <v>110</v>
      </c>
      <c r="J297" t="s">
        <v>110</v>
      </c>
      <c r="K297" t="s">
        <v>60</v>
      </c>
      <c r="L297" t="str">
        <f>IF(TRIM(K297)="","Unknown",PROPER(TRIM(K297)))</f>
        <v>South</v>
      </c>
      <c r="M297" t="s">
        <v>212</v>
      </c>
      <c r="N297" t="s">
        <v>213</v>
      </c>
      <c r="O297" t="s">
        <v>83</v>
      </c>
      <c r="P297" t="str">
        <f>IF(TRIM(O297)="","Unknown",PROPER(TRIM(O297)))</f>
        <v>Technology</v>
      </c>
      <c r="Q297" t="s">
        <v>347</v>
      </c>
      <c r="R297" t="s">
        <v>2211</v>
      </c>
      <c r="S297" t="s">
        <v>47</v>
      </c>
      <c r="T297" t="str">
        <f>IF(TRIM(S297)="","Unknown",PROPER(TRIM(S297)))</f>
        <v>Same Day</v>
      </c>
      <c r="U297">
        <v>1</v>
      </c>
      <c r="V297">
        <v>1695.91</v>
      </c>
      <c r="W297">
        <v>0.05</v>
      </c>
      <c r="Y297">
        <v>0.05</v>
      </c>
      <c r="Z297">
        <v>1611.11</v>
      </c>
      <c r="AA297">
        <v>895.15</v>
      </c>
      <c r="AB297">
        <v>715.96</v>
      </c>
      <c r="AC297" t="s">
        <v>33</v>
      </c>
      <c r="AD297" t="s">
        <v>34</v>
      </c>
      <c r="AE297">
        <f>ROUND((U297*V297)-(U297*V297*Y297),2)</f>
        <v>1611.11</v>
      </c>
      <c r="AF297">
        <f>AE297-AA297</f>
        <v>715.95999999999992</v>
      </c>
      <c r="AG297" s="7">
        <f>ROUND((AF297/AE297),4)</f>
        <v>0.44440000000000002</v>
      </c>
      <c r="AH297">
        <f>IF(AND(C297&lt;&gt;"",E297&lt;&gt;""),E297 - C297,"")</f>
        <v>7</v>
      </c>
      <c r="AI297" t="str">
        <f>IF(C297="","",TEXT(C297, "mmmm"))</f>
        <v>July</v>
      </c>
      <c r="AJ297">
        <f>IF(C297="","",YEAR(C297))</f>
        <v>2024</v>
      </c>
      <c r="AM297" t="str">
        <f>IF(AN297="","clean","")</f>
        <v>clean</v>
      </c>
      <c r="AN297" t="s">
        <v>3595</v>
      </c>
    </row>
    <row r="298" spans="1:40">
      <c r="A298" t="s">
        <v>2220</v>
      </c>
      <c r="B298" t="s">
        <v>3914</v>
      </c>
      <c r="C298" s="6">
        <v>45384</v>
      </c>
      <c r="D298" t="s">
        <v>2221</v>
      </c>
      <c r="E298" s="6">
        <v>45385</v>
      </c>
      <c r="F298" t="s">
        <v>2222</v>
      </c>
      <c r="G298" t="s">
        <v>334</v>
      </c>
      <c r="H298" t="s">
        <v>334</v>
      </c>
      <c r="I298" t="s">
        <v>110</v>
      </c>
      <c r="J298" t="s">
        <v>110</v>
      </c>
      <c r="K298" t="s">
        <v>71</v>
      </c>
      <c r="L298" t="str">
        <f>IF(TRIM(K298)="","Unknown",PROPER(TRIM(K298)))</f>
        <v>West</v>
      </c>
      <c r="M298" t="s">
        <v>230</v>
      </c>
      <c r="N298" t="s">
        <v>231</v>
      </c>
      <c r="O298" t="s">
        <v>29</v>
      </c>
      <c r="P298" t="str">
        <f>IF(TRIM(O298)="","Unknown",PROPER(TRIM(O298)))</f>
        <v>Office Supplies</v>
      </c>
      <c r="Q298" t="s">
        <v>30</v>
      </c>
      <c r="R298" t="s">
        <v>2223</v>
      </c>
      <c r="S298" t="s">
        <v>32</v>
      </c>
      <c r="T298" t="str">
        <f>IF(TRIM(S298)="","Unknown",PROPER(TRIM(S298)))</f>
        <v>Second Class</v>
      </c>
      <c r="U298">
        <v>2</v>
      </c>
      <c r="V298">
        <v>2902.63</v>
      </c>
      <c r="W298">
        <v>0</v>
      </c>
      <c r="Y298">
        <v>0</v>
      </c>
      <c r="Z298">
        <v>5805.26</v>
      </c>
      <c r="AA298">
        <v>4654.3599999999997</v>
      </c>
      <c r="AB298">
        <v>1150.9000000000001</v>
      </c>
      <c r="AC298" t="s">
        <v>33</v>
      </c>
      <c r="AD298" t="s">
        <v>120</v>
      </c>
      <c r="AE298">
        <f>ROUND((U298*V298)-(U298*V298*Y298),2)</f>
        <v>5805.26</v>
      </c>
      <c r="AF298">
        <f>AE298-AA298</f>
        <v>1150.9000000000005</v>
      </c>
      <c r="AG298" s="7">
        <f>ROUND((AF298/AE298),4)</f>
        <v>0.1983</v>
      </c>
      <c r="AH298">
        <f>IF(AND(C298&lt;&gt;"",E298&lt;&gt;""),E298 - C298,"")</f>
        <v>1</v>
      </c>
      <c r="AI298" t="str">
        <f>IF(C298="","",TEXT(C298, "mmmm"))</f>
        <v>April</v>
      </c>
      <c r="AJ298">
        <f>IF(C298="","",YEAR(C298))</f>
        <v>2024</v>
      </c>
      <c r="AM298" t="str">
        <f>IF(AN298="","clean","")</f>
        <v>clean</v>
      </c>
      <c r="AN298" t="s">
        <v>3595</v>
      </c>
    </row>
    <row r="299" spans="1:40">
      <c r="A299" t="s">
        <v>2224</v>
      </c>
      <c r="B299" t="s">
        <v>3915</v>
      </c>
      <c r="C299" s="6">
        <v>45626</v>
      </c>
      <c r="D299" t="s">
        <v>2225</v>
      </c>
      <c r="E299" s="6">
        <v>45627</v>
      </c>
      <c r="F299" t="s">
        <v>2226</v>
      </c>
      <c r="G299" t="s">
        <v>70</v>
      </c>
      <c r="H299" t="s">
        <v>70</v>
      </c>
      <c r="I299" t="s">
        <v>104</v>
      </c>
      <c r="J299" t="s">
        <v>104</v>
      </c>
      <c r="K299" t="s">
        <v>71</v>
      </c>
      <c r="L299" t="str">
        <f>IF(TRIM(K299)="","Unknown",PROPER(TRIM(K299)))</f>
        <v>West</v>
      </c>
      <c r="M299" t="s">
        <v>218</v>
      </c>
      <c r="N299" t="s">
        <v>219</v>
      </c>
      <c r="O299" t="s">
        <v>44</v>
      </c>
      <c r="P299" t="str">
        <f>IF(TRIM(O299)="","Unknown",PROPER(TRIM(O299)))</f>
        <v>Furniture</v>
      </c>
      <c r="Q299" t="s">
        <v>74</v>
      </c>
      <c r="R299" t="s">
        <v>2227</v>
      </c>
      <c r="S299" t="s">
        <v>55</v>
      </c>
      <c r="T299" t="str">
        <f>IF(TRIM(S299)="","Unknown",PROPER(TRIM(S299)))</f>
        <v>First Class</v>
      </c>
      <c r="U299">
        <v>9</v>
      </c>
      <c r="V299">
        <v>4207.3599999999997</v>
      </c>
      <c r="W299">
        <v>0.1</v>
      </c>
      <c r="Y299">
        <v>0.1</v>
      </c>
      <c r="Z299">
        <v>34079.620000000003</v>
      </c>
      <c r="AA299">
        <v>21871.39</v>
      </c>
      <c r="AB299">
        <v>12208.23</v>
      </c>
      <c r="AC299" t="s">
        <v>33</v>
      </c>
      <c r="AD299" t="s">
        <v>34</v>
      </c>
      <c r="AE299">
        <f>ROUND((U299*V299)-(U299*V299*Y299),2)</f>
        <v>34079.620000000003</v>
      </c>
      <c r="AF299">
        <f>AE299-AA299</f>
        <v>12208.230000000003</v>
      </c>
      <c r="AG299" s="7">
        <f>ROUND((AF299/AE299),4)</f>
        <v>0.35820000000000002</v>
      </c>
      <c r="AH299">
        <f>IF(AND(C299&lt;&gt;"",E299&lt;&gt;""),E299 - C299,"")</f>
        <v>1</v>
      </c>
      <c r="AI299" t="str">
        <f>IF(C299="","",TEXT(C299, "mmmm"))</f>
        <v>November</v>
      </c>
      <c r="AJ299">
        <f>IF(C299="","",YEAR(C299))</f>
        <v>2024</v>
      </c>
      <c r="AM299" t="str">
        <f>IF(AN299="","clean","")</f>
        <v>clean</v>
      </c>
      <c r="AN299" t="s">
        <v>3595</v>
      </c>
    </row>
    <row r="300" spans="1:40">
      <c r="A300" t="s">
        <v>2228</v>
      </c>
      <c r="B300" t="s">
        <v>3916</v>
      </c>
      <c r="C300" s="6">
        <v>45582</v>
      </c>
      <c r="D300" t="s">
        <v>2229</v>
      </c>
      <c r="E300" s="6">
        <v>45582</v>
      </c>
      <c r="F300" t="s">
        <v>2230</v>
      </c>
      <c r="G300" t="s">
        <v>136</v>
      </c>
      <c r="H300" t="s">
        <v>136</v>
      </c>
      <c r="I300" t="s">
        <v>110</v>
      </c>
      <c r="J300" t="s">
        <v>110</v>
      </c>
      <c r="K300" t="s">
        <v>41</v>
      </c>
      <c r="L300" t="str">
        <f>IF(TRIM(K300)="","Unknown",PROPER(TRIM(K300)))</f>
        <v>East</v>
      </c>
      <c r="M300" t="s">
        <v>116</v>
      </c>
      <c r="N300" t="s">
        <v>117</v>
      </c>
      <c r="O300" t="s">
        <v>44</v>
      </c>
      <c r="P300" t="str">
        <f>IF(TRIM(O300)="","Unknown",PROPER(TRIM(O300)))</f>
        <v>Furniture</v>
      </c>
      <c r="Q300" t="s">
        <v>74</v>
      </c>
      <c r="R300" t="s">
        <v>2231</v>
      </c>
      <c r="S300" t="s">
        <v>65</v>
      </c>
      <c r="T300" t="str">
        <f>IF(TRIM(S300)="","Unknown",PROPER(TRIM(S300)))</f>
        <v>Standard Class</v>
      </c>
      <c r="U300">
        <v>5</v>
      </c>
      <c r="V300">
        <v>2524.4</v>
      </c>
      <c r="W300">
        <v>0.1</v>
      </c>
      <c r="Y300">
        <v>0.1</v>
      </c>
      <c r="Z300">
        <v>11359.8</v>
      </c>
      <c r="AA300">
        <v>7062.44</v>
      </c>
      <c r="AB300">
        <v>4297.3599999999997</v>
      </c>
      <c r="AC300" t="s">
        <v>33</v>
      </c>
      <c r="AD300" t="s">
        <v>34</v>
      </c>
      <c r="AE300">
        <f>ROUND((U300*V300)-(U300*V300*Y300),2)</f>
        <v>11359.8</v>
      </c>
      <c r="AF300">
        <f>AE300-AA300</f>
        <v>4297.3599999999997</v>
      </c>
      <c r="AG300" s="7">
        <f>ROUND((AF300/AE300),4)</f>
        <v>0.37830000000000003</v>
      </c>
      <c r="AH300">
        <f>IF(AND(C300&lt;&gt;"",E300&lt;&gt;""),E300 - C300,"")</f>
        <v>0</v>
      </c>
      <c r="AI300" t="str">
        <f>IF(C300="","",TEXT(C300, "mmmm"))</f>
        <v>October</v>
      </c>
      <c r="AJ300">
        <f>IF(C300="","",YEAR(C300))</f>
        <v>2024</v>
      </c>
      <c r="AM300" t="str">
        <f>IF(AN300="","clean","")</f>
        <v>clean</v>
      </c>
      <c r="AN300" t="s">
        <v>3595</v>
      </c>
    </row>
    <row r="301" spans="1:40">
      <c r="A301" t="s">
        <v>2240</v>
      </c>
      <c r="B301" t="s">
        <v>3919</v>
      </c>
      <c r="C301" s="6">
        <v>45572</v>
      </c>
      <c r="D301" t="s">
        <v>2241</v>
      </c>
      <c r="E301" s="6">
        <v>45574</v>
      </c>
      <c r="F301" t="s">
        <v>2242</v>
      </c>
      <c r="G301" t="s">
        <v>196</v>
      </c>
      <c r="H301" t="s">
        <v>196</v>
      </c>
      <c r="I301" t="s">
        <v>25</v>
      </c>
      <c r="J301" t="s">
        <v>25</v>
      </c>
      <c r="K301" t="s">
        <v>60</v>
      </c>
      <c r="L301" t="str">
        <f>IF(TRIM(K301)="","Unknown",PROPER(TRIM(K301)))</f>
        <v>South</v>
      </c>
      <c r="M301" t="s">
        <v>309</v>
      </c>
      <c r="N301" t="s">
        <v>310</v>
      </c>
      <c r="O301" t="s">
        <v>29</v>
      </c>
      <c r="P301" t="str">
        <f>IF(TRIM(O301)="","Unknown",PROPER(TRIM(O301)))</f>
        <v>Office Supplies</v>
      </c>
      <c r="Q301" t="s">
        <v>184</v>
      </c>
      <c r="R301" t="s">
        <v>2243</v>
      </c>
      <c r="S301" t="s">
        <v>65</v>
      </c>
      <c r="T301" t="str">
        <f>IF(TRIM(S301)="","Unknown",PROPER(TRIM(S301)))</f>
        <v>Standard Class</v>
      </c>
      <c r="U301">
        <v>9</v>
      </c>
      <c r="V301">
        <v>3457.09</v>
      </c>
      <c r="W301">
        <v>0.05</v>
      </c>
      <c r="Y301">
        <v>0.05</v>
      </c>
      <c r="Z301">
        <v>29558.12</v>
      </c>
      <c r="AA301">
        <v>21302.13</v>
      </c>
      <c r="AB301">
        <v>8255.99</v>
      </c>
      <c r="AC301" t="s">
        <v>131</v>
      </c>
      <c r="AD301" t="s">
        <v>120</v>
      </c>
      <c r="AE301">
        <f>ROUND((U301*V301)-(U301*V301*Y301),2)</f>
        <v>29558.12</v>
      </c>
      <c r="AF301">
        <f>AE301-AA301</f>
        <v>8255.989999999998</v>
      </c>
      <c r="AG301" s="7">
        <f>ROUND((AF301/AE301),4)</f>
        <v>0.27929999999999999</v>
      </c>
      <c r="AH301">
        <f>IF(AND(C301&lt;&gt;"",E301&lt;&gt;""),E301 - C301,"")</f>
        <v>2</v>
      </c>
      <c r="AI301" t="str">
        <f>IF(C301="","",TEXT(C301, "mmmm"))</f>
        <v>October</v>
      </c>
      <c r="AJ301">
        <f>IF(C301="","",YEAR(C301))</f>
        <v>2024</v>
      </c>
      <c r="AM301" t="str">
        <f>IF(AN301="","clean","")</f>
        <v>clean</v>
      </c>
      <c r="AN301" t="s">
        <v>3595</v>
      </c>
    </row>
    <row r="302" spans="1:40">
      <c r="A302" t="s">
        <v>2244</v>
      </c>
      <c r="B302" t="s">
        <v>2002</v>
      </c>
      <c r="C302" s="6">
        <v>45328</v>
      </c>
      <c r="D302" t="s">
        <v>2245</v>
      </c>
      <c r="E302" s="6">
        <v>45330</v>
      </c>
      <c r="F302" t="s">
        <v>979</v>
      </c>
      <c r="G302" t="s">
        <v>24</v>
      </c>
      <c r="H302" t="s">
        <v>24</v>
      </c>
      <c r="I302" t="s">
        <v>25</v>
      </c>
      <c r="J302" t="s">
        <v>25</v>
      </c>
      <c r="K302" t="s">
        <v>41</v>
      </c>
      <c r="L302" t="str">
        <f>IF(TRIM(K302)="","Unknown",PROPER(TRIM(K302)))</f>
        <v>East</v>
      </c>
      <c r="M302" t="s">
        <v>284</v>
      </c>
      <c r="N302" t="s">
        <v>285</v>
      </c>
      <c r="O302" t="s">
        <v>44</v>
      </c>
      <c r="P302" t="str">
        <f>IF(TRIM(O302)="","Unknown",PROPER(TRIM(O302)))</f>
        <v>Furniture</v>
      </c>
      <c r="Q302" t="s">
        <v>190</v>
      </c>
      <c r="R302" t="s">
        <v>2246</v>
      </c>
      <c r="S302" t="s">
        <v>32</v>
      </c>
      <c r="T302" t="str">
        <f>IF(TRIM(S302)="","Unknown",PROPER(TRIM(S302)))</f>
        <v>Second Class</v>
      </c>
      <c r="U302">
        <v>9</v>
      </c>
      <c r="V302">
        <v>1822.25</v>
      </c>
      <c r="W302">
        <v>0</v>
      </c>
      <c r="Y302">
        <v>0</v>
      </c>
      <c r="Z302">
        <v>16400.25</v>
      </c>
      <c r="AA302">
        <v>12146.96</v>
      </c>
      <c r="AB302">
        <v>4253.29</v>
      </c>
      <c r="AC302" t="s">
        <v>33</v>
      </c>
      <c r="AD302" t="s">
        <v>34</v>
      </c>
      <c r="AE302">
        <f>ROUND((U302*V302)-(U302*V302*Y302),2)</f>
        <v>16400.25</v>
      </c>
      <c r="AF302">
        <f>AE302-AA302</f>
        <v>4253.2900000000009</v>
      </c>
      <c r="AG302" s="7">
        <f>ROUND((AF302/AE302),4)</f>
        <v>0.25929999999999997</v>
      </c>
      <c r="AH302">
        <f>IF(AND(C302&lt;&gt;"",E302&lt;&gt;""),E302 - C302,"")</f>
        <v>2</v>
      </c>
      <c r="AI302" t="str">
        <f>IF(C302="","",TEXT(C302, "mmmm"))</f>
        <v>February</v>
      </c>
      <c r="AJ302">
        <f>IF(C302="","",YEAR(C302))</f>
        <v>2024</v>
      </c>
      <c r="AM302" t="str">
        <f>IF(AN302="","clean","")</f>
        <v>clean</v>
      </c>
      <c r="AN302" t="s">
        <v>3595</v>
      </c>
    </row>
    <row r="303" spans="1:40">
      <c r="A303" t="s">
        <v>2251</v>
      </c>
      <c r="B303" t="s">
        <v>1144</v>
      </c>
      <c r="C303" s="6">
        <v>45505</v>
      </c>
      <c r="D303" t="s">
        <v>2252</v>
      </c>
      <c r="E303" s="6">
        <v>45512</v>
      </c>
      <c r="F303" t="s">
        <v>2253</v>
      </c>
      <c r="G303" t="s">
        <v>196</v>
      </c>
      <c r="H303" t="s">
        <v>196</v>
      </c>
      <c r="I303" t="s">
        <v>40</v>
      </c>
      <c r="J303" t="s">
        <v>40</v>
      </c>
      <c r="K303" t="s">
        <v>71</v>
      </c>
      <c r="L303" t="str">
        <f>IF(TRIM(K303)="","Unknown",PROPER(TRIM(K303)))</f>
        <v>West</v>
      </c>
      <c r="M303" t="s">
        <v>72</v>
      </c>
      <c r="N303" t="s">
        <v>73</v>
      </c>
      <c r="O303" t="s">
        <v>29</v>
      </c>
      <c r="P303" t="str">
        <f>IF(TRIM(O303)="","Unknown",PROPER(TRIM(O303)))</f>
        <v>Office Supplies</v>
      </c>
      <c r="Q303" t="s">
        <v>148</v>
      </c>
      <c r="R303" t="s">
        <v>2254</v>
      </c>
      <c r="T303" t="str">
        <f>IF(TRIM(S303)="","Unknown",PROPER(TRIM(S303)))</f>
        <v>Unknown</v>
      </c>
      <c r="U303">
        <v>1</v>
      </c>
      <c r="V303">
        <v>442.97</v>
      </c>
      <c r="W303">
        <v>0.1</v>
      </c>
      <c r="Y303">
        <v>0.1</v>
      </c>
      <c r="Z303">
        <v>398.67</v>
      </c>
      <c r="AA303">
        <v>311.66000000000003</v>
      </c>
      <c r="AB303">
        <v>87.01</v>
      </c>
      <c r="AC303" t="s">
        <v>33</v>
      </c>
      <c r="AD303" t="s">
        <v>34</v>
      </c>
      <c r="AE303">
        <f>ROUND((U303*V303)-(U303*V303*Y303),2)</f>
        <v>398.67</v>
      </c>
      <c r="AF303">
        <f>AE303-AA303</f>
        <v>87.009999999999991</v>
      </c>
      <c r="AG303" s="7">
        <f>ROUND((AF303/AE303),4)</f>
        <v>0.21829999999999999</v>
      </c>
      <c r="AH303">
        <f>IF(AND(C303&lt;&gt;"",E303&lt;&gt;""),E303 - C303,"")</f>
        <v>7</v>
      </c>
      <c r="AI303" t="str">
        <f>IF(C303="","",TEXT(C303, "mmmm"))</f>
        <v>August</v>
      </c>
      <c r="AJ303">
        <f>IF(C303="","",YEAR(C303))</f>
        <v>2024</v>
      </c>
      <c r="AM303" t="s">
        <v>4145</v>
      </c>
      <c r="AN303" t="s">
        <v>3600</v>
      </c>
    </row>
    <row r="304" spans="1:40">
      <c r="A304" t="s">
        <v>2258</v>
      </c>
      <c r="B304" t="s">
        <v>3921</v>
      </c>
      <c r="C304" s="6">
        <v>45529</v>
      </c>
      <c r="D304" t="s">
        <v>358</v>
      </c>
      <c r="E304" s="6">
        <v>45536</v>
      </c>
      <c r="F304" t="s">
        <v>2259</v>
      </c>
      <c r="G304" t="s">
        <v>52</v>
      </c>
      <c r="H304" t="s">
        <v>52</v>
      </c>
      <c r="I304" t="s">
        <v>110</v>
      </c>
      <c r="J304" t="s">
        <v>110</v>
      </c>
      <c r="K304" t="s">
        <v>26</v>
      </c>
      <c r="L304" t="str">
        <f>IF(TRIM(K304)="","Unknown",PROPER(TRIM(K304)))</f>
        <v>North</v>
      </c>
      <c r="M304" t="s">
        <v>27</v>
      </c>
      <c r="N304" t="s">
        <v>28</v>
      </c>
      <c r="O304" t="s">
        <v>44</v>
      </c>
      <c r="P304" t="str">
        <f>IF(TRIM(O304)="","Unknown",PROPER(TRIM(O304)))</f>
        <v>Furniture</v>
      </c>
      <c r="Q304" t="s">
        <v>45</v>
      </c>
      <c r="R304" t="s">
        <v>2260</v>
      </c>
      <c r="S304" t="s">
        <v>47</v>
      </c>
      <c r="T304" t="str">
        <f>IF(TRIM(S304)="","Unknown",PROPER(TRIM(S304)))</f>
        <v>Same Day</v>
      </c>
      <c r="U304">
        <v>6</v>
      </c>
      <c r="V304">
        <v>481.3</v>
      </c>
      <c r="W304">
        <v>0.25</v>
      </c>
      <c r="Y304">
        <v>0.25</v>
      </c>
      <c r="Z304">
        <v>2165.85</v>
      </c>
      <c r="AA304">
        <v>2124.48</v>
      </c>
      <c r="AB304">
        <v>430.45</v>
      </c>
      <c r="AC304" t="s">
        <v>33</v>
      </c>
      <c r="AD304" t="s">
        <v>34</v>
      </c>
      <c r="AE304">
        <f>ROUND((U304*V304)-(U304*V304*Y304),2)</f>
        <v>2165.85</v>
      </c>
      <c r="AF304">
        <f>AE304-AA304</f>
        <v>41.369999999999891</v>
      </c>
      <c r="AG304" s="7">
        <f>ROUND((AF304/AE304),4)</f>
        <v>1.9099999999999999E-2</v>
      </c>
      <c r="AH304">
        <f>IF(AND(C304&lt;&gt;"",E304&lt;&gt;""),E304 - C304,"")</f>
        <v>7</v>
      </c>
      <c r="AI304" t="str">
        <f>IF(C304="","",TEXT(C304, "mmmm"))</f>
        <v>August</v>
      </c>
      <c r="AJ304">
        <f>IF(C304="","",YEAR(C304))</f>
        <v>2024</v>
      </c>
      <c r="AM304" t="str">
        <f>IF(AN304="","clean","")</f>
        <v>clean</v>
      </c>
      <c r="AN304" t="s">
        <v>3595</v>
      </c>
    </row>
    <row r="305" spans="1:40">
      <c r="A305" t="s">
        <v>2265</v>
      </c>
      <c r="B305" t="s">
        <v>3923</v>
      </c>
      <c r="C305" s="6">
        <v>45431</v>
      </c>
      <c r="D305" t="s">
        <v>2266</v>
      </c>
      <c r="E305" s="6">
        <v>45433</v>
      </c>
      <c r="F305" t="s">
        <v>2267</v>
      </c>
      <c r="G305" t="s">
        <v>196</v>
      </c>
      <c r="H305" t="s">
        <v>196</v>
      </c>
      <c r="I305" t="s">
        <v>40</v>
      </c>
      <c r="J305" t="s">
        <v>40</v>
      </c>
      <c r="K305" t="s">
        <v>71</v>
      </c>
      <c r="L305" t="str">
        <f>IF(TRIM(K305)="","Unknown",PROPER(TRIM(K305)))</f>
        <v>West</v>
      </c>
      <c r="M305" t="s">
        <v>72</v>
      </c>
      <c r="N305" t="s">
        <v>73</v>
      </c>
      <c r="O305" t="s">
        <v>83</v>
      </c>
      <c r="P305" t="str">
        <f>IF(TRIM(O305)="","Unknown",PROPER(TRIM(O305)))</f>
        <v>Technology</v>
      </c>
      <c r="Q305" t="s">
        <v>91</v>
      </c>
      <c r="R305" t="s">
        <v>2268</v>
      </c>
      <c r="S305" t="s">
        <v>55</v>
      </c>
      <c r="T305" t="str">
        <f>IF(TRIM(S305)="","Unknown",PROPER(TRIM(S305)))</f>
        <v>First Class</v>
      </c>
      <c r="U305">
        <v>3</v>
      </c>
      <c r="V305">
        <v>4000.98</v>
      </c>
      <c r="W305">
        <v>0.2</v>
      </c>
      <c r="Y305">
        <v>0.2</v>
      </c>
      <c r="Z305">
        <v>9602.35</v>
      </c>
      <c r="AA305">
        <v>7387.57</v>
      </c>
      <c r="AB305">
        <v>2214.7800000000002</v>
      </c>
      <c r="AC305" t="s">
        <v>33</v>
      </c>
      <c r="AD305" t="s">
        <v>34</v>
      </c>
      <c r="AE305">
        <f>ROUND((U305*V305)-(U305*V305*Y305),2)</f>
        <v>9602.35</v>
      </c>
      <c r="AF305">
        <f>AE305-AA305</f>
        <v>2214.7800000000007</v>
      </c>
      <c r="AG305" s="7">
        <f>ROUND((AF305/AE305),4)</f>
        <v>0.2306</v>
      </c>
      <c r="AH305">
        <f>IF(AND(C305&lt;&gt;"",E305&lt;&gt;""),E305 - C305,"")</f>
        <v>2</v>
      </c>
      <c r="AI305" t="str">
        <f>IF(C305="","",TEXT(C305, "mmmm"))</f>
        <v>May</v>
      </c>
      <c r="AJ305">
        <f>IF(C305="","",YEAR(C305))</f>
        <v>2024</v>
      </c>
      <c r="AM305" t="str">
        <f>IF(AN305="","clean","")</f>
        <v>clean</v>
      </c>
      <c r="AN305" t="s">
        <v>3595</v>
      </c>
    </row>
    <row r="306" spans="1:40">
      <c r="A306" t="s">
        <v>2273</v>
      </c>
      <c r="B306" t="s">
        <v>1793</v>
      </c>
      <c r="C306" s="6">
        <v>45313</v>
      </c>
      <c r="D306" t="s">
        <v>2274</v>
      </c>
      <c r="E306" s="6">
        <v>45321</v>
      </c>
      <c r="F306" t="s">
        <v>2275</v>
      </c>
      <c r="G306" t="s">
        <v>70</v>
      </c>
      <c r="H306" t="s">
        <v>70</v>
      </c>
      <c r="I306" t="s">
        <v>40</v>
      </c>
      <c r="J306" t="s">
        <v>40</v>
      </c>
      <c r="K306" t="s">
        <v>26</v>
      </c>
      <c r="L306" t="str">
        <f>IF(TRIM(K306)="","Unknown",PROPER(TRIM(K306)))</f>
        <v>North</v>
      </c>
      <c r="M306" t="s">
        <v>294</v>
      </c>
      <c r="N306" t="s">
        <v>295</v>
      </c>
      <c r="O306" t="s">
        <v>29</v>
      </c>
      <c r="P306" t="str">
        <f>IF(TRIM(O306)="","Unknown",PROPER(TRIM(O306)))</f>
        <v>Office Supplies</v>
      </c>
      <c r="Q306" t="s">
        <v>53</v>
      </c>
      <c r="R306" t="s">
        <v>2276</v>
      </c>
      <c r="S306" t="s">
        <v>47</v>
      </c>
      <c r="T306" t="str">
        <f>IF(TRIM(S306)="","Unknown",PROPER(TRIM(S306)))</f>
        <v>Same Day</v>
      </c>
      <c r="U306">
        <v>3</v>
      </c>
      <c r="V306">
        <v>676.37</v>
      </c>
      <c r="W306">
        <v>0.05</v>
      </c>
      <c r="Y306">
        <v>0.05</v>
      </c>
      <c r="Z306">
        <v>1927.65</v>
      </c>
      <c r="AA306">
        <v>1460.6</v>
      </c>
      <c r="AB306">
        <v>467.05</v>
      </c>
      <c r="AC306" t="s">
        <v>186</v>
      </c>
      <c r="AD306" t="s">
        <v>76</v>
      </c>
      <c r="AE306">
        <f>ROUND((U306*V306)-(U306*V306*Y306),2)</f>
        <v>1927.65</v>
      </c>
      <c r="AF306">
        <f>AE306-AA306</f>
        <v>467.05000000000018</v>
      </c>
      <c r="AG306" s="7">
        <f>ROUND((AF306/AE306),4)</f>
        <v>0.24229999999999999</v>
      </c>
      <c r="AH306">
        <f>IF(AND(C306&lt;&gt;"",E306&lt;&gt;""),E306 - C306,"")</f>
        <v>8</v>
      </c>
      <c r="AI306" t="str">
        <f>IF(C306="","",TEXT(C306, "mmmm"))</f>
        <v>January</v>
      </c>
      <c r="AJ306">
        <f>IF(C306="","",YEAR(C306))</f>
        <v>2024</v>
      </c>
      <c r="AM306" t="str">
        <f>IF(AN306="","clean","")</f>
        <v>clean</v>
      </c>
      <c r="AN306" t="s">
        <v>3595</v>
      </c>
    </row>
    <row r="307" spans="1:40">
      <c r="A307" t="s">
        <v>2277</v>
      </c>
      <c r="B307" t="s">
        <v>1990</v>
      </c>
      <c r="D307" t="s">
        <v>2278</v>
      </c>
      <c r="E307" s="6">
        <v>45566</v>
      </c>
      <c r="F307" t="s">
        <v>2279</v>
      </c>
      <c r="G307" t="s">
        <v>196</v>
      </c>
      <c r="H307" t="s">
        <v>196</v>
      </c>
      <c r="I307" t="s">
        <v>40</v>
      </c>
      <c r="J307" t="s">
        <v>40</v>
      </c>
      <c r="K307" t="s">
        <v>41</v>
      </c>
      <c r="L307" t="str">
        <f>IF(TRIM(K307)="","Unknown",PROPER(TRIM(K307)))</f>
        <v>East</v>
      </c>
      <c r="M307" t="s">
        <v>284</v>
      </c>
      <c r="N307" t="s">
        <v>285</v>
      </c>
      <c r="O307" t="s">
        <v>44</v>
      </c>
      <c r="P307" t="str">
        <f>IF(TRIM(O307)="","Unknown",PROPER(TRIM(O307)))</f>
        <v>Furniture</v>
      </c>
      <c r="Q307" t="s">
        <v>45</v>
      </c>
      <c r="R307" t="s">
        <v>2280</v>
      </c>
      <c r="S307" t="s">
        <v>32</v>
      </c>
      <c r="T307" t="str">
        <f>IF(TRIM(S307)="","Unknown",PROPER(TRIM(S307)))</f>
        <v>Second Class</v>
      </c>
      <c r="U307">
        <v>9</v>
      </c>
      <c r="V307">
        <v>3908.6</v>
      </c>
      <c r="W307">
        <v>0.15</v>
      </c>
      <c r="Y307">
        <v>0.15</v>
      </c>
      <c r="Z307">
        <v>29900.79</v>
      </c>
      <c r="AA307">
        <v>24650.67</v>
      </c>
      <c r="AB307">
        <v>5250.12</v>
      </c>
      <c r="AC307" t="s">
        <v>33</v>
      </c>
      <c r="AD307" t="s">
        <v>34</v>
      </c>
      <c r="AE307">
        <f>ROUND((U307*V307)-(U307*V307*Y307),2)</f>
        <v>29900.79</v>
      </c>
      <c r="AF307">
        <f>AE307-AA307</f>
        <v>5250.1200000000026</v>
      </c>
      <c r="AG307" s="7">
        <f>ROUND((AF307/AE307),4)</f>
        <v>0.17560000000000001</v>
      </c>
      <c r="AH307" t="str">
        <f>IF(AND(C307&lt;&gt;"",E307&lt;&gt;""),E307 - C307,"")</f>
        <v/>
      </c>
      <c r="AI307" t="str">
        <f>IF(C307="","",TEXT(C307, "mmmm"))</f>
        <v/>
      </c>
      <c r="AJ307" t="str">
        <f>IF(C307="","",YEAR(C307))</f>
        <v/>
      </c>
      <c r="AM307" t="s">
        <v>4144</v>
      </c>
      <c r="AN307" t="s">
        <v>4127</v>
      </c>
    </row>
    <row r="308" spans="1:40">
      <c r="A308" t="s">
        <v>2285</v>
      </c>
      <c r="B308" t="s">
        <v>3925</v>
      </c>
      <c r="D308" t="s">
        <v>2054</v>
      </c>
      <c r="E308" s="6">
        <v>45345</v>
      </c>
      <c r="F308" t="s">
        <v>2286</v>
      </c>
      <c r="G308" t="s">
        <v>334</v>
      </c>
      <c r="H308" t="s">
        <v>334</v>
      </c>
      <c r="I308" t="s">
        <v>25</v>
      </c>
      <c r="J308" t="s">
        <v>25</v>
      </c>
      <c r="K308" t="s">
        <v>71</v>
      </c>
      <c r="L308" t="str">
        <f>IF(TRIM(K308)="","Unknown",PROPER(TRIM(K308)))</f>
        <v>West</v>
      </c>
      <c r="M308" t="s">
        <v>218</v>
      </c>
      <c r="N308" t="s">
        <v>219</v>
      </c>
      <c r="O308" t="s">
        <v>44</v>
      </c>
      <c r="P308" t="str">
        <f>IF(TRIM(O308)="","Unknown",PROPER(TRIM(O308)))</f>
        <v>Furniture</v>
      </c>
      <c r="Q308" t="s">
        <v>63</v>
      </c>
      <c r="R308" t="s">
        <v>2287</v>
      </c>
      <c r="S308" t="s">
        <v>65</v>
      </c>
      <c r="T308" t="str">
        <f>IF(TRIM(S308)="","Unknown",PROPER(TRIM(S308)))</f>
        <v>Standard Class</v>
      </c>
      <c r="U308">
        <v>7</v>
      </c>
      <c r="V308">
        <v>3852.07</v>
      </c>
      <c r="W308">
        <v>0.2</v>
      </c>
      <c r="Y308">
        <v>0.2</v>
      </c>
      <c r="Z308">
        <v>21571.59</v>
      </c>
      <c r="AA308">
        <v>17118.07</v>
      </c>
      <c r="AB308">
        <v>4453.5200000000004</v>
      </c>
      <c r="AC308" t="s">
        <v>33</v>
      </c>
      <c r="AD308" t="s">
        <v>34</v>
      </c>
      <c r="AE308">
        <f>ROUND((U308*V308)-(U308*V308*Y308),2)</f>
        <v>21571.59</v>
      </c>
      <c r="AF308">
        <f>AE308-AA308</f>
        <v>4453.5200000000004</v>
      </c>
      <c r="AG308" s="7">
        <f>ROUND((AF308/AE308),4)</f>
        <v>0.20649999999999999</v>
      </c>
      <c r="AH308" t="str">
        <f>IF(AND(C308&lt;&gt;"",E308&lt;&gt;""),E308 - C308,"")</f>
        <v/>
      </c>
      <c r="AI308" t="str">
        <f>IF(C308="","",TEXT(C308, "mmmm"))</f>
        <v/>
      </c>
      <c r="AJ308" t="str">
        <f>IF(C308="","",YEAR(C308))</f>
        <v/>
      </c>
      <c r="AM308" t="s">
        <v>4144</v>
      </c>
      <c r="AN308" t="s">
        <v>4127</v>
      </c>
    </row>
    <row r="309" spans="1:40">
      <c r="A309" t="s">
        <v>2292</v>
      </c>
      <c r="B309" t="s">
        <v>3927</v>
      </c>
      <c r="C309" s="6">
        <v>45552</v>
      </c>
      <c r="D309" t="s">
        <v>2293</v>
      </c>
      <c r="E309" s="6">
        <v>45558</v>
      </c>
      <c r="F309" t="s">
        <v>2294</v>
      </c>
      <c r="G309" t="s">
        <v>141</v>
      </c>
      <c r="H309" t="s">
        <v>141</v>
      </c>
      <c r="I309" t="s">
        <v>110</v>
      </c>
      <c r="J309" t="s">
        <v>110</v>
      </c>
      <c r="K309" t="s">
        <v>60</v>
      </c>
      <c r="L309" t="str">
        <f>IF(TRIM(K309)="","Unknown",PROPER(TRIM(K309)))</f>
        <v>South</v>
      </c>
      <c r="M309" t="s">
        <v>224</v>
      </c>
      <c r="N309" t="s">
        <v>225</v>
      </c>
      <c r="O309" t="s">
        <v>44</v>
      </c>
      <c r="P309" t="str">
        <f>IF(TRIM(O309)="","Unknown",PROPER(TRIM(O309)))</f>
        <v>Furniture</v>
      </c>
      <c r="Q309" t="s">
        <v>190</v>
      </c>
      <c r="R309" t="s">
        <v>2295</v>
      </c>
      <c r="S309" t="s">
        <v>32</v>
      </c>
      <c r="T309" t="str">
        <f>IF(TRIM(S309)="","Unknown",PROPER(TRIM(S309)))</f>
        <v>Second Class</v>
      </c>
      <c r="U309">
        <v>3</v>
      </c>
      <c r="V309">
        <v>4067.62</v>
      </c>
      <c r="W309">
        <v>0.2</v>
      </c>
      <c r="Y309">
        <v>0.18</v>
      </c>
      <c r="Z309">
        <v>9988.5300000000007</v>
      </c>
      <c r="AA309">
        <v>8368.24</v>
      </c>
      <c r="AB309">
        <v>1394.05</v>
      </c>
      <c r="AC309" t="s">
        <v>33</v>
      </c>
      <c r="AD309" t="s">
        <v>2296</v>
      </c>
      <c r="AE309">
        <f>ROUND((U309*V309)-(U309*V309*Y309),2)</f>
        <v>10006.35</v>
      </c>
      <c r="AF309">
        <f>AE309-AA309</f>
        <v>1638.1100000000006</v>
      </c>
      <c r="AG309" s="7">
        <f>ROUND((AF309/AE309),4)</f>
        <v>0.16370000000000001</v>
      </c>
      <c r="AH309">
        <f>IF(AND(C309&lt;&gt;"",E309&lt;&gt;""),E309 - C309,"")</f>
        <v>6</v>
      </c>
      <c r="AI309" t="str">
        <f>IF(C309="","",TEXT(C309, "mmmm"))</f>
        <v>September</v>
      </c>
      <c r="AJ309">
        <f>IF(C309="","",YEAR(C309))</f>
        <v>2024</v>
      </c>
      <c r="AM309" t="s">
        <v>4145</v>
      </c>
      <c r="AN309" t="s">
        <v>3596</v>
      </c>
    </row>
    <row r="310" spans="1:40">
      <c r="A310" t="s">
        <v>2297</v>
      </c>
      <c r="B310" t="s">
        <v>2298</v>
      </c>
      <c r="C310" s="6">
        <v>45487</v>
      </c>
      <c r="D310" t="s">
        <v>363</v>
      </c>
      <c r="F310" t="s">
        <v>2299</v>
      </c>
      <c r="G310" t="s">
        <v>39</v>
      </c>
      <c r="H310" t="s">
        <v>39</v>
      </c>
      <c r="I310" t="s">
        <v>25</v>
      </c>
      <c r="J310" t="s">
        <v>25</v>
      </c>
      <c r="K310" t="s">
        <v>41</v>
      </c>
      <c r="L310" t="str">
        <f>IF(TRIM(K310)="","Unknown",PROPER(TRIM(K310)))</f>
        <v>East</v>
      </c>
      <c r="M310" t="s">
        <v>174</v>
      </c>
      <c r="N310" t="s">
        <v>175</v>
      </c>
      <c r="O310" t="s">
        <v>83</v>
      </c>
      <c r="P310" t="str">
        <f>IF(TRIM(O310)="","Unknown",PROPER(TRIM(O310)))</f>
        <v>Technology</v>
      </c>
      <c r="Q310" t="s">
        <v>91</v>
      </c>
      <c r="R310" t="s">
        <v>2300</v>
      </c>
      <c r="S310" t="s">
        <v>47</v>
      </c>
      <c r="T310" t="str">
        <f>IF(TRIM(S310)="","Unknown",PROPER(TRIM(S310)))</f>
        <v>Same Day</v>
      </c>
      <c r="U310">
        <v>1</v>
      </c>
      <c r="V310">
        <v>492.67</v>
      </c>
      <c r="W310">
        <v>0.15</v>
      </c>
      <c r="Y310">
        <v>0.15</v>
      </c>
      <c r="Z310">
        <v>418.77</v>
      </c>
      <c r="AA310">
        <v>313.72000000000003</v>
      </c>
      <c r="AB310">
        <v>105.05</v>
      </c>
      <c r="AC310" t="s">
        <v>33</v>
      </c>
      <c r="AD310" t="s">
        <v>34</v>
      </c>
      <c r="AE310">
        <f>ROUND((U310*V310)-(U310*V310*Y310),2)</f>
        <v>418.77</v>
      </c>
      <c r="AF310">
        <f>AE310-AA310</f>
        <v>105.04999999999995</v>
      </c>
      <c r="AG310" s="7">
        <f>ROUND((AF310/AE310),4)</f>
        <v>0.25090000000000001</v>
      </c>
      <c r="AH310" t="str">
        <f>IF(AND(C310&lt;&gt;"",E310&lt;&gt;""),E310 - C310,"")</f>
        <v/>
      </c>
      <c r="AI310" t="str">
        <f>IF(C310="","",TEXT(C310, "mmmm"))</f>
        <v>July</v>
      </c>
      <c r="AJ310">
        <f>IF(C310="","",YEAR(C310))</f>
        <v>2024</v>
      </c>
      <c r="AM310" t="s">
        <v>4144</v>
      </c>
      <c r="AN310" t="s">
        <v>4136</v>
      </c>
    </row>
    <row r="311" spans="1:40">
      <c r="A311" t="s">
        <v>2304</v>
      </c>
      <c r="B311" t="s">
        <v>3929</v>
      </c>
      <c r="C311" s="6">
        <v>45439</v>
      </c>
      <c r="D311" t="s">
        <v>2305</v>
      </c>
      <c r="E311" s="6">
        <v>45442</v>
      </c>
      <c r="F311" t="s">
        <v>2306</v>
      </c>
      <c r="G311" t="s">
        <v>334</v>
      </c>
      <c r="H311" t="s">
        <v>334</v>
      </c>
      <c r="I311" t="s">
        <v>40</v>
      </c>
      <c r="J311" t="s">
        <v>40</v>
      </c>
      <c r="K311" t="s">
        <v>41</v>
      </c>
      <c r="L311" t="str">
        <f>IF(TRIM(K311)="","Unknown",PROPER(TRIM(K311)))</f>
        <v>East</v>
      </c>
      <c r="M311" t="s">
        <v>284</v>
      </c>
      <c r="N311" t="s">
        <v>285</v>
      </c>
      <c r="O311" t="s">
        <v>29</v>
      </c>
      <c r="P311" t="str">
        <f>IF(TRIM(O311)="","Unknown",PROPER(TRIM(O311)))</f>
        <v>Office Supplies</v>
      </c>
      <c r="Q311" t="s">
        <v>148</v>
      </c>
      <c r="R311" t="s">
        <v>2307</v>
      </c>
      <c r="S311" t="s">
        <v>47</v>
      </c>
      <c r="T311" t="str">
        <f>IF(TRIM(S311)="","Unknown",PROPER(TRIM(S311)))</f>
        <v>Same Day</v>
      </c>
      <c r="U311">
        <v>7</v>
      </c>
      <c r="V311">
        <v>2900.86</v>
      </c>
      <c r="W311">
        <v>0.15</v>
      </c>
      <c r="Y311">
        <v>0.15</v>
      </c>
      <c r="Z311">
        <v>17260.12</v>
      </c>
      <c r="AA311">
        <v>13513.51</v>
      </c>
      <c r="AB311">
        <v>3746.61</v>
      </c>
      <c r="AC311" t="s">
        <v>33</v>
      </c>
      <c r="AD311" t="s">
        <v>34</v>
      </c>
      <c r="AE311">
        <f>ROUND((U311*V311)-(U311*V311*Y311),2)</f>
        <v>17260.12</v>
      </c>
      <c r="AF311">
        <f>AE311-AA311</f>
        <v>3746.6099999999988</v>
      </c>
      <c r="AG311" s="7">
        <f>ROUND((AF311/AE311),4)</f>
        <v>0.21709999999999999</v>
      </c>
      <c r="AH311">
        <f>IF(AND(C311&lt;&gt;"",E311&lt;&gt;""),E311 - C311,"")</f>
        <v>3</v>
      </c>
      <c r="AI311" t="str">
        <f>IF(C311="","",TEXT(C311, "mmmm"))</f>
        <v>May</v>
      </c>
      <c r="AJ311">
        <f>IF(C311="","",YEAR(C311))</f>
        <v>2024</v>
      </c>
      <c r="AM311" t="str">
        <f>IF(AN311="","clean","")</f>
        <v>clean</v>
      </c>
      <c r="AN311" t="s">
        <v>3595</v>
      </c>
    </row>
    <row r="312" spans="1:40">
      <c r="A312" t="s">
        <v>2312</v>
      </c>
      <c r="B312" t="s">
        <v>2313</v>
      </c>
      <c r="C312" s="6">
        <v>45428</v>
      </c>
      <c r="D312" t="s">
        <v>2314</v>
      </c>
      <c r="E312" s="6">
        <v>45435</v>
      </c>
      <c r="F312" t="s">
        <v>2315</v>
      </c>
      <c r="G312" t="s">
        <v>90</v>
      </c>
      <c r="H312" t="s">
        <v>90</v>
      </c>
      <c r="I312" t="s">
        <v>40</v>
      </c>
      <c r="J312" t="s">
        <v>40</v>
      </c>
      <c r="K312" t="s">
        <v>26</v>
      </c>
      <c r="L312" t="str">
        <f>IF(TRIM(K312)="","Unknown",PROPER(TRIM(K312)))</f>
        <v>North</v>
      </c>
      <c r="M312" t="s">
        <v>163</v>
      </c>
      <c r="N312" t="s">
        <v>164</v>
      </c>
      <c r="O312" t="s">
        <v>83</v>
      </c>
      <c r="P312" t="str">
        <f>IF(TRIM(O312)="","Unknown",PROPER(TRIM(O312)))</f>
        <v>Technology</v>
      </c>
      <c r="Q312" t="s">
        <v>91</v>
      </c>
      <c r="R312" t="s">
        <v>2316</v>
      </c>
      <c r="S312" t="s">
        <v>65</v>
      </c>
      <c r="T312" t="str">
        <f>IF(TRIM(S312)="","Unknown",PROPER(TRIM(S312)))</f>
        <v>Standard Class</v>
      </c>
      <c r="U312">
        <v>9</v>
      </c>
      <c r="V312">
        <v>3722.09</v>
      </c>
      <c r="W312">
        <v>0.1</v>
      </c>
      <c r="Y312">
        <v>0.1</v>
      </c>
      <c r="Z312">
        <v>30148.93</v>
      </c>
      <c r="AA312">
        <v>25155.07</v>
      </c>
      <c r="AB312">
        <v>4993.8599999999997</v>
      </c>
      <c r="AC312" t="s">
        <v>33</v>
      </c>
      <c r="AD312" t="s">
        <v>34</v>
      </c>
      <c r="AE312">
        <f>ROUND((U312*V312)-(U312*V312*Y312),2)</f>
        <v>30148.93</v>
      </c>
      <c r="AF312">
        <f>AE312-AA312</f>
        <v>4993.8600000000006</v>
      </c>
      <c r="AG312" s="7">
        <f>ROUND((AF312/AE312),4)</f>
        <v>0.1656</v>
      </c>
      <c r="AH312">
        <f>IF(AND(C312&lt;&gt;"",E312&lt;&gt;""),E312 - C312,"")</f>
        <v>7</v>
      </c>
      <c r="AI312" t="str">
        <f>IF(C312="","",TEXT(C312, "mmmm"))</f>
        <v>May</v>
      </c>
      <c r="AJ312">
        <f>IF(C312="","",YEAR(C312))</f>
        <v>2024</v>
      </c>
      <c r="AM312" t="str">
        <f>IF(AN312="","clean","")</f>
        <v>clean</v>
      </c>
      <c r="AN312" t="s">
        <v>3595</v>
      </c>
    </row>
    <row r="313" spans="1:40">
      <c r="A313" t="s">
        <v>2317</v>
      </c>
      <c r="B313" t="s">
        <v>252</v>
      </c>
      <c r="C313" s="6">
        <v>45441</v>
      </c>
      <c r="D313" t="s">
        <v>251</v>
      </c>
      <c r="F313" t="s">
        <v>2318</v>
      </c>
      <c r="G313" t="s">
        <v>169</v>
      </c>
      <c r="H313" t="s">
        <v>169</v>
      </c>
      <c r="I313" t="s">
        <v>104</v>
      </c>
      <c r="J313" t="s">
        <v>104</v>
      </c>
      <c r="K313" t="s">
        <v>41</v>
      </c>
      <c r="L313" t="str">
        <f>IF(TRIM(K313)="","Unknown",PROPER(TRIM(K313)))</f>
        <v>East</v>
      </c>
      <c r="M313" t="s">
        <v>174</v>
      </c>
      <c r="N313" t="s">
        <v>175</v>
      </c>
      <c r="O313" t="s">
        <v>44</v>
      </c>
      <c r="P313" t="str">
        <f>IF(TRIM(O313)="","Unknown",PROPER(TRIM(O313)))</f>
        <v>Furniture</v>
      </c>
      <c r="Q313" t="s">
        <v>190</v>
      </c>
      <c r="R313" t="s">
        <v>2319</v>
      </c>
      <c r="S313" t="s">
        <v>47</v>
      </c>
      <c r="T313" t="str">
        <f>IF(TRIM(S313)="","Unknown",PROPER(TRIM(S313)))</f>
        <v>Same Day</v>
      </c>
      <c r="U313">
        <v>1</v>
      </c>
      <c r="V313">
        <v>1072.01</v>
      </c>
      <c r="W313">
        <v>0</v>
      </c>
      <c r="Y313">
        <v>0</v>
      </c>
      <c r="Z313">
        <v>1072.01</v>
      </c>
      <c r="AA313">
        <v>852.62</v>
      </c>
      <c r="AB313">
        <v>219.39</v>
      </c>
      <c r="AC313" t="s">
        <v>131</v>
      </c>
      <c r="AD313" t="s">
        <v>76</v>
      </c>
      <c r="AE313">
        <f>ROUND((U313*V313)-(U313*V313*Y313),2)</f>
        <v>1072.01</v>
      </c>
      <c r="AF313">
        <f>AE313-AA313</f>
        <v>219.39</v>
      </c>
      <c r="AG313" s="7">
        <f>ROUND((AF313/AE313),4)</f>
        <v>0.20469999999999999</v>
      </c>
      <c r="AH313" t="str">
        <f>IF(AND(C313&lt;&gt;"",E313&lt;&gt;""),E313 - C313,"")</f>
        <v/>
      </c>
      <c r="AI313" t="str">
        <f>IF(C313="","",TEXT(C313, "mmmm"))</f>
        <v>May</v>
      </c>
      <c r="AJ313">
        <f>IF(C313="","",YEAR(C313))</f>
        <v>2024</v>
      </c>
      <c r="AM313" t="s">
        <v>4144</v>
      </c>
      <c r="AN313" t="s">
        <v>4136</v>
      </c>
    </row>
    <row r="314" spans="1:40">
      <c r="A314" t="s">
        <v>2324</v>
      </c>
      <c r="B314" t="s">
        <v>484</v>
      </c>
      <c r="C314" s="6">
        <v>45506</v>
      </c>
      <c r="D314" t="s">
        <v>2325</v>
      </c>
      <c r="E314" s="6">
        <v>45514</v>
      </c>
      <c r="F314" t="s">
        <v>2326</v>
      </c>
      <c r="G314" t="s">
        <v>39</v>
      </c>
      <c r="H314" t="s">
        <v>39</v>
      </c>
      <c r="I314" t="s">
        <v>110</v>
      </c>
      <c r="J314" t="s">
        <v>110</v>
      </c>
      <c r="K314" t="s">
        <v>41</v>
      </c>
      <c r="L314" t="str">
        <f>IF(TRIM(K314)="","Unknown",PROPER(TRIM(K314)))</f>
        <v>East</v>
      </c>
      <c r="M314" t="s">
        <v>42</v>
      </c>
      <c r="N314" t="s">
        <v>43</v>
      </c>
      <c r="O314" t="s">
        <v>83</v>
      </c>
      <c r="P314" t="str">
        <f>IF(TRIM(O314)="","Unknown",PROPER(TRIM(O314)))</f>
        <v>Technology</v>
      </c>
      <c r="Q314" t="s">
        <v>84</v>
      </c>
      <c r="R314" t="s">
        <v>2327</v>
      </c>
      <c r="S314" t="s">
        <v>65</v>
      </c>
      <c r="T314" t="str">
        <f>IF(TRIM(S314)="","Unknown",PROPER(TRIM(S314)))</f>
        <v>Standard Class</v>
      </c>
      <c r="U314">
        <v>6</v>
      </c>
      <c r="V314">
        <v>2126.44</v>
      </c>
      <c r="W314">
        <v>0.2</v>
      </c>
      <c r="Y314">
        <v>0.2</v>
      </c>
      <c r="Z314">
        <v>10206.91</v>
      </c>
      <c r="AA314">
        <v>6764.53</v>
      </c>
      <c r="AB314">
        <v>3442.38</v>
      </c>
      <c r="AC314" t="s">
        <v>33</v>
      </c>
      <c r="AD314" t="s">
        <v>34</v>
      </c>
      <c r="AE314">
        <f>ROUND((U314*V314)-(U314*V314*Y314),2)</f>
        <v>10206.91</v>
      </c>
      <c r="AF314">
        <f>AE314-AA314</f>
        <v>3442.38</v>
      </c>
      <c r="AG314" s="7">
        <f>ROUND((AF314/AE314),4)</f>
        <v>0.33729999999999999</v>
      </c>
      <c r="AH314">
        <f>IF(AND(C314&lt;&gt;"",E314&lt;&gt;""),E314 - C314,"")</f>
        <v>8</v>
      </c>
      <c r="AI314" t="str">
        <f>IF(C314="","",TEXT(C314, "mmmm"))</f>
        <v>August</v>
      </c>
      <c r="AJ314">
        <f>IF(C314="","",YEAR(C314))</f>
        <v>2024</v>
      </c>
      <c r="AM314" t="str">
        <f>IF(AN314="","clean","")</f>
        <v>clean</v>
      </c>
      <c r="AN314" t="s">
        <v>3595</v>
      </c>
    </row>
    <row r="315" spans="1:40">
      <c r="A315" t="s">
        <v>2328</v>
      </c>
      <c r="B315" t="s">
        <v>1838</v>
      </c>
      <c r="D315" t="s">
        <v>2329</v>
      </c>
      <c r="E315" s="6">
        <v>45349</v>
      </c>
      <c r="F315" t="s">
        <v>2330</v>
      </c>
      <c r="G315" t="s">
        <v>158</v>
      </c>
      <c r="H315" t="s">
        <v>158</v>
      </c>
      <c r="I315" t="s">
        <v>25</v>
      </c>
      <c r="J315" t="s">
        <v>25</v>
      </c>
      <c r="K315" t="s">
        <v>41</v>
      </c>
      <c r="L315" t="str">
        <f>IF(TRIM(K315)="","Unknown",PROPER(TRIM(K315)))</f>
        <v>East</v>
      </c>
      <c r="M315" t="s">
        <v>284</v>
      </c>
      <c r="N315" t="s">
        <v>285</v>
      </c>
      <c r="O315" t="s">
        <v>44</v>
      </c>
      <c r="P315" t="str">
        <f>IF(TRIM(O315)="","Unknown",PROPER(TRIM(O315)))</f>
        <v>Furniture</v>
      </c>
      <c r="Q315" t="s">
        <v>74</v>
      </c>
      <c r="R315" t="s">
        <v>2331</v>
      </c>
      <c r="S315" t="s">
        <v>32</v>
      </c>
      <c r="T315" t="str">
        <f>IF(TRIM(S315)="","Unknown",PROPER(TRIM(S315)))</f>
        <v>Second Class</v>
      </c>
      <c r="U315">
        <v>3</v>
      </c>
      <c r="V315">
        <v>3148.09</v>
      </c>
      <c r="W315">
        <v>0.15</v>
      </c>
      <c r="Y315">
        <v>0.15</v>
      </c>
      <c r="Z315">
        <v>8027.63</v>
      </c>
      <c r="AA315">
        <v>5496.09</v>
      </c>
      <c r="AB315">
        <v>2531.54</v>
      </c>
      <c r="AC315" t="s">
        <v>33</v>
      </c>
      <c r="AD315" t="s">
        <v>34</v>
      </c>
      <c r="AE315">
        <f>ROUND((U315*V315)-(U315*V315*Y315),2)</f>
        <v>8027.63</v>
      </c>
      <c r="AF315">
        <f>AE315-AA315</f>
        <v>2531.54</v>
      </c>
      <c r="AG315" s="7">
        <f>ROUND((AF315/AE315),4)</f>
        <v>0.31540000000000001</v>
      </c>
      <c r="AH315" t="str">
        <f>IF(AND(C315&lt;&gt;"",E315&lt;&gt;""),E315 - C315,"")</f>
        <v/>
      </c>
      <c r="AI315" t="str">
        <f>IF(C315="","",TEXT(C315, "mmmm"))</f>
        <v/>
      </c>
      <c r="AJ315" t="str">
        <f>IF(C315="","",YEAR(C315))</f>
        <v/>
      </c>
      <c r="AM315" t="s">
        <v>4144</v>
      </c>
      <c r="AN315" t="s">
        <v>4127</v>
      </c>
    </row>
    <row r="316" spans="1:40">
      <c r="A316" t="s">
        <v>2339</v>
      </c>
      <c r="B316" t="s">
        <v>3933</v>
      </c>
      <c r="C316" s="6">
        <v>45577</v>
      </c>
      <c r="D316" t="s">
        <v>2340</v>
      </c>
      <c r="E316" s="6">
        <v>45582</v>
      </c>
      <c r="F316" t="s">
        <v>2341</v>
      </c>
      <c r="G316" t="s">
        <v>59</v>
      </c>
      <c r="H316" t="s">
        <v>59</v>
      </c>
      <c r="I316" t="s">
        <v>25</v>
      </c>
      <c r="J316" t="s">
        <v>25</v>
      </c>
      <c r="L316" t="str">
        <f>IF(TRIM(K316)="","Unknown",PROPER(TRIM(K316)))</f>
        <v>Unknown</v>
      </c>
      <c r="M316" t="s">
        <v>284</v>
      </c>
      <c r="N316" t="s">
        <v>285</v>
      </c>
      <c r="O316" t="s">
        <v>44</v>
      </c>
      <c r="P316" t="str">
        <f>IF(TRIM(O316)="","Unknown",PROPER(TRIM(O316)))</f>
        <v>Furniture</v>
      </c>
      <c r="Q316" t="s">
        <v>63</v>
      </c>
      <c r="R316" t="s">
        <v>2342</v>
      </c>
      <c r="S316" t="s">
        <v>65</v>
      </c>
      <c r="T316" t="str">
        <f>IF(TRIM(S316)="","Unknown",PROPER(TRIM(S316)))</f>
        <v>Standard Class</v>
      </c>
      <c r="U316">
        <v>4</v>
      </c>
      <c r="V316">
        <v>1071.22</v>
      </c>
      <c r="W316">
        <v>0.05</v>
      </c>
      <c r="Y316">
        <v>0.05</v>
      </c>
      <c r="Z316">
        <v>4070.64</v>
      </c>
      <c r="AA316">
        <v>2831.62</v>
      </c>
      <c r="AB316">
        <v>1239.02</v>
      </c>
      <c r="AC316" t="s">
        <v>33</v>
      </c>
      <c r="AD316" t="s">
        <v>34</v>
      </c>
      <c r="AE316">
        <f>ROUND((U316*V316)-(U316*V316*Y316),2)</f>
        <v>4070.64</v>
      </c>
      <c r="AF316">
        <f>AE316-AA316</f>
        <v>1239.02</v>
      </c>
      <c r="AG316" s="7">
        <f>ROUND((AF316/AE316),4)</f>
        <v>0.3044</v>
      </c>
      <c r="AH316">
        <f>IF(AND(C316&lt;&gt;"",E316&lt;&gt;""),E316 - C316,"")</f>
        <v>5</v>
      </c>
      <c r="AI316" t="str">
        <f>IF(C316="","",TEXT(C316, "mmmm"))</f>
        <v>October</v>
      </c>
      <c r="AJ316">
        <f>IF(C316="","",YEAR(C316))</f>
        <v>2024</v>
      </c>
      <c r="AM316" t="s">
        <v>4145</v>
      </c>
      <c r="AN316" t="s">
        <v>3597</v>
      </c>
    </row>
    <row r="317" spans="1:40">
      <c r="A317" t="s">
        <v>2347</v>
      </c>
      <c r="B317" t="s">
        <v>1370</v>
      </c>
      <c r="C317" s="6">
        <v>45466</v>
      </c>
      <c r="D317" t="s">
        <v>1844</v>
      </c>
      <c r="E317" s="6">
        <v>45472</v>
      </c>
      <c r="F317" t="s">
        <v>2348</v>
      </c>
      <c r="G317" t="s">
        <v>90</v>
      </c>
      <c r="H317" t="s">
        <v>90</v>
      </c>
      <c r="I317" t="s">
        <v>25</v>
      </c>
      <c r="J317" t="s">
        <v>25</v>
      </c>
      <c r="K317" t="s">
        <v>26</v>
      </c>
      <c r="L317" t="str">
        <f>IF(TRIM(K317)="","Unknown",PROPER(TRIM(K317)))</f>
        <v>North</v>
      </c>
      <c r="M317" t="s">
        <v>294</v>
      </c>
      <c r="N317" t="s">
        <v>295</v>
      </c>
      <c r="O317" t="s">
        <v>44</v>
      </c>
      <c r="P317" t="str">
        <f>IF(TRIM(O317)="","Unknown",PROPER(TRIM(O317)))</f>
        <v>Furniture</v>
      </c>
      <c r="Q317" t="s">
        <v>45</v>
      </c>
      <c r="R317" t="s">
        <v>2349</v>
      </c>
      <c r="S317" t="s">
        <v>55</v>
      </c>
      <c r="T317" t="str">
        <f>IF(TRIM(S317)="","Unknown",PROPER(TRIM(S317)))</f>
        <v>First Class</v>
      </c>
      <c r="U317">
        <v>1</v>
      </c>
      <c r="V317">
        <v>4426.66</v>
      </c>
      <c r="W317">
        <v>0</v>
      </c>
      <c r="Y317">
        <v>0</v>
      </c>
      <c r="Z317">
        <v>4426.66</v>
      </c>
      <c r="AA317">
        <v>3035.2</v>
      </c>
      <c r="AB317">
        <v>1816.23</v>
      </c>
      <c r="AC317" t="s">
        <v>33</v>
      </c>
      <c r="AD317" t="s">
        <v>120</v>
      </c>
      <c r="AE317">
        <f>ROUND((U317*V317)-(U317*V317*Y317),2)</f>
        <v>4426.66</v>
      </c>
      <c r="AF317">
        <f>AE317-AA317</f>
        <v>1391.46</v>
      </c>
      <c r="AG317" s="7">
        <f>ROUND((AF317/AE317),4)</f>
        <v>0.31430000000000002</v>
      </c>
      <c r="AH317">
        <f>IF(AND(C317&lt;&gt;"",E317&lt;&gt;""),E317 - C317,"")</f>
        <v>6</v>
      </c>
      <c r="AI317" t="str">
        <f>IF(C317="","",TEXT(C317, "mmmm"))</f>
        <v>June</v>
      </c>
      <c r="AJ317">
        <f>IF(C317="","",YEAR(C317))</f>
        <v>2024</v>
      </c>
      <c r="AM317" t="str">
        <f>IF(AN317="","clean","")</f>
        <v>clean</v>
      </c>
      <c r="AN317" t="s">
        <v>3595</v>
      </c>
    </row>
    <row r="318" spans="1:40">
      <c r="A318" t="s">
        <v>2350</v>
      </c>
      <c r="B318" t="s">
        <v>2351</v>
      </c>
      <c r="C318" s="6">
        <v>45420</v>
      </c>
      <c r="D318" t="s">
        <v>2352</v>
      </c>
      <c r="E318" s="6">
        <v>45426</v>
      </c>
      <c r="F318" t="s">
        <v>2353</v>
      </c>
      <c r="G318" t="s">
        <v>80</v>
      </c>
      <c r="H318" t="s">
        <v>80</v>
      </c>
      <c r="I318" t="s">
        <v>110</v>
      </c>
      <c r="J318" t="s">
        <v>110</v>
      </c>
      <c r="K318" t="s">
        <v>26</v>
      </c>
      <c r="L318" t="str">
        <f>IF(TRIM(K318)="","Unknown",PROPER(TRIM(K318)))</f>
        <v>North</v>
      </c>
      <c r="M318" t="s">
        <v>294</v>
      </c>
      <c r="N318" t="s">
        <v>295</v>
      </c>
      <c r="O318" t="s">
        <v>83</v>
      </c>
      <c r="P318" t="str">
        <f>IF(TRIM(O318)="","Unknown",PROPER(TRIM(O318)))</f>
        <v>Technology</v>
      </c>
      <c r="Q318" t="s">
        <v>207</v>
      </c>
      <c r="R318" t="s">
        <v>2354</v>
      </c>
      <c r="S318" t="s">
        <v>55</v>
      </c>
      <c r="T318" t="str">
        <f>IF(TRIM(S318)="","Unknown",PROPER(TRIM(S318)))</f>
        <v>First Class</v>
      </c>
      <c r="U318">
        <v>9</v>
      </c>
      <c r="V318">
        <v>3769.46</v>
      </c>
      <c r="W318">
        <v>0.05</v>
      </c>
      <c r="Y318">
        <v>0.05</v>
      </c>
      <c r="Z318">
        <v>32228.880000000001</v>
      </c>
      <c r="AA318">
        <v>24971.360000000001</v>
      </c>
      <c r="AB318">
        <v>7257.52</v>
      </c>
      <c r="AC318" t="s">
        <v>33</v>
      </c>
      <c r="AD318" t="s">
        <v>76</v>
      </c>
      <c r="AE318">
        <f>ROUND((U318*V318)-(U318*V318*Y318),2)</f>
        <v>32228.880000000001</v>
      </c>
      <c r="AF318">
        <f>AE318-AA318</f>
        <v>7257.52</v>
      </c>
      <c r="AG318" s="7">
        <f>ROUND((AF318/AE318),4)</f>
        <v>0.22520000000000001</v>
      </c>
      <c r="AH318">
        <f>IF(AND(C318&lt;&gt;"",E318&lt;&gt;""),E318 - C318,"")</f>
        <v>6</v>
      </c>
      <c r="AI318" t="str">
        <f>IF(C318="","",TEXT(C318, "mmmm"))</f>
        <v>May</v>
      </c>
      <c r="AJ318">
        <f>IF(C318="","",YEAR(C318))</f>
        <v>2024</v>
      </c>
      <c r="AM318" t="str">
        <f>IF(AN318="","clean","")</f>
        <v>clean</v>
      </c>
      <c r="AN318" t="s">
        <v>3595</v>
      </c>
    </row>
    <row r="319" spans="1:40">
      <c r="A319" t="s">
        <v>2363</v>
      </c>
      <c r="B319" t="s">
        <v>3935</v>
      </c>
      <c r="C319" s="6">
        <v>45307</v>
      </c>
      <c r="D319" t="s">
        <v>935</v>
      </c>
      <c r="F319" t="s">
        <v>2364</v>
      </c>
      <c r="G319" t="s">
        <v>59</v>
      </c>
      <c r="H319" t="s">
        <v>59</v>
      </c>
      <c r="I319" t="s">
        <v>25</v>
      </c>
      <c r="J319" t="s">
        <v>25</v>
      </c>
      <c r="K319" t="s">
        <v>71</v>
      </c>
      <c r="L319" t="str">
        <f>IF(TRIM(K319)="","Unknown",PROPER(TRIM(K319)))</f>
        <v>West</v>
      </c>
      <c r="M319" t="s">
        <v>230</v>
      </c>
      <c r="N319" t="s">
        <v>231</v>
      </c>
      <c r="O319" t="s">
        <v>29</v>
      </c>
      <c r="P319" t="str">
        <f>IF(TRIM(O319)="","Unknown",PROPER(TRIM(O319)))</f>
        <v>Office Supplies</v>
      </c>
      <c r="Q319" t="s">
        <v>148</v>
      </c>
      <c r="R319" t="s">
        <v>2365</v>
      </c>
      <c r="S319" t="s">
        <v>65</v>
      </c>
      <c r="T319" t="str">
        <f>IF(TRIM(S319)="","Unknown",PROPER(TRIM(S319)))</f>
        <v>Standard Class</v>
      </c>
      <c r="U319">
        <v>4</v>
      </c>
      <c r="V319">
        <v>282.52999999999997</v>
      </c>
      <c r="W319">
        <v>0</v>
      </c>
      <c r="Y319">
        <v>0</v>
      </c>
      <c r="Z319">
        <v>1130.1199999999999</v>
      </c>
      <c r="AA319">
        <v>848.62</v>
      </c>
      <c r="AB319">
        <v>281.5</v>
      </c>
      <c r="AC319" t="s">
        <v>33</v>
      </c>
      <c r="AD319" t="s">
        <v>76</v>
      </c>
      <c r="AE319">
        <f>ROUND((U319*V319)-(U319*V319*Y319),2)</f>
        <v>1130.1199999999999</v>
      </c>
      <c r="AF319">
        <f>AE319-AA319</f>
        <v>281.49999999999989</v>
      </c>
      <c r="AG319" s="7">
        <f>ROUND((AF319/AE319),4)</f>
        <v>0.24909999999999999</v>
      </c>
      <c r="AH319" t="str">
        <f>IF(AND(C319&lt;&gt;"",E319&lt;&gt;""),E319 - C319,"")</f>
        <v/>
      </c>
      <c r="AI319" t="str">
        <f>IF(C319="","",TEXT(C319, "mmmm"))</f>
        <v>January</v>
      </c>
      <c r="AJ319">
        <f>IF(C319="","",YEAR(C319))</f>
        <v>2024</v>
      </c>
      <c r="AM319" t="s">
        <v>4144</v>
      </c>
      <c r="AN319" t="s">
        <v>4136</v>
      </c>
    </row>
    <row r="320" spans="1:40">
      <c r="A320" t="s">
        <v>2370</v>
      </c>
      <c r="B320" t="s">
        <v>2371</v>
      </c>
      <c r="C320" s="6">
        <v>45422</v>
      </c>
      <c r="D320" t="s">
        <v>2313</v>
      </c>
      <c r="E320" s="6">
        <v>45428</v>
      </c>
      <c r="F320" t="s">
        <v>2372</v>
      </c>
      <c r="G320" t="s">
        <v>24</v>
      </c>
      <c r="H320" t="s">
        <v>24</v>
      </c>
      <c r="I320" t="s">
        <v>25</v>
      </c>
      <c r="J320" t="s">
        <v>25</v>
      </c>
      <c r="K320" t="s">
        <v>26</v>
      </c>
      <c r="L320" t="str">
        <f>IF(TRIM(K320)="","Unknown",PROPER(TRIM(K320)))</f>
        <v>North</v>
      </c>
      <c r="M320" t="s">
        <v>146</v>
      </c>
      <c r="N320" t="s">
        <v>147</v>
      </c>
      <c r="O320" t="s">
        <v>29</v>
      </c>
      <c r="P320" t="str">
        <f>IF(TRIM(O320)="","Unknown",PROPER(TRIM(O320)))</f>
        <v>Office Supplies</v>
      </c>
      <c r="Q320" t="s">
        <v>184</v>
      </c>
      <c r="R320" t="s">
        <v>2373</v>
      </c>
      <c r="S320" t="s">
        <v>47</v>
      </c>
      <c r="T320" t="str">
        <f>IF(TRIM(S320)="","Unknown",PROPER(TRIM(S320)))</f>
        <v>Same Day</v>
      </c>
      <c r="U320">
        <v>7</v>
      </c>
      <c r="V320">
        <v>121.54</v>
      </c>
      <c r="W320">
        <v>0.2</v>
      </c>
      <c r="Y320">
        <v>0.2</v>
      </c>
      <c r="Z320">
        <v>680.62</v>
      </c>
      <c r="AA320">
        <v>463.49</v>
      </c>
      <c r="AB320">
        <v>217.13</v>
      </c>
      <c r="AC320" t="s">
        <v>186</v>
      </c>
      <c r="AD320" t="s">
        <v>120</v>
      </c>
      <c r="AE320">
        <f>ROUND((U320*V320)-(U320*V320*Y320),2)</f>
        <v>680.62</v>
      </c>
      <c r="AF320">
        <f>AE320-AA320</f>
        <v>217.13</v>
      </c>
      <c r="AG320" s="7">
        <f>ROUND((AF320/AE320),4)</f>
        <v>0.31900000000000001</v>
      </c>
      <c r="AH320">
        <f>IF(AND(C320&lt;&gt;"",E320&lt;&gt;""),E320 - C320,"")</f>
        <v>6</v>
      </c>
      <c r="AI320" t="str">
        <f>IF(C320="","",TEXT(C320, "mmmm"))</f>
        <v>May</v>
      </c>
      <c r="AJ320">
        <f>IF(C320="","",YEAR(C320))</f>
        <v>2024</v>
      </c>
      <c r="AM320" t="str">
        <f>IF(AN320="","clean","")</f>
        <v>clean</v>
      </c>
      <c r="AN320" t="s">
        <v>3595</v>
      </c>
    </row>
    <row r="321" spans="1:40">
      <c r="A321" t="s">
        <v>2374</v>
      </c>
      <c r="B321" t="s">
        <v>2375</v>
      </c>
      <c r="C321" s="6">
        <v>45418</v>
      </c>
      <c r="D321" t="s">
        <v>1570</v>
      </c>
      <c r="E321" s="6">
        <v>45424</v>
      </c>
      <c r="F321" t="s">
        <v>2376</v>
      </c>
      <c r="G321" t="s">
        <v>59</v>
      </c>
      <c r="H321" t="s">
        <v>59</v>
      </c>
      <c r="I321" t="s">
        <v>104</v>
      </c>
      <c r="J321" t="s">
        <v>104</v>
      </c>
      <c r="K321" t="s">
        <v>71</v>
      </c>
      <c r="L321" t="str">
        <f>IF(TRIM(K321)="","Unknown",PROPER(TRIM(K321)))</f>
        <v>West</v>
      </c>
      <c r="M321" t="s">
        <v>230</v>
      </c>
      <c r="N321" t="s">
        <v>231</v>
      </c>
      <c r="O321" t="s">
        <v>44</v>
      </c>
      <c r="P321" t="str">
        <f>IF(TRIM(O321)="","Unknown",PROPER(TRIM(O321)))</f>
        <v>Furniture</v>
      </c>
      <c r="Q321" t="s">
        <v>45</v>
      </c>
      <c r="R321" t="s">
        <v>2377</v>
      </c>
      <c r="S321" t="s">
        <v>65</v>
      </c>
      <c r="T321" t="str">
        <f>IF(TRIM(S321)="","Unknown",PROPER(TRIM(S321)))</f>
        <v>Standard Class</v>
      </c>
      <c r="U321">
        <v>9</v>
      </c>
      <c r="V321">
        <v>790.97</v>
      </c>
      <c r="W321">
        <v>0.2</v>
      </c>
      <c r="Y321">
        <v>0.2</v>
      </c>
      <c r="Z321">
        <v>5694.98</v>
      </c>
      <c r="AA321">
        <v>4618.33</v>
      </c>
      <c r="AB321">
        <v>1076.6500000000001</v>
      </c>
      <c r="AC321" t="s">
        <v>131</v>
      </c>
      <c r="AD321" t="s">
        <v>76</v>
      </c>
      <c r="AE321">
        <f>ROUND((U321*V321)-(U321*V321*Y321),2)</f>
        <v>5694.98</v>
      </c>
      <c r="AF321">
        <f>AE321-AA321</f>
        <v>1076.6499999999996</v>
      </c>
      <c r="AG321" s="7">
        <f>ROUND((AF321/AE321),4)</f>
        <v>0.18909999999999999</v>
      </c>
      <c r="AH321">
        <f>IF(AND(C321&lt;&gt;"",E321&lt;&gt;""),E321 - C321,"")</f>
        <v>6</v>
      </c>
      <c r="AI321" t="str">
        <f>IF(C321="","",TEXT(C321, "mmmm"))</f>
        <v>May</v>
      </c>
      <c r="AJ321">
        <f>IF(C321="","",YEAR(C321))</f>
        <v>2024</v>
      </c>
      <c r="AM321" t="str">
        <f>IF(AN321="","clean","")</f>
        <v>clean</v>
      </c>
      <c r="AN321" t="s">
        <v>3595</v>
      </c>
    </row>
    <row r="322" spans="1:40">
      <c r="A322" t="s">
        <v>2378</v>
      </c>
      <c r="B322" t="s">
        <v>101</v>
      </c>
      <c r="C322" s="6">
        <v>45606</v>
      </c>
      <c r="D322" t="s">
        <v>2379</v>
      </c>
      <c r="E322" s="6">
        <v>45610</v>
      </c>
      <c r="F322" t="s">
        <v>2380</v>
      </c>
      <c r="G322" t="s">
        <v>158</v>
      </c>
      <c r="H322" t="s">
        <v>158</v>
      </c>
      <c r="I322" t="s">
        <v>104</v>
      </c>
      <c r="J322" t="s">
        <v>104</v>
      </c>
      <c r="K322" t="s">
        <v>60</v>
      </c>
      <c r="L322" t="str">
        <f>IF(TRIM(K322)="","Unknown",PROPER(TRIM(K322)))</f>
        <v>South</v>
      </c>
      <c r="M322" t="s">
        <v>97</v>
      </c>
      <c r="N322" t="s">
        <v>98</v>
      </c>
      <c r="O322" t="s">
        <v>44</v>
      </c>
      <c r="P322" t="str">
        <f>IF(TRIM(O322)="","Unknown",PROPER(TRIM(O322)))</f>
        <v>Furniture</v>
      </c>
      <c r="Q322" t="s">
        <v>45</v>
      </c>
      <c r="R322" t="s">
        <v>2381</v>
      </c>
      <c r="S322" t="s">
        <v>55</v>
      </c>
      <c r="T322" t="str">
        <f>IF(TRIM(S322)="","Unknown",PROPER(TRIM(S322)))</f>
        <v>First Class</v>
      </c>
      <c r="U322">
        <v>2</v>
      </c>
      <c r="V322">
        <v>921.34</v>
      </c>
      <c r="W322">
        <v>0.2</v>
      </c>
      <c r="Y322">
        <v>0.2</v>
      </c>
      <c r="Z322">
        <v>1474.14</v>
      </c>
      <c r="AA322">
        <v>968.46</v>
      </c>
      <c r="AB322">
        <v>505.68</v>
      </c>
      <c r="AC322" t="s">
        <v>33</v>
      </c>
      <c r="AD322" t="s">
        <v>34</v>
      </c>
      <c r="AE322">
        <f>ROUND((U322*V322)-(U322*V322*Y322),2)</f>
        <v>1474.14</v>
      </c>
      <c r="AF322">
        <f>AE322-AA322</f>
        <v>505.68000000000006</v>
      </c>
      <c r="AG322" s="7">
        <f>ROUND((AF322/AE322),4)</f>
        <v>0.34300000000000003</v>
      </c>
      <c r="AH322">
        <f>IF(AND(C322&lt;&gt;"",E322&lt;&gt;""),E322 - C322,"")</f>
        <v>4</v>
      </c>
      <c r="AI322" t="str">
        <f>IF(C322="","",TEXT(C322, "mmmm"))</f>
        <v>November</v>
      </c>
      <c r="AJ322">
        <f>IF(C322="","",YEAR(C322))</f>
        <v>2024</v>
      </c>
      <c r="AM322" t="str">
        <f>IF(AN322="","clean","")</f>
        <v>clean</v>
      </c>
      <c r="AN322" t="s">
        <v>3595</v>
      </c>
    </row>
    <row r="323" spans="1:40">
      <c r="A323" t="s">
        <v>2385</v>
      </c>
      <c r="B323" t="s">
        <v>3901</v>
      </c>
      <c r="C323" s="6">
        <v>45515</v>
      </c>
      <c r="D323" t="s">
        <v>2386</v>
      </c>
      <c r="E323" s="6">
        <v>45523</v>
      </c>
      <c r="F323" t="s">
        <v>2387</v>
      </c>
      <c r="G323" t="s">
        <v>158</v>
      </c>
      <c r="H323" t="s">
        <v>158</v>
      </c>
      <c r="I323" t="s">
        <v>40</v>
      </c>
      <c r="J323" t="s">
        <v>40</v>
      </c>
      <c r="K323" t="s">
        <v>71</v>
      </c>
      <c r="L323" t="str">
        <f>IF(TRIM(K323)="","Unknown",PROPER(TRIM(K323)))</f>
        <v>West</v>
      </c>
      <c r="M323" t="s">
        <v>72</v>
      </c>
      <c r="N323" t="s">
        <v>73</v>
      </c>
      <c r="O323" t="s">
        <v>29</v>
      </c>
      <c r="P323" t="str">
        <f>IF(TRIM(O323)="","Unknown",PROPER(TRIM(O323)))</f>
        <v>Office Supplies</v>
      </c>
      <c r="Q323" t="s">
        <v>30</v>
      </c>
      <c r="R323" t="s">
        <v>2388</v>
      </c>
      <c r="S323" t="s">
        <v>47</v>
      </c>
      <c r="T323" t="str">
        <f>IF(TRIM(S323)="","Unknown",PROPER(TRIM(S323)))</f>
        <v>Same Day</v>
      </c>
      <c r="U323">
        <v>2</v>
      </c>
      <c r="V323">
        <v>2617.89</v>
      </c>
      <c r="W323">
        <v>0.1</v>
      </c>
      <c r="Y323">
        <v>0.1</v>
      </c>
      <c r="Z323">
        <v>4712.2</v>
      </c>
      <c r="AA323">
        <v>3851.91</v>
      </c>
      <c r="AB323">
        <v>860.29</v>
      </c>
      <c r="AC323" t="s">
        <v>186</v>
      </c>
      <c r="AD323" t="s">
        <v>120</v>
      </c>
      <c r="AE323">
        <f>ROUND((U323*V323)-(U323*V323*Y323),2)</f>
        <v>4712.2</v>
      </c>
      <c r="AF323">
        <f>AE323-AA323</f>
        <v>860.29</v>
      </c>
      <c r="AG323" s="7">
        <f>ROUND((AF323/AE323),4)</f>
        <v>0.18260000000000001</v>
      </c>
      <c r="AH323">
        <f>IF(AND(C323&lt;&gt;"",E323&lt;&gt;""),E323 - C323,"")</f>
        <v>8</v>
      </c>
      <c r="AI323" t="str">
        <f>IF(C323="","",TEXT(C323, "mmmm"))</f>
        <v>August</v>
      </c>
      <c r="AJ323">
        <f>IF(C323="","",YEAR(C323))</f>
        <v>2024</v>
      </c>
      <c r="AM323" t="str">
        <f>IF(AN323="","clean","")</f>
        <v>clean</v>
      </c>
      <c r="AN323" t="s">
        <v>3595</v>
      </c>
    </row>
    <row r="324" spans="1:40">
      <c r="A324" t="s">
        <v>2389</v>
      </c>
      <c r="B324" t="s">
        <v>3937</v>
      </c>
      <c r="C324" s="6">
        <v>45328</v>
      </c>
      <c r="D324" t="s">
        <v>2390</v>
      </c>
      <c r="E324" s="6">
        <v>45332</v>
      </c>
      <c r="F324" t="s">
        <v>2391</v>
      </c>
      <c r="G324" t="s">
        <v>59</v>
      </c>
      <c r="H324" t="s">
        <v>59</v>
      </c>
      <c r="I324" t="s">
        <v>110</v>
      </c>
      <c r="J324" t="s">
        <v>110</v>
      </c>
      <c r="K324" t="s">
        <v>26</v>
      </c>
      <c r="L324" t="str">
        <f>IF(TRIM(K324)="","Unknown",PROPER(TRIM(K324)))</f>
        <v>North</v>
      </c>
      <c r="M324" t="s">
        <v>163</v>
      </c>
      <c r="N324" t="s">
        <v>164</v>
      </c>
      <c r="O324" t="s">
        <v>44</v>
      </c>
      <c r="P324" t="str">
        <f>IF(TRIM(O324)="","Unknown",PROPER(TRIM(O324)))</f>
        <v>Furniture</v>
      </c>
      <c r="Q324" t="s">
        <v>63</v>
      </c>
      <c r="R324" t="s">
        <v>798</v>
      </c>
      <c r="S324" t="s">
        <v>47</v>
      </c>
      <c r="T324" t="str">
        <f>IF(TRIM(S324)="","Unknown",PROPER(TRIM(S324)))</f>
        <v>Same Day</v>
      </c>
      <c r="U324">
        <v>1</v>
      </c>
      <c r="V324">
        <v>1374.06</v>
      </c>
      <c r="W324">
        <v>0.05</v>
      </c>
      <c r="Y324">
        <v>0.05</v>
      </c>
      <c r="Z324">
        <v>1305.3599999999999</v>
      </c>
      <c r="AA324">
        <v>731.89</v>
      </c>
      <c r="AB324">
        <v>573.47</v>
      </c>
      <c r="AC324" t="s">
        <v>33</v>
      </c>
      <c r="AD324" t="s">
        <v>34</v>
      </c>
      <c r="AE324">
        <f>ROUND((U324*V324)-(U324*V324*Y324),2)</f>
        <v>1305.3599999999999</v>
      </c>
      <c r="AF324">
        <f>AE324-AA324</f>
        <v>573.46999999999991</v>
      </c>
      <c r="AG324" s="7">
        <f>ROUND((AF324/AE324),4)</f>
        <v>0.43930000000000002</v>
      </c>
      <c r="AH324">
        <f>IF(AND(C324&lt;&gt;"",E324&lt;&gt;""),E324 - C324,"")</f>
        <v>4</v>
      </c>
      <c r="AI324" t="str">
        <f>IF(C324="","",TEXT(C324, "mmmm"))</f>
        <v>February</v>
      </c>
      <c r="AJ324">
        <f>IF(C324="","",YEAR(C324))</f>
        <v>2024</v>
      </c>
      <c r="AM324" t="str">
        <f>IF(AN324="","clean","")</f>
        <v>clean</v>
      </c>
      <c r="AN324" t="s">
        <v>3595</v>
      </c>
    </row>
    <row r="325" spans="1:40">
      <c r="A325" t="s">
        <v>2392</v>
      </c>
      <c r="B325" t="s">
        <v>3811</v>
      </c>
      <c r="C325" s="6">
        <v>45312</v>
      </c>
      <c r="D325" t="s">
        <v>2393</v>
      </c>
      <c r="E325" s="6">
        <v>45315</v>
      </c>
      <c r="F325" t="s">
        <v>2394</v>
      </c>
      <c r="G325" t="s">
        <v>334</v>
      </c>
      <c r="H325" t="s">
        <v>334</v>
      </c>
      <c r="I325" t="s">
        <v>104</v>
      </c>
      <c r="J325" t="s">
        <v>104</v>
      </c>
      <c r="K325" t="s">
        <v>26</v>
      </c>
      <c r="L325" t="str">
        <f>IF(TRIM(K325)="","Unknown",PROPER(TRIM(K325)))</f>
        <v>North</v>
      </c>
      <c r="M325" t="s">
        <v>146</v>
      </c>
      <c r="N325" t="s">
        <v>147</v>
      </c>
      <c r="O325" t="s">
        <v>83</v>
      </c>
      <c r="P325" t="str">
        <f>IF(TRIM(O325)="","Unknown",PROPER(TRIM(O325)))</f>
        <v>Technology</v>
      </c>
      <c r="Q325" t="s">
        <v>347</v>
      </c>
      <c r="R325" t="s">
        <v>2395</v>
      </c>
      <c r="S325" t="s">
        <v>47</v>
      </c>
      <c r="T325" t="str">
        <f>IF(TRIM(S325)="","Unknown",PROPER(TRIM(S325)))</f>
        <v>Same Day</v>
      </c>
      <c r="U325">
        <v>1</v>
      </c>
      <c r="V325">
        <v>3806.3</v>
      </c>
      <c r="W325">
        <v>0.25</v>
      </c>
      <c r="Y325">
        <v>0.25</v>
      </c>
      <c r="Z325">
        <v>2854.73</v>
      </c>
      <c r="AA325">
        <v>1968.12</v>
      </c>
      <c r="AB325">
        <v>886.61</v>
      </c>
      <c r="AC325" t="s">
        <v>33</v>
      </c>
      <c r="AD325" t="s">
        <v>34</v>
      </c>
      <c r="AE325">
        <f>ROUND((U325*V325)-(U325*V325*Y325),2)</f>
        <v>2854.73</v>
      </c>
      <c r="AF325">
        <f>AE325-AA325</f>
        <v>886.61000000000013</v>
      </c>
      <c r="AG325" s="7">
        <f>ROUND((AF325/AE325),4)</f>
        <v>0.31059999999999999</v>
      </c>
      <c r="AH325">
        <f>IF(AND(C325&lt;&gt;"",E325&lt;&gt;""),E325 - C325,"")</f>
        <v>3</v>
      </c>
      <c r="AI325" t="str">
        <f>IF(C325="","",TEXT(C325, "mmmm"))</f>
        <v>January</v>
      </c>
      <c r="AJ325">
        <f>IF(C325="","",YEAR(C325))</f>
        <v>2024</v>
      </c>
      <c r="AM325" t="str">
        <f>IF(AN325="","clean","")</f>
        <v>clean</v>
      </c>
      <c r="AN325" t="s">
        <v>3595</v>
      </c>
    </row>
    <row r="326" spans="1:40">
      <c r="A326" t="s">
        <v>2408</v>
      </c>
      <c r="B326" t="s">
        <v>3938</v>
      </c>
      <c r="C326" s="6">
        <v>45293</v>
      </c>
      <c r="D326" t="s">
        <v>2409</v>
      </c>
      <c r="E326" s="6">
        <v>45300</v>
      </c>
      <c r="F326" t="s">
        <v>2410</v>
      </c>
      <c r="G326" t="s">
        <v>196</v>
      </c>
      <c r="H326" t="s">
        <v>196</v>
      </c>
      <c r="I326" t="s">
        <v>104</v>
      </c>
      <c r="J326" t="s">
        <v>104</v>
      </c>
      <c r="K326" t="s">
        <v>26</v>
      </c>
      <c r="L326" t="str">
        <f>IF(TRIM(K326)="","Unknown",PROPER(TRIM(K326)))</f>
        <v>North</v>
      </c>
      <c r="M326" t="s">
        <v>454</v>
      </c>
      <c r="N326" t="s">
        <v>455</v>
      </c>
      <c r="O326" t="s">
        <v>83</v>
      </c>
      <c r="P326" t="str">
        <f>IF(TRIM(O326)="","Unknown",PROPER(TRIM(O326)))</f>
        <v>Technology</v>
      </c>
      <c r="Q326" t="s">
        <v>207</v>
      </c>
      <c r="R326" t="s">
        <v>2411</v>
      </c>
      <c r="S326" t="s">
        <v>65</v>
      </c>
      <c r="T326" t="str">
        <f>IF(TRIM(S326)="","Unknown",PROPER(TRIM(S326)))</f>
        <v>Standard Class</v>
      </c>
      <c r="U326">
        <v>3</v>
      </c>
      <c r="V326">
        <v>739.56</v>
      </c>
      <c r="W326">
        <v>0.2</v>
      </c>
      <c r="Y326">
        <v>0.2</v>
      </c>
      <c r="Z326">
        <v>1774.94</v>
      </c>
      <c r="AA326">
        <v>1007.4</v>
      </c>
      <c r="AB326">
        <v>767.54</v>
      </c>
      <c r="AC326" t="s">
        <v>33</v>
      </c>
      <c r="AD326" t="s">
        <v>34</v>
      </c>
      <c r="AE326">
        <f>ROUND((U326*V326)-(U326*V326*Y326),2)</f>
        <v>1774.94</v>
      </c>
      <c r="AF326">
        <f>AE326-AA326</f>
        <v>767.54000000000008</v>
      </c>
      <c r="AG326" s="7">
        <f>ROUND((AF326/AE326),4)</f>
        <v>0.43240000000000001</v>
      </c>
      <c r="AH326">
        <f>IF(AND(C326&lt;&gt;"",E326&lt;&gt;""),E326 - C326,"")</f>
        <v>7</v>
      </c>
      <c r="AI326" t="str">
        <f>IF(C326="","",TEXT(C326, "mmmm"))</f>
        <v>January</v>
      </c>
      <c r="AJ326">
        <f>IF(C326="","",YEAR(C326))</f>
        <v>2024</v>
      </c>
      <c r="AM326" t="str">
        <f>IF(AN326="","clean","")</f>
        <v>clean</v>
      </c>
      <c r="AN326" t="s">
        <v>3595</v>
      </c>
    </row>
    <row r="327" spans="1:40">
      <c r="A327" t="s">
        <v>2416</v>
      </c>
      <c r="B327" t="s">
        <v>3940</v>
      </c>
      <c r="C327" s="6">
        <v>45342</v>
      </c>
      <c r="D327" t="s">
        <v>1448</v>
      </c>
      <c r="F327" t="s">
        <v>1081</v>
      </c>
      <c r="G327" t="s">
        <v>196</v>
      </c>
      <c r="H327" t="s">
        <v>196</v>
      </c>
      <c r="I327" t="s">
        <v>110</v>
      </c>
      <c r="J327" t="s">
        <v>110</v>
      </c>
      <c r="K327" t="s">
        <v>26</v>
      </c>
      <c r="L327" t="str">
        <f>IF(TRIM(K327)="","Unknown",PROPER(TRIM(K327)))</f>
        <v>North</v>
      </c>
      <c r="M327" t="s">
        <v>146</v>
      </c>
      <c r="N327" t="s">
        <v>147</v>
      </c>
      <c r="O327" t="s">
        <v>83</v>
      </c>
      <c r="P327" t="str">
        <f>IF(TRIM(O327)="","Unknown",PROPER(TRIM(O327)))</f>
        <v>Technology</v>
      </c>
      <c r="Q327" t="s">
        <v>347</v>
      </c>
      <c r="R327" t="s">
        <v>2417</v>
      </c>
      <c r="S327" t="s">
        <v>65</v>
      </c>
      <c r="T327" t="str">
        <f>IF(TRIM(S327)="","Unknown",PROPER(TRIM(S327)))</f>
        <v>Standard Class</v>
      </c>
      <c r="U327">
        <v>4</v>
      </c>
      <c r="V327">
        <v>1355.8</v>
      </c>
      <c r="W327">
        <v>0</v>
      </c>
      <c r="Y327">
        <v>0</v>
      </c>
      <c r="Z327">
        <v>5423.2</v>
      </c>
      <c r="AA327">
        <v>4072.44</v>
      </c>
      <c r="AB327">
        <v>1350.76</v>
      </c>
      <c r="AC327" t="s">
        <v>33</v>
      </c>
      <c r="AD327" t="s">
        <v>34</v>
      </c>
      <c r="AE327">
        <f>ROUND((U327*V327)-(U327*V327*Y327),2)</f>
        <v>5423.2</v>
      </c>
      <c r="AF327">
        <f>AE327-AA327</f>
        <v>1350.7599999999998</v>
      </c>
      <c r="AG327" s="7">
        <f>ROUND((AF327/AE327),4)</f>
        <v>0.24909999999999999</v>
      </c>
      <c r="AH327" t="str">
        <f>IF(AND(C327&lt;&gt;"",E327&lt;&gt;""),E327 - C327,"")</f>
        <v/>
      </c>
      <c r="AI327" t="str">
        <f>IF(C327="","",TEXT(C327, "mmmm"))</f>
        <v>February</v>
      </c>
      <c r="AJ327">
        <f>IF(C327="","",YEAR(C327))</f>
        <v>2024</v>
      </c>
      <c r="AM327" t="s">
        <v>4144</v>
      </c>
      <c r="AN327" t="s">
        <v>4136</v>
      </c>
    </row>
    <row r="328" spans="1:40">
      <c r="A328" t="s">
        <v>2422</v>
      </c>
      <c r="B328" t="s">
        <v>2423</v>
      </c>
      <c r="C328" s="6">
        <v>45339</v>
      </c>
      <c r="D328" t="s">
        <v>2424</v>
      </c>
      <c r="E328" s="6">
        <v>45345</v>
      </c>
      <c r="F328" t="s">
        <v>2425</v>
      </c>
      <c r="G328" t="s">
        <v>169</v>
      </c>
      <c r="H328" t="s">
        <v>169</v>
      </c>
      <c r="I328" t="s">
        <v>110</v>
      </c>
      <c r="J328" t="s">
        <v>110</v>
      </c>
      <c r="L328" t="str">
        <f>IF(TRIM(K328)="","Unknown",PROPER(TRIM(K328)))</f>
        <v>Unknown</v>
      </c>
      <c r="M328" t="s">
        <v>174</v>
      </c>
      <c r="N328" t="s">
        <v>175</v>
      </c>
      <c r="O328" t="s">
        <v>29</v>
      </c>
      <c r="P328" t="str">
        <f>IF(TRIM(O328)="","Unknown",PROPER(TRIM(O328)))</f>
        <v>Office Supplies</v>
      </c>
      <c r="Q328" t="s">
        <v>184</v>
      </c>
      <c r="R328" t="s">
        <v>2426</v>
      </c>
      <c r="S328" t="s">
        <v>65</v>
      </c>
      <c r="T328" t="str">
        <f>IF(TRIM(S328)="","Unknown",PROPER(TRIM(S328)))</f>
        <v>Standard Class</v>
      </c>
      <c r="U328">
        <v>9</v>
      </c>
      <c r="V328">
        <v>2614.46</v>
      </c>
      <c r="W328">
        <v>0</v>
      </c>
      <c r="Y328">
        <v>0</v>
      </c>
      <c r="Z328">
        <v>23530.14</v>
      </c>
      <c r="AA328">
        <v>19537.79</v>
      </c>
      <c r="AB328">
        <v>3992.35</v>
      </c>
      <c r="AC328" t="s">
        <v>119</v>
      </c>
      <c r="AD328" t="s">
        <v>120</v>
      </c>
      <c r="AE328">
        <f>ROUND((U328*V328)-(U328*V328*Y328),2)</f>
        <v>23530.14</v>
      </c>
      <c r="AF328">
        <f>AE328-AA328</f>
        <v>3992.3499999999985</v>
      </c>
      <c r="AG328" s="7">
        <f>ROUND((AF328/AE328),4)</f>
        <v>0.16969999999999999</v>
      </c>
      <c r="AH328">
        <f>IF(AND(C328&lt;&gt;"",E328&lt;&gt;""),E328 - C328,"")</f>
        <v>6</v>
      </c>
      <c r="AI328" t="str">
        <f>IF(C328="","",TEXT(C328, "mmmm"))</f>
        <v>February</v>
      </c>
      <c r="AJ328">
        <f>IF(C328="","",YEAR(C328))</f>
        <v>2024</v>
      </c>
      <c r="AM328" t="s">
        <v>4145</v>
      </c>
      <c r="AN328" t="s">
        <v>3597</v>
      </c>
    </row>
    <row r="329" spans="1:40">
      <c r="A329" t="s">
        <v>2431</v>
      </c>
      <c r="B329" t="s">
        <v>3942</v>
      </c>
      <c r="C329" s="6">
        <v>45343</v>
      </c>
      <c r="D329" t="s">
        <v>2432</v>
      </c>
      <c r="F329" t="s">
        <v>377</v>
      </c>
      <c r="G329" t="s">
        <v>90</v>
      </c>
      <c r="H329" t="s">
        <v>90</v>
      </c>
      <c r="I329" t="s">
        <v>40</v>
      </c>
      <c r="J329" t="s">
        <v>40</v>
      </c>
      <c r="K329" t="s">
        <v>71</v>
      </c>
      <c r="L329" t="str">
        <f>IF(TRIM(K329)="","Unknown",PROPER(TRIM(K329)))</f>
        <v>West</v>
      </c>
      <c r="M329" t="s">
        <v>218</v>
      </c>
      <c r="N329" t="s">
        <v>219</v>
      </c>
      <c r="O329" t="s">
        <v>83</v>
      </c>
      <c r="P329" t="str">
        <f>IF(TRIM(O329)="","Unknown",PROPER(TRIM(O329)))</f>
        <v>Technology</v>
      </c>
      <c r="Q329" t="s">
        <v>91</v>
      </c>
      <c r="R329" t="s">
        <v>2433</v>
      </c>
      <c r="S329" t="s">
        <v>55</v>
      </c>
      <c r="T329" t="str">
        <f>IF(TRIM(S329)="","Unknown",PROPER(TRIM(S329)))</f>
        <v>First Class</v>
      </c>
      <c r="U329">
        <v>6</v>
      </c>
      <c r="V329">
        <v>2633.65</v>
      </c>
      <c r="W329">
        <v>0.05</v>
      </c>
      <c r="Y329">
        <v>0.05</v>
      </c>
      <c r="Z329">
        <v>15011.81</v>
      </c>
      <c r="AA329">
        <v>9660.36</v>
      </c>
      <c r="AB329">
        <v>5351.45</v>
      </c>
      <c r="AC329" t="s">
        <v>33</v>
      </c>
      <c r="AD329" t="s">
        <v>34</v>
      </c>
      <c r="AE329">
        <f>ROUND((U329*V329)-(U329*V329*Y329),2)</f>
        <v>15011.81</v>
      </c>
      <c r="AF329">
        <f>AE329-AA329</f>
        <v>5351.4499999999989</v>
      </c>
      <c r="AG329" s="7">
        <f>ROUND((AF329/AE329),4)</f>
        <v>0.35649999999999998</v>
      </c>
      <c r="AH329" t="str">
        <f>IF(AND(C329&lt;&gt;"",E329&lt;&gt;""),E329 - C329,"")</f>
        <v/>
      </c>
      <c r="AI329" t="str">
        <f>IF(C329="","",TEXT(C329, "mmmm"))</f>
        <v>February</v>
      </c>
      <c r="AJ329">
        <f>IF(C329="","",YEAR(C329))</f>
        <v>2024</v>
      </c>
      <c r="AM329" t="s">
        <v>4144</v>
      </c>
      <c r="AN329" t="s">
        <v>4136</v>
      </c>
    </row>
    <row r="330" spans="1:40">
      <c r="A330" t="s">
        <v>2434</v>
      </c>
      <c r="B330" t="s">
        <v>3943</v>
      </c>
      <c r="C330" s="6">
        <v>45462</v>
      </c>
      <c r="D330" t="s">
        <v>2435</v>
      </c>
      <c r="E330" s="6">
        <v>45467</v>
      </c>
      <c r="F330" t="s">
        <v>2436</v>
      </c>
      <c r="G330" t="s">
        <v>153</v>
      </c>
      <c r="H330" t="s">
        <v>153</v>
      </c>
      <c r="I330" t="s">
        <v>40</v>
      </c>
      <c r="J330" t="s">
        <v>40</v>
      </c>
      <c r="K330" t="s">
        <v>60</v>
      </c>
      <c r="L330" t="str">
        <f>IF(TRIM(K330)="","Unknown",PROPER(TRIM(K330)))</f>
        <v>South</v>
      </c>
      <c r="M330" t="s">
        <v>309</v>
      </c>
      <c r="N330" t="s">
        <v>310</v>
      </c>
      <c r="O330" t="s">
        <v>29</v>
      </c>
      <c r="P330" t="str">
        <f>IF(TRIM(O330)="","Unknown",PROPER(TRIM(O330)))</f>
        <v>Office Supplies</v>
      </c>
      <c r="Q330" t="s">
        <v>148</v>
      </c>
      <c r="R330" t="s">
        <v>2437</v>
      </c>
      <c r="S330" t="s">
        <v>47</v>
      </c>
      <c r="T330" t="str">
        <f>IF(TRIM(S330)="","Unknown",PROPER(TRIM(S330)))</f>
        <v>Same Day</v>
      </c>
      <c r="U330">
        <v>1</v>
      </c>
      <c r="V330">
        <v>3202.41</v>
      </c>
      <c r="W330">
        <v>0</v>
      </c>
      <c r="Y330">
        <v>0</v>
      </c>
      <c r="Z330">
        <v>3202.41</v>
      </c>
      <c r="AA330">
        <v>2608.44</v>
      </c>
      <c r="AB330">
        <v>593.97</v>
      </c>
      <c r="AC330" t="s">
        <v>33</v>
      </c>
      <c r="AD330" t="s">
        <v>34</v>
      </c>
      <c r="AE330">
        <f>ROUND((U330*V330)-(U330*V330*Y330),2)</f>
        <v>3202.41</v>
      </c>
      <c r="AF330">
        <f>AE330-AA330</f>
        <v>593.9699999999998</v>
      </c>
      <c r="AG330" s="7">
        <f>ROUND((AF330/AE330),4)</f>
        <v>0.1855</v>
      </c>
      <c r="AH330">
        <f>IF(AND(C330&lt;&gt;"",E330&lt;&gt;""),E330 - C330,"")</f>
        <v>5</v>
      </c>
      <c r="AI330" t="str">
        <f>IF(C330="","",TEXT(C330, "mmmm"))</f>
        <v>June</v>
      </c>
      <c r="AJ330">
        <f>IF(C330="","",YEAR(C330))</f>
        <v>2024</v>
      </c>
      <c r="AM330" t="str">
        <f>IF(AN330="","clean","")</f>
        <v>clean</v>
      </c>
      <c r="AN330" t="s">
        <v>3595</v>
      </c>
    </row>
    <row r="331" spans="1:40">
      <c r="A331" t="s">
        <v>2445</v>
      </c>
      <c r="B331" t="s">
        <v>3945</v>
      </c>
      <c r="C331" s="6">
        <v>45580</v>
      </c>
      <c r="D331" t="s">
        <v>2446</v>
      </c>
      <c r="E331" s="6">
        <v>45585</v>
      </c>
      <c r="F331" t="s">
        <v>2447</v>
      </c>
      <c r="G331" t="s">
        <v>70</v>
      </c>
      <c r="H331" t="s">
        <v>70</v>
      </c>
      <c r="I331" t="s">
        <v>25</v>
      </c>
      <c r="J331" t="s">
        <v>25</v>
      </c>
      <c r="K331" t="s">
        <v>41</v>
      </c>
      <c r="L331" t="str">
        <f>IF(TRIM(K331)="","Unknown",PROPER(TRIM(K331)))</f>
        <v>East</v>
      </c>
      <c r="M331" t="s">
        <v>42</v>
      </c>
      <c r="N331" t="s">
        <v>43</v>
      </c>
      <c r="O331" t="s">
        <v>29</v>
      </c>
      <c r="P331" t="str">
        <f>IF(TRIM(O331)="","Unknown",PROPER(TRIM(O331)))</f>
        <v>Office Supplies</v>
      </c>
      <c r="Q331" t="s">
        <v>53</v>
      </c>
      <c r="R331" t="s">
        <v>2448</v>
      </c>
      <c r="S331" t="s">
        <v>55</v>
      </c>
      <c r="T331" t="str">
        <f>IF(TRIM(S331)="","Unknown",PROPER(TRIM(S331)))</f>
        <v>First Class</v>
      </c>
      <c r="U331">
        <v>5</v>
      </c>
      <c r="V331">
        <v>671.24</v>
      </c>
      <c r="W331">
        <v>0</v>
      </c>
      <c r="Y331">
        <v>0</v>
      </c>
      <c r="Z331">
        <v>3356.2</v>
      </c>
      <c r="AA331">
        <v>2205.7199999999998</v>
      </c>
      <c r="AB331">
        <v>1150.48</v>
      </c>
      <c r="AC331" t="s">
        <v>131</v>
      </c>
      <c r="AD331" t="s">
        <v>120</v>
      </c>
      <c r="AE331">
        <f>ROUND((U331*V331)-(U331*V331*Y331),2)</f>
        <v>3356.2</v>
      </c>
      <c r="AF331">
        <f>AE331-AA331</f>
        <v>1150.48</v>
      </c>
      <c r="AG331" s="7">
        <f>ROUND((AF331/AE331),4)</f>
        <v>0.34279999999999999</v>
      </c>
      <c r="AH331">
        <f>IF(AND(C331&lt;&gt;"",E331&lt;&gt;""),E331 - C331,"")</f>
        <v>5</v>
      </c>
      <c r="AI331" t="str">
        <f>IF(C331="","",TEXT(C331, "mmmm"))</f>
        <v>October</v>
      </c>
      <c r="AJ331">
        <f>IF(C331="","",YEAR(C331))</f>
        <v>2024</v>
      </c>
      <c r="AM331" t="str">
        <f>IF(AN331="","clean","")</f>
        <v>clean</v>
      </c>
      <c r="AN331" t="s">
        <v>3595</v>
      </c>
    </row>
    <row r="332" spans="1:40">
      <c r="A332" t="s">
        <v>2449</v>
      </c>
      <c r="B332" t="s">
        <v>560</v>
      </c>
      <c r="C332" s="6">
        <v>45350</v>
      </c>
      <c r="D332" t="s">
        <v>2450</v>
      </c>
      <c r="E332" s="6">
        <v>45350</v>
      </c>
      <c r="F332" t="s">
        <v>2451</v>
      </c>
      <c r="G332" t="s">
        <v>169</v>
      </c>
      <c r="H332" t="s">
        <v>169</v>
      </c>
      <c r="I332" t="s">
        <v>40</v>
      </c>
      <c r="J332" t="s">
        <v>40</v>
      </c>
      <c r="K332" t="s">
        <v>41</v>
      </c>
      <c r="L332" t="str">
        <f>IF(TRIM(K332)="","Unknown",PROPER(TRIM(K332)))</f>
        <v>East</v>
      </c>
      <c r="M332" t="s">
        <v>116</v>
      </c>
      <c r="N332" t="s">
        <v>117</v>
      </c>
      <c r="O332" t="s">
        <v>29</v>
      </c>
      <c r="P332" t="str">
        <f>IF(TRIM(O332)="","Unknown",PROPER(TRIM(O332)))</f>
        <v>Office Supplies</v>
      </c>
      <c r="Q332" t="s">
        <v>148</v>
      </c>
      <c r="R332" t="s">
        <v>2452</v>
      </c>
      <c r="S332" t="s">
        <v>55</v>
      </c>
      <c r="T332" t="str">
        <f>IF(TRIM(S332)="","Unknown",PROPER(TRIM(S332)))</f>
        <v>First Class</v>
      </c>
      <c r="U332">
        <v>1</v>
      </c>
      <c r="V332">
        <v>2626.84</v>
      </c>
      <c r="W332">
        <v>0.2</v>
      </c>
      <c r="Y332">
        <v>0.2</v>
      </c>
      <c r="Z332">
        <v>2101.4699999999998</v>
      </c>
      <c r="AA332">
        <v>1217.83</v>
      </c>
      <c r="AB332">
        <v>883.64</v>
      </c>
      <c r="AC332" t="s">
        <v>186</v>
      </c>
      <c r="AD332" t="s">
        <v>120</v>
      </c>
      <c r="AE332">
        <f>ROUND((U332*V332)-(U332*V332*Y332),2)</f>
        <v>2101.4699999999998</v>
      </c>
      <c r="AF332">
        <f>AE332-AA332</f>
        <v>883.63999999999987</v>
      </c>
      <c r="AG332" s="7">
        <f>ROUND((AF332/AE332),4)</f>
        <v>0.42049999999999998</v>
      </c>
      <c r="AH332">
        <f>IF(AND(C332&lt;&gt;"",E332&lt;&gt;""),E332 - C332,"")</f>
        <v>0</v>
      </c>
      <c r="AI332" t="str">
        <f>IF(C332="","",TEXT(C332, "mmmm"))</f>
        <v>February</v>
      </c>
      <c r="AJ332">
        <f>IF(C332="","",YEAR(C332))</f>
        <v>2024</v>
      </c>
      <c r="AM332" t="str">
        <f>IF(AN332="","clean","")</f>
        <v>clean</v>
      </c>
      <c r="AN332" t="s">
        <v>3595</v>
      </c>
    </row>
    <row r="333" spans="1:40">
      <c r="A333" t="s">
        <v>2453</v>
      </c>
      <c r="B333" t="s">
        <v>3946</v>
      </c>
      <c r="C333" s="6">
        <v>45508</v>
      </c>
      <c r="D333" t="s">
        <v>2454</v>
      </c>
      <c r="E333" s="6">
        <v>45514</v>
      </c>
      <c r="F333" t="s">
        <v>2455</v>
      </c>
      <c r="G333" t="s">
        <v>80</v>
      </c>
      <c r="H333" t="s">
        <v>80</v>
      </c>
      <c r="I333" t="s">
        <v>25</v>
      </c>
      <c r="J333" t="s">
        <v>25</v>
      </c>
      <c r="K333" t="s">
        <v>41</v>
      </c>
      <c r="L333" t="str">
        <f>IF(TRIM(K333)="","Unknown",PROPER(TRIM(K333)))</f>
        <v>East</v>
      </c>
      <c r="M333" t="s">
        <v>174</v>
      </c>
      <c r="N333" t="s">
        <v>175</v>
      </c>
      <c r="O333" t="s">
        <v>29</v>
      </c>
      <c r="P333" t="str">
        <f>IF(TRIM(O333)="","Unknown",PROPER(TRIM(O333)))</f>
        <v>Office Supplies</v>
      </c>
      <c r="Q333" t="s">
        <v>53</v>
      </c>
      <c r="R333" t="s">
        <v>2456</v>
      </c>
      <c r="S333" t="s">
        <v>47</v>
      </c>
      <c r="T333" t="str">
        <f>IF(TRIM(S333)="","Unknown",PROPER(TRIM(S333)))</f>
        <v>Same Day</v>
      </c>
      <c r="U333">
        <v>1</v>
      </c>
      <c r="V333">
        <v>984.93</v>
      </c>
      <c r="W333">
        <v>0.15</v>
      </c>
      <c r="Y333">
        <v>0.15</v>
      </c>
      <c r="Z333">
        <v>837.19</v>
      </c>
      <c r="AA333">
        <v>583.79</v>
      </c>
      <c r="AB333">
        <v>253.4</v>
      </c>
      <c r="AC333" t="s">
        <v>131</v>
      </c>
      <c r="AD333" t="s">
        <v>120</v>
      </c>
      <c r="AE333">
        <f>ROUND((U333*V333)-(U333*V333*Y333),2)</f>
        <v>837.19</v>
      </c>
      <c r="AF333">
        <f>AE333-AA333</f>
        <v>253.40000000000009</v>
      </c>
      <c r="AG333" s="7">
        <f>ROUND((AF333/AE333),4)</f>
        <v>0.30270000000000002</v>
      </c>
      <c r="AH333">
        <f>IF(AND(C333&lt;&gt;"",E333&lt;&gt;""),E333 - C333,"")</f>
        <v>6</v>
      </c>
      <c r="AI333" t="str">
        <f>IF(C333="","",TEXT(C333, "mmmm"))</f>
        <v>August</v>
      </c>
      <c r="AJ333">
        <f>IF(C333="","",YEAR(C333))</f>
        <v>2024</v>
      </c>
      <c r="AM333" t="str">
        <f>IF(AN333="","clean","")</f>
        <v>clean</v>
      </c>
      <c r="AN333" t="s">
        <v>3595</v>
      </c>
    </row>
    <row r="334" spans="1:40">
      <c r="A334" t="s">
        <v>2473</v>
      </c>
      <c r="B334" t="s">
        <v>2474</v>
      </c>
      <c r="C334" s="6">
        <v>45632</v>
      </c>
      <c r="D334" t="s">
        <v>2475</v>
      </c>
      <c r="E334" s="6">
        <v>45638</v>
      </c>
      <c r="F334" t="s">
        <v>2476</v>
      </c>
      <c r="G334" t="s">
        <v>169</v>
      </c>
      <c r="H334" t="s">
        <v>169</v>
      </c>
      <c r="I334" t="s">
        <v>104</v>
      </c>
      <c r="J334" t="s">
        <v>104</v>
      </c>
      <c r="K334" t="s">
        <v>26</v>
      </c>
      <c r="L334" t="str">
        <f>IF(TRIM(K334)="","Unknown",PROPER(TRIM(K334)))</f>
        <v>North</v>
      </c>
      <c r="M334" t="s">
        <v>163</v>
      </c>
      <c r="N334" t="s">
        <v>164</v>
      </c>
      <c r="O334" t="s">
        <v>83</v>
      </c>
      <c r="P334" t="str">
        <f>IF(TRIM(O334)="","Unknown",PROPER(TRIM(O334)))</f>
        <v>Technology</v>
      </c>
      <c r="Q334" t="s">
        <v>207</v>
      </c>
      <c r="R334" t="s">
        <v>2477</v>
      </c>
      <c r="S334" t="s">
        <v>55</v>
      </c>
      <c r="T334" t="str">
        <f>IF(TRIM(S334)="","Unknown",PROPER(TRIM(S334)))</f>
        <v>First Class</v>
      </c>
      <c r="U334">
        <v>3</v>
      </c>
      <c r="V334">
        <v>524.75</v>
      </c>
      <c r="W334">
        <v>0</v>
      </c>
      <c r="Y334">
        <v>0</v>
      </c>
      <c r="Z334">
        <v>1574.25</v>
      </c>
      <c r="AA334">
        <v>1326.12</v>
      </c>
      <c r="AB334">
        <v>248.13</v>
      </c>
      <c r="AC334" t="s">
        <v>33</v>
      </c>
      <c r="AD334" t="s">
        <v>34</v>
      </c>
      <c r="AE334">
        <f>ROUND((U334*V334)-(U334*V334*Y334),2)</f>
        <v>1574.25</v>
      </c>
      <c r="AF334">
        <f>AE334-AA334</f>
        <v>248.13000000000011</v>
      </c>
      <c r="AG334" s="7">
        <f>ROUND((AF334/AE334),4)</f>
        <v>0.15759999999999999</v>
      </c>
      <c r="AH334">
        <f>IF(AND(C334&lt;&gt;"",E334&lt;&gt;""),E334 - C334,"")</f>
        <v>6</v>
      </c>
      <c r="AI334" t="str">
        <f>IF(C334="","",TEXT(C334, "mmmm"))</f>
        <v>December</v>
      </c>
      <c r="AJ334">
        <f>IF(C334="","",YEAR(C334))</f>
        <v>2024</v>
      </c>
      <c r="AM334" t="str">
        <f>IF(AN334="","clean","")</f>
        <v>clean</v>
      </c>
      <c r="AN334" t="s">
        <v>3595</v>
      </c>
    </row>
    <row r="335" spans="1:40">
      <c r="A335" t="s">
        <v>2478</v>
      </c>
      <c r="B335" t="s">
        <v>251</v>
      </c>
      <c r="D335" t="s">
        <v>2479</v>
      </c>
      <c r="E335" s="6">
        <v>45441</v>
      </c>
      <c r="F335" t="s">
        <v>2480</v>
      </c>
      <c r="G335" t="s">
        <v>153</v>
      </c>
      <c r="H335" t="s">
        <v>153</v>
      </c>
      <c r="I335" t="s">
        <v>110</v>
      </c>
      <c r="J335" t="s">
        <v>110</v>
      </c>
      <c r="K335" t="s">
        <v>26</v>
      </c>
      <c r="L335" t="str">
        <f>IF(TRIM(K335)="","Unknown",PROPER(TRIM(K335)))</f>
        <v>North</v>
      </c>
      <c r="M335" t="s">
        <v>454</v>
      </c>
      <c r="N335" t="s">
        <v>455</v>
      </c>
      <c r="O335" t="s">
        <v>44</v>
      </c>
      <c r="P335" t="str">
        <f>IF(TRIM(O335)="","Unknown",PROPER(TRIM(O335)))</f>
        <v>Furniture</v>
      </c>
      <c r="Q335" t="s">
        <v>74</v>
      </c>
      <c r="R335" t="s">
        <v>2481</v>
      </c>
      <c r="S335" t="s">
        <v>47</v>
      </c>
      <c r="T335" t="str">
        <f>IF(TRIM(S335)="","Unknown",PROPER(TRIM(S335)))</f>
        <v>Same Day</v>
      </c>
      <c r="U335">
        <v>6</v>
      </c>
      <c r="V335">
        <v>3430.35</v>
      </c>
      <c r="W335">
        <v>0</v>
      </c>
      <c r="Y335">
        <v>0</v>
      </c>
      <c r="Z335">
        <v>20582.099999999999</v>
      </c>
      <c r="AA335">
        <v>15897.65</v>
      </c>
      <c r="AB335">
        <v>4684.45</v>
      </c>
      <c r="AC335" t="s">
        <v>131</v>
      </c>
      <c r="AD335" t="s">
        <v>76</v>
      </c>
      <c r="AE335">
        <f>ROUND((U335*V335)-(U335*V335*Y335),2)</f>
        <v>20582.099999999999</v>
      </c>
      <c r="AF335">
        <f>AE335-AA335</f>
        <v>4684.4499999999989</v>
      </c>
      <c r="AG335" s="7">
        <f>ROUND((AF335/AE335),4)</f>
        <v>0.2276</v>
      </c>
      <c r="AH335" t="str">
        <f>IF(AND(C335&lt;&gt;"",E335&lt;&gt;""),E335 - C335,"")</f>
        <v/>
      </c>
      <c r="AI335" t="str">
        <f>IF(C335="","",TEXT(C335, "mmmm"))</f>
        <v/>
      </c>
      <c r="AJ335" t="str">
        <f>IF(C335="","",YEAR(C335))</f>
        <v/>
      </c>
      <c r="AM335" t="s">
        <v>4144</v>
      </c>
      <c r="AN335" t="s">
        <v>4127</v>
      </c>
    </row>
    <row r="336" spans="1:40">
      <c r="A336" t="s">
        <v>2482</v>
      </c>
      <c r="B336" t="s">
        <v>2483</v>
      </c>
      <c r="C336" s="6">
        <v>45344</v>
      </c>
      <c r="D336" t="s">
        <v>2484</v>
      </c>
      <c r="F336" t="s">
        <v>2485</v>
      </c>
      <c r="G336" t="s">
        <v>158</v>
      </c>
      <c r="H336" t="s">
        <v>158</v>
      </c>
      <c r="I336" t="s">
        <v>25</v>
      </c>
      <c r="J336" t="s">
        <v>25</v>
      </c>
      <c r="K336" t="s">
        <v>60</v>
      </c>
      <c r="L336" t="str">
        <f>IF(TRIM(K336)="","Unknown",PROPER(TRIM(K336)))</f>
        <v>South</v>
      </c>
      <c r="M336" t="s">
        <v>212</v>
      </c>
      <c r="N336" t="s">
        <v>213</v>
      </c>
      <c r="O336" t="s">
        <v>83</v>
      </c>
      <c r="P336" t="str">
        <f>IF(TRIM(O336)="","Unknown",PROPER(TRIM(O336)))</f>
        <v>Technology</v>
      </c>
      <c r="Q336" t="s">
        <v>91</v>
      </c>
      <c r="R336" t="s">
        <v>2486</v>
      </c>
      <c r="S336" t="s">
        <v>55</v>
      </c>
      <c r="T336" t="str">
        <f>IF(TRIM(S336)="","Unknown",PROPER(TRIM(S336)))</f>
        <v>First Class</v>
      </c>
      <c r="U336">
        <v>3</v>
      </c>
      <c r="V336">
        <v>3545.08</v>
      </c>
      <c r="W336">
        <v>0</v>
      </c>
      <c r="Y336">
        <v>0</v>
      </c>
      <c r="Z336">
        <v>10635.24</v>
      </c>
      <c r="AA336">
        <v>6031.88</v>
      </c>
      <c r="AB336">
        <v>4603.3599999999997</v>
      </c>
      <c r="AC336" t="s">
        <v>186</v>
      </c>
      <c r="AD336" t="s">
        <v>120</v>
      </c>
      <c r="AE336">
        <f>ROUND((U336*V336)-(U336*V336*Y336),2)</f>
        <v>10635.24</v>
      </c>
      <c r="AF336">
        <f>AE336-AA336</f>
        <v>4603.3599999999997</v>
      </c>
      <c r="AG336" s="7">
        <f>ROUND((AF336/AE336),4)</f>
        <v>0.43280000000000002</v>
      </c>
      <c r="AH336" t="str">
        <f>IF(AND(C336&lt;&gt;"",E336&lt;&gt;""),E336 - C336,"")</f>
        <v/>
      </c>
      <c r="AI336" t="str">
        <f>IF(C336="","",TEXT(C336, "mmmm"))</f>
        <v>February</v>
      </c>
      <c r="AJ336">
        <f>IF(C336="","",YEAR(C336))</f>
        <v>2024</v>
      </c>
      <c r="AM336" t="s">
        <v>4144</v>
      </c>
      <c r="AN336" t="s">
        <v>4136</v>
      </c>
    </row>
    <row r="337" spans="1:40">
      <c r="A337" t="s">
        <v>2487</v>
      </c>
      <c r="B337" t="s">
        <v>3695</v>
      </c>
      <c r="C337" s="6">
        <v>45355</v>
      </c>
      <c r="D337" t="s">
        <v>795</v>
      </c>
      <c r="E337" s="6">
        <v>45360</v>
      </c>
      <c r="F337" t="s">
        <v>2488</v>
      </c>
      <c r="G337" t="s">
        <v>39</v>
      </c>
      <c r="H337" t="s">
        <v>39</v>
      </c>
      <c r="I337" t="s">
        <v>25</v>
      </c>
      <c r="J337" t="s">
        <v>25</v>
      </c>
      <c r="K337" t="s">
        <v>41</v>
      </c>
      <c r="L337" t="str">
        <f>IF(TRIM(K337)="","Unknown",PROPER(TRIM(K337)))</f>
        <v>East</v>
      </c>
      <c r="M337" t="s">
        <v>116</v>
      </c>
      <c r="N337" t="s">
        <v>117</v>
      </c>
      <c r="O337" t="s">
        <v>83</v>
      </c>
      <c r="P337" t="str">
        <f>IF(TRIM(O337)="","Unknown",PROPER(TRIM(O337)))</f>
        <v>Technology</v>
      </c>
      <c r="Q337" t="s">
        <v>84</v>
      </c>
      <c r="R337" t="s">
        <v>2489</v>
      </c>
      <c r="S337" t="s">
        <v>47</v>
      </c>
      <c r="T337" t="str">
        <f>IF(TRIM(S337)="","Unknown",PROPER(TRIM(S337)))</f>
        <v>Same Day</v>
      </c>
      <c r="U337">
        <v>8</v>
      </c>
      <c r="V337">
        <v>4401.41</v>
      </c>
      <c r="W337">
        <v>0.15</v>
      </c>
      <c r="Y337">
        <v>0.15</v>
      </c>
      <c r="Z337">
        <v>29929.59</v>
      </c>
      <c r="AA337">
        <v>22436.03</v>
      </c>
      <c r="AB337">
        <v>7493.56</v>
      </c>
      <c r="AC337" t="s">
        <v>33</v>
      </c>
      <c r="AD337" t="s">
        <v>34</v>
      </c>
      <c r="AE337">
        <f>ROUND((U337*V337)-(U337*V337*Y337),2)</f>
        <v>29929.59</v>
      </c>
      <c r="AF337">
        <f>AE337-AA337</f>
        <v>7493.5600000000013</v>
      </c>
      <c r="AG337" s="7">
        <f>ROUND((AF337/AE337),4)</f>
        <v>0.25040000000000001</v>
      </c>
      <c r="AH337">
        <f>IF(AND(C337&lt;&gt;"",E337&lt;&gt;""),E337 - C337,"")</f>
        <v>5</v>
      </c>
      <c r="AI337" t="str">
        <f>IF(C337="","",TEXT(C337, "mmmm"))</f>
        <v>March</v>
      </c>
      <c r="AJ337">
        <f>IF(C337="","",YEAR(C337))</f>
        <v>2024</v>
      </c>
      <c r="AM337" t="str">
        <f>IF(AN337="","clean","")</f>
        <v>clean</v>
      </c>
      <c r="AN337" t="s">
        <v>3595</v>
      </c>
    </row>
    <row r="338" spans="1:40">
      <c r="A338" t="s">
        <v>2493</v>
      </c>
      <c r="B338" t="s">
        <v>3950</v>
      </c>
      <c r="C338" s="6">
        <v>45554</v>
      </c>
      <c r="D338" t="s">
        <v>1002</v>
      </c>
      <c r="E338" s="6">
        <v>45556</v>
      </c>
      <c r="F338" t="s">
        <v>2494</v>
      </c>
      <c r="G338" t="s">
        <v>24</v>
      </c>
      <c r="H338" t="s">
        <v>24</v>
      </c>
      <c r="I338" t="s">
        <v>40</v>
      </c>
      <c r="J338" t="s">
        <v>40</v>
      </c>
      <c r="K338" t="s">
        <v>41</v>
      </c>
      <c r="L338" t="str">
        <f>IF(TRIM(K338)="","Unknown",PROPER(TRIM(K338)))</f>
        <v>East</v>
      </c>
      <c r="M338" t="s">
        <v>116</v>
      </c>
      <c r="N338" t="s">
        <v>117</v>
      </c>
      <c r="O338" t="s">
        <v>44</v>
      </c>
      <c r="P338" t="str">
        <f>IF(TRIM(O338)="","Unknown",PROPER(TRIM(O338)))</f>
        <v>Furniture</v>
      </c>
      <c r="Q338" t="s">
        <v>74</v>
      </c>
      <c r="R338" t="s">
        <v>2495</v>
      </c>
      <c r="S338" t="s">
        <v>55</v>
      </c>
      <c r="T338" t="str">
        <f>IF(TRIM(S338)="","Unknown",PROPER(TRIM(S338)))</f>
        <v>First Class</v>
      </c>
      <c r="U338">
        <v>3</v>
      </c>
      <c r="V338">
        <v>3981.76</v>
      </c>
      <c r="W338">
        <v>0</v>
      </c>
      <c r="Y338">
        <v>0</v>
      </c>
      <c r="Z338">
        <v>11945.28</v>
      </c>
      <c r="AA338">
        <v>9700.31</v>
      </c>
      <c r="AB338">
        <v>2244.9699999999998</v>
      </c>
      <c r="AC338" t="s">
        <v>33</v>
      </c>
      <c r="AD338" t="s">
        <v>34</v>
      </c>
      <c r="AE338">
        <f>ROUND((U338*V338)-(U338*V338*Y338),2)</f>
        <v>11945.28</v>
      </c>
      <c r="AF338">
        <f>AE338-AA338</f>
        <v>2244.9700000000012</v>
      </c>
      <c r="AG338" s="7">
        <f>ROUND((AF338/AE338),4)</f>
        <v>0.18790000000000001</v>
      </c>
      <c r="AH338">
        <f>IF(AND(C338&lt;&gt;"",E338&lt;&gt;""),E338 - C338,"")</f>
        <v>2</v>
      </c>
      <c r="AI338" t="str">
        <f>IF(C338="","",TEXT(C338, "mmmm"))</f>
        <v>September</v>
      </c>
      <c r="AJ338">
        <f>IF(C338="","",YEAR(C338))</f>
        <v>2024</v>
      </c>
      <c r="AM338" t="str">
        <f>IF(AN338="","clean","")</f>
        <v>clean</v>
      </c>
      <c r="AN338" t="s">
        <v>3595</v>
      </c>
    </row>
    <row r="339" spans="1:40">
      <c r="A339" t="s">
        <v>2500</v>
      </c>
      <c r="B339" t="s">
        <v>1267</v>
      </c>
      <c r="C339" s="6">
        <v>45392</v>
      </c>
      <c r="D339" t="s">
        <v>372</v>
      </c>
      <c r="E339" s="6">
        <v>45398</v>
      </c>
      <c r="F339" t="s">
        <v>2501</v>
      </c>
      <c r="G339" t="s">
        <v>103</v>
      </c>
      <c r="H339" t="s">
        <v>103</v>
      </c>
      <c r="I339" t="s">
        <v>25</v>
      </c>
      <c r="J339" t="s">
        <v>25</v>
      </c>
      <c r="K339" t="s">
        <v>60</v>
      </c>
      <c r="L339" t="str">
        <f>IF(TRIM(K339)="","Unknown",PROPER(TRIM(K339)))</f>
        <v>South</v>
      </c>
      <c r="M339" t="s">
        <v>224</v>
      </c>
      <c r="N339" t="s">
        <v>225</v>
      </c>
      <c r="O339" t="s">
        <v>44</v>
      </c>
      <c r="P339" t="str">
        <f>IF(TRIM(O339)="","Unknown",PROPER(TRIM(O339)))</f>
        <v>Furniture</v>
      </c>
      <c r="Q339" t="s">
        <v>74</v>
      </c>
      <c r="R339" t="s">
        <v>2502</v>
      </c>
      <c r="S339" t="s">
        <v>32</v>
      </c>
      <c r="T339" t="str">
        <f>IF(TRIM(S339)="","Unknown",PROPER(TRIM(S339)))</f>
        <v>Second Class</v>
      </c>
      <c r="U339">
        <v>9</v>
      </c>
      <c r="V339">
        <v>2723.26</v>
      </c>
      <c r="W339">
        <v>0.25</v>
      </c>
      <c r="Y339">
        <v>0.25</v>
      </c>
      <c r="Z339">
        <v>18382.009999999998</v>
      </c>
      <c r="AA339">
        <v>13108.2</v>
      </c>
      <c r="AB339">
        <v>5273.81</v>
      </c>
      <c r="AC339" t="s">
        <v>33</v>
      </c>
      <c r="AD339" t="s">
        <v>34</v>
      </c>
      <c r="AE339">
        <f>ROUND((U339*V339)-(U339*V339*Y339),2)</f>
        <v>18382.009999999998</v>
      </c>
      <c r="AF339">
        <f>AE339-AA339</f>
        <v>5273.8099999999977</v>
      </c>
      <c r="AG339" s="7">
        <f>ROUND((AF339/AE339),4)</f>
        <v>0.28689999999999999</v>
      </c>
      <c r="AH339">
        <f>IF(AND(C339&lt;&gt;"",E339&lt;&gt;""),E339 - C339,"")</f>
        <v>6</v>
      </c>
      <c r="AI339" t="str">
        <f>IF(C339="","",TEXT(C339, "mmmm"))</f>
        <v>April</v>
      </c>
      <c r="AJ339">
        <f>IF(C339="","",YEAR(C339))</f>
        <v>2024</v>
      </c>
      <c r="AM339" t="str">
        <f>IF(AN339="","clean","")</f>
        <v>clean</v>
      </c>
      <c r="AN339" t="s">
        <v>3595</v>
      </c>
    </row>
    <row r="340" spans="1:40">
      <c r="A340" t="s">
        <v>2507</v>
      </c>
      <c r="B340" t="s">
        <v>2140</v>
      </c>
      <c r="C340" s="6">
        <v>45521</v>
      </c>
      <c r="D340" t="s">
        <v>2508</v>
      </c>
      <c r="E340" s="6">
        <v>45528</v>
      </c>
      <c r="F340" t="s">
        <v>2509</v>
      </c>
      <c r="G340" t="s">
        <v>70</v>
      </c>
      <c r="H340" t="s">
        <v>70</v>
      </c>
      <c r="I340" t="s">
        <v>104</v>
      </c>
      <c r="J340" t="s">
        <v>104</v>
      </c>
      <c r="K340" t="s">
        <v>41</v>
      </c>
      <c r="L340" t="str">
        <f>IF(TRIM(K340)="","Unknown",PROPER(TRIM(K340)))</f>
        <v>East</v>
      </c>
      <c r="M340" t="s">
        <v>116</v>
      </c>
      <c r="N340" t="s">
        <v>117</v>
      </c>
      <c r="O340" t="s">
        <v>83</v>
      </c>
      <c r="P340" t="str">
        <f>IF(TRIM(O340)="","Unknown",PROPER(TRIM(O340)))</f>
        <v>Technology</v>
      </c>
      <c r="Q340" t="s">
        <v>91</v>
      </c>
      <c r="R340" t="s">
        <v>2510</v>
      </c>
      <c r="S340" t="s">
        <v>47</v>
      </c>
      <c r="T340" t="str">
        <f>IF(TRIM(S340)="","Unknown",PROPER(TRIM(S340)))</f>
        <v>Same Day</v>
      </c>
      <c r="U340">
        <v>3</v>
      </c>
      <c r="V340">
        <v>1490.69</v>
      </c>
      <c r="W340">
        <v>0.25</v>
      </c>
      <c r="Y340">
        <v>0.25</v>
      </c>
      <c r="Z340">
        <v>3354.05</v>
      </c>
      <c r="AA340">
        <v>2672.67</v>
      </c>
      <c r="AB340">
        <v>681.38</v>
      </c>
      <c r="AC340" t="s">
        <v>33</v>
      </c>
      <c r="AD340" t="s">
        <v>34</v>
      </c>
      <c r="AE340">
        <f>ROUND((U340*V340)-(U340*V340*Y340),2)</f>
        <v>3354.05</v>
      </c>
      <c r="AF340">
        <f>AE340-AA340</f>
        <v>681.38000000000011</v>
      </c>
      <c r="AG340" s="7">
        <f>ROUND((AF340/AE340),4)</f>
        <v>0.20319999999999999</v>
      </c>
      <c r="AH340">
        <f>IF(AND(C340&lt;&gt;"",E340&lt;&gt;""),E340 - C340,"")</f>
        <v>7</v>
      </c>
      <c r="AI340" t="str">
        <f>IF(C340="","",TEXT(C340, "mmmm"))</f>
        <v>August</v>
      </c>
      <c r="AJ340">
        <f>IF(C340="","",YEAR(C340))</f>
        <v>2024</v>
      </c>
      <c r="AM340" t="str">
        <f>IF(AN340="","clean","")</f>
        <v>clean</v>
      </c>
      <c r="AN340" t="s">
        <v>3595</v>
      </c>
    </row>
    <row r="341" spans="1:40">
      <c r="A341" t="s">
        <v>2507</v>
      </c>
      <c r="B341" t="s">
        <v>2140</v>
      </c>
      <c r="C341" s="6">
        <v>45521</v>
      </c>
      <c r="D341" t="s">
        <v>2508</v>
      </c>
      <c r="E341" s="6">
        <v>45528</v>
      </c>
      <c r="F341" t="s">
        <v>2509</v>
      </c>
      <c r="G341" t="s">
        <v>70</v>
      </c>
      <c r="H341" t="s">
        <v>70</v>
      </c>
      <c r="I341" t="s">
        <v>104</v>
      </c>
      <c r="J341" t="s">
        <v>104</v>
      </c>
      <c r="K341" t="s">
        <v>41</v>
      </c>
      <c r="L341" t="str">
        <f>IF(TRIM(K341)="","Unknown",PROPER(TRIM(K341)))</f>
        <v>East</v>
      </c>
      <c r="M341" t="s">
        <v>116</v>
      </c>
      <c r="N341" t="s">
        <v>117</v>
      </c>
      <c r="O341" t="s">
        <v>83</v>
      </c>
      <c r="P341" t="str">
        <f>IF(TRIM(O341)="","Unknown",PROPER(TRIM(O341)))</f>
        <v>Technology</v>
      </c>
      <c r="Q341" t="s">
        <v>91</v>
      </c>
      <c r="R341" t="s">
        <v>2510</v>
      </c>
      <c r="S341" t="s">
        <v>47</v>
      </c>
      <c r="T341" t="str">
        <f>IF(TRIM(S341)="","Unknown",PROPER(TRIM(S341)))</f>
        <v>Same Day</v>
      </c>
      <c r="U341">
        <v>3</v>
      </c>
      <c r="V341">
        <v>1490.69</v>
      </c>
      <c r="W341">
        <v>0.25</v>
      </c>
      <c r="Y341">
        <v>0.25</v>
      </c>
      <c r="Z341">
        <v>3354.05</v>
      </c>
      <c r="AA341">
        <v>2672.67</v>
      </c>
      <c r="AB341">
        <v>681.38</v>
      </c>
      <c r="AC341" t="s">
        <v>33</v>
      </c>
      <c r="AD341" t="s">
        <v>34</v>
      </c>
      <c r="AE341">
        <f>ROUND((U341*V341)-(U341*V341*Y341),2)</f>
        <v>3354.05</v>
      </c>
      <c r="AF341">
        <f>AE341-AA341</f>
        <v>681.38000000000011</v>
      </c>
      <c r="AG341" s="7">
        <f>ROUND((AF341/AE341),4)</f>
        <v>0.20319999999999999</v>
      </c>
      <c r="AH341">
        <f>IF(AND(C341&lt;&gt;"",E341&lt;&gt;""),E341 - C341,"")</f>
        <v>7</v>
      </c>
      <c r="AI341" t="str">
        <f>IF(C341="","",TEXT(C341, "mmmm"))</f>
        <v>August</v>
      </c>
      <c r="AJ341">
        <f>IF(C341="","",YEAR(C341))</f>
        <v>2024</v>
      </c>
      <c r="AL341" t="s">
        <v>4152</v>
      </c>
      <c r="AM341" t="s">
        <v>4144</v>
      </c>
      <c r="AN341" t="s">
        <v>4149</v>
      </c>
    </row>
    <row r="342" spans="1:40">
      <c r="A342" t="s">
        <v>2511</v>
      </c>
      <c r="B342" t="s">
        <v>2512</v>
      </c>
      <c r="C342" s="6">
        <v>45523</v>
      </c>
      <c r="D342" t="s">
        <v>1431</v>
      </c>
      <c r="E342" s="6">
        <v>45525</v>
      </c>
      <c r="F342" t="s">
        <v>2513</v>
      </c>
      <c r="G342" t="s">
        <v>59</v>
      </c>
      <c r="H342" t="s">
        <v>59</v>
      </c>
      <c r="I342" t="s">
        <v>25</v>
      </c>
      <c r="J342" t="s">
        <v>25</v>
      </c>
      <c r="K342" t="s">
        <v>26</v>
      </c>
      <c r="L342" t="str">
        <f>IF(TRIM(K342)="","Unknown",PROPER(TRIM(K342)))</f>
        <v>North</v>
      </c>
      <c r="M342" t="s">
        <v>146</v>
      </c>
      <c r="N342" t="s">
        <v>147</v>
      </c>
      <c r="O342" t="s">
        <v>83</v>
      </c>
      <c r="P342" t="str">
        <f>IF(TRIM(O342)="","Unknown",PROPER(TRIM(O342)))</f>
        <v>Technology</v>
      </c>
      <c r="Q342" t="s">
        <v>207</v>
      </c>
      <c r="R342" t="s">
        <v>2514</v>
      </c>
      <c r="S342" t="s">
        <v>55</v>
      </c>
      <c r="T342" t="str">
        <f>IF(TRIM(S342)="","Unknown",PROPER(TRIM(S342)))</f>
        <v>First Class</v>
      </c>
      <c r="U342">
        <v>3</v>
      </c>
      <c r="V342">
        <v>1103.54</v>
      </c>
      <c r="W342">
        <v>0.25</v>
      </c>
      <c r="Y342">
        <v>0.25</v>
      </c>
      <c r="Z342">
        <v>2482.9699999999998</v>
      </c>
      <c r="AA342">
        <v>1621.72</v>
      </c>
      <c r="AB342">
        <v>861.25</v>
      </c>
      <c r="AC342" t="s">
        <v>33</v>
      </c>
      <c r="AD342" t="s">
        <v>34</v>
      </c>
      <c r="AE342">
        <f>ROUND((U342*V342)-(U342*V342*Y342),2)</f>
        <v>2482.9699999999998</v>
      </c>
      <c r="AF342">
        <f>AE342-AA342</f>
        <v>861.24999999999977</v>
      </c>
      <c r="AG342" s="7">
        <f>ROUND((AF342/AE342),4)</f>
        <v>0.34689999999999999</v>
      </c>
      <c r="AH342">
        <f>IF(AND(C342&lt;&gt;"",E342&lt;&gt;""),E342 - C342,"")</f>
        <v>2</v>
      </c>
      <c r="AI342" t="str">
        <f>IF(C342="","",TEXT(C342, "mmmm"))</f>
        <v>August</v>
      </c>
      <c r="AJ342">
        <f>IF(C342="","",YEAR(C342))</f>
        <v>2024</v>
      </c>
      <c r="AM342" t="str">
        <f>IF(AN342="","clean","")</f>
        <v>clean</v>
      </c>
      <c r="AN342" t="s">
        <v>3595</v>
      </c>
    </row>
    <row r="343" spans="1:40">
      <c r="A343" t="s">
        <v>2519</v>
      </c>
      <c r="B343" t="s">
        <v>3953</v>
      </c>
      <c r="C343" s="6">
        <v>45317</v>
      </c>
      <c r="D343" t="s">
        <v>2520</v>
      </c>
      <c r="E343" s="6">
        <v>45322</v>
      </c>
      <c r="F343" t="s">
        <v>2521</v>
      </c>
      <c r="G343" t="s">
        <v>70</v>
      </c>
      <c r="H343" t="s">
        <v>70</v>
      </c>
      <c r="I343" t="s">
        <v>110</v>
      </c>
      <c r="J343" t="s">
        <v>110</v>
      </c>
      <c r="K343" t="s">
        <v>41</v>
      </c>
      <c r="L343" t="str">
        <f>IF(TRIM(K343)="","Unknown",PROPER(TRIM(K343)))</f>
        <v>East</v>
      </c>
      <c r="M343" t="s">
        <v>116</v>
      </c>
      <c r="N343" t="s">
        <v>117</v>
      </c>
      <c r="O343" t="s">
        <v>29</v>
      </c>
      <c r="P343" t="str">
        <f>IF(TRIM(O343)="","Unknown",PROPER(TRIM(O343)))</f>
        <v>Office Supplies</v>
      </c>
      <c r="Q343" t="s">
        <v>30</v>
      </c>
      <c r="R343" t="s">
        <v>2522</v>
      </c>
      <c r="S343" t="s">
        <v>32</v>
      </c>
      <c r="T343" t="str">
        <f>IF(TRIM(S343)="","Unknown",PROPER(TRIM(S343)))</f>
        <v>Second Class</v>
      </c>
      <c r="U343">
        <v>5</v>
      </c>
      <c r="V343">
        <v>1615.03</v>
      </c>
      <c r="W343">
        <v>0.2</v>
      </c>
      <c r="Y343">
        <v>0.2</v>
      </c>
      <c r="Z343">
        <v>6460.12</v>
      </c>
      <c r="AA343">
        <v>3604.03</v>
      </c>
      <c r="AB343">
        <v>2856.09</v>
      </c>
      <c r="AC343" t="s">
        <v>33</v>
      </c>
      <c r="AD343" t="s">
        <v>34</v>
      </c>
      <c r="AE343">
        <f>ROUND((U343*V343)-(U343*V343*Y343),2)</f>
        <v>6460.12</v>
      </c>
      <c r="AF343">
        <f>AE343-AA343</f>
        <v>2856.0899999999997</v>
      </c>
      <c r="AG343" s="7">
        <f>ROUND((AF343/AE343),4)</f>
        <v>0.44209999999999999</v>
      </c>
      <c r="AH343">
        <f>IF(AND(C343&lt;&gt;"",E343&lt;&gt;""),E343 - C343,"")</f>
        <v>5</v>
      </c>
      <c r="AI343" t="str">
        <f>IF(C343="","",TEXT(C343, "mmmm"))</f>
        <v>January</v>
      </c>
      <c r="AJ343">
        <f>IF(C343="","",YEAR(C343))</f>
        <v>2024</v>
      </c>
      <c r="AM343" t="str">
        <f>IF(AN343="","clean","")</f>
        <v>clean</v>
      </c>
      <c r="AN343" t="s">
        <v>3595</v>
      </c>
    </row>
    <row r="344" spans="1:40">
      <c r="A344" t="s">
        <v>2523</v>
      </c>
      <c r="B344" t="s">
        <v>3954</v>
      </c>
      <c r="D344" t="s">
        <v>2524</v>
      </c>
      <c r="E344" s="6">
        <v>45595</v>
      </c>
      <c r="F344" t="s">
        <v>2525</v>
      </c>
      <c r="G344" t="s">
        <v>153</v>
      </c>
      <c r="H344" t="s">
        <v>153</v>
      </c>
      <c r="I344" t="s">
        <v>25</v>
      </c>
      <c r="J344" t="s">
        <v>25</v>
      </c>
      <c r="K344" t="s">
        <v>41</v>
      </c>
      <c r="L344" t="str">
        <f>IF(TRIM(K344)="","Unknown",PROPER(TRIM(K344)))</f>
        <v>East</v>
      </c>
      <c r="M344" t="s">
        <v>284</v>
      </c>
      <c r="N344" t="s">
        <v>285</v>
      </c>
      <c r="O344" t="s">
        <v>83</v>
      </c>
      <c r="P344" t="str">
        <f>IF(TRIM(O344)="","Unknown",PROPER(TRIM(O344)))</f>
        <v>Technology</v>
      </c>
      <c r="Q344" t="s">
        <v>91</v>
      </c>
      <c r="R344" t="s">
        <v>2526</v>
      </c>
      <c r="S344" t="s">
        <v>32</v>
      </c>
      <c r="T344" t="str">
        <f>IF(TRIM(S344)="","Unknown",PROPER(TRIM(S344)))</f>
        <v>Second Class</v>
      </c>
      <c r="U344">
        <v>9</v>
      </c>
      <c r="V344">
        <v>3423.82</v>
      </c>
      <c r="W344">
        <v>0.15</v>
      </c>
      <c r="Y344">
        <v>0.15</v>
      </c>
      <c r="Z344">
        <v>26192.22</v>
      </c>
      <c r="AA344">
        <v>20795.55</v>
      </c>
      <c r="AB344">
        <v>5396.67</v>
      </c>
      <c r="AC344" t="s">
        <v>33</v>
      </c>
      <c r="AD344" t="s">
        <v>34</v>
      </c>
      <c r="AE344">
        <f>ROUND((U344*V344)-(U344*V344*Y344),2)</f>
        <v>26192.22</v>
      </c>
      <c r="AF344">
        <f>AE344-AA344</f>
        <v>5396.6700000000019</v>
      </c>
      <c r="AG344" s="7">
        <f>ROUND((AF344/AE344),4)</f>
        <v>0.20599999999999999</v>
      </c>
      <c r="AH344" t="str">
        <f>IF(AND(C344&lt;&gt;"",E344&lt;&gt;""),E344 - C344,"")</f>
        <v/>
      </c>
      <c r="AI344" t="str">
        <f>IF(C344="","",TEXT(C344, "mmmm"))</f>
        <v/>
      </c>
      <c r="AJ344" t="str">
        <f>IF(C344="","",YEAR(C344))</f>
        <v/>
      </c>
      <c r="AM344" t="s">
        <v>4144</v>
      </c>
      <c r="AN344" t="s">
        <v>4127</v>
      </c>
    </row>
    <row r="345" spans="1:40">
      <c r="A345" t="s">
        <v>2545</v>
      </c>
      <c r="B345" t="s">
        <v>1892</v>
      </c>
      <c r="C345" s="6">
        <v>45464</v>
      </c>
      <c r="D345" t="s">
        <v>1370</v>
      </c>
      <c r="E345" s="6">
        <v>45466</v>
      </c>
      <c r="F345" t="s">
        <v>2256</v>
      </c>
      <c r="G345" t="s">
        <v>24</v>
      </c>
      <c r="H345" t="s">
        <v>24</v>
      </c>
      <c r="I345" t="s">
        <v>110</v>
      </c>
      <c r="J345" t="s">
        <v>110</v>
      </c>
      <c r="K345" t="s">
        <v>71</v>
      </c>
      <c r="L345" t="str">
        <f>IF(TRIM(K345)="","Unknown",PROPER(TRIM(K345)))</f>
        <v>West</v>
      </c>
      <c r="M345" t="s">
        <v>230</v>
      </c>
      <c r="N345" t="s">
        <v>231</v>
      </c>
      <c r="O345" t="s">
        <v>44</v>
      </c>
      <c r="P345" t="str">
        <f>IF(TRIM(O345)="","Unknown",PROPER(TRIM(O345)))</f>
        <v>Furniture</v>
      </c>
      <c r="Q345" t="s">
        <v>63</v>
      </c>
      <c r="R345" t="s">
        <v>2546</v>
      </c>
      <c r="S345" t="s">
        <v>32</v>
      </c>
      <c r="T345" t="str">
        <f>IF(TRIM(S345)="","Unknown",PROPER(TRIM(S345)))</f>
        <v>Second Class</v>
      </c>
      <c r="U345">
        <v>9</v>
      </c>
      <c r="V345">
        <v>2153.75</v>
      </c>
      <c r="W345">
        <v>0</v>
      </c>
      <c r="Y345">
        <v>0</v>
      </c>
      <c r="Z345">
        <v>19383.75</v>
      </c>
      <c r="AA345">
        <v>11667.43</v>
      </c>
      <c r="AB345">
        <v>7716.32</v>
      </c>
      <c r="AC345" t="s">
        <v>33</v>
      </c>
      <c r="AD345" t="s">
        <v>34</v>
      </c>
      <c r="AE345">
        <f>ROUND((U345*V345)-(U345*V345*Y345),2)</f>
        <v>19383.75</v>
      </c>
      <c r="AF345">
        <f>AE345-AA345</f>
        <v>7716.32</v>
      </c>
      <c r="AG345" s="7">
        <f>ROUND((AF345/AE345),4)</f>
        <v>0.39810000000000001</v>
      </c>
      <c r="AH345">
        <f>IF(AND(C345&lt;&gt;"",E345&lt;&gt;""),E345 - C345,"")</f>
        <v>2</v>
      </c>
      <c r="AI345" t="str">
        <f>IF(C345="","",TEXT(C345, "mmmm"))</f>
        <v>June</v>
      </c>
      <c r="AJ345">
        <f>IF(C345="","",YEAR(C345))</f>
        <v>2024</v>
      </c>
      <c r="AM345" t="str">
        <f>IF(AN345="","clean","")</f>
        <v>clean</v>
      </c>
      <c r="AN345" t="s">
        <v>3595</v>
      </c>
    </row>
    <row r="346" spans="1:40">
      <c r="A346" t="s">
        <v>2550</v>
      </c>
      <c r="B346" t="s">
        <v>3956</v>
      </c>
      <c r="C346" s="6">
        <v>45432</v>
      </c>
      <c r="D346" t="s">
        <v>2551</v>
      </c>
      <c r="E346" s="6">
        <v>45432</v>
      </c>
      <c r="F346" t="s">
        <v>1830</v>
      </c>
      <c r="G346" t="s">
        <v>24</v>
      </c>
      <c r="H346" t="s">
        <v>24</v>
      </c>
      <c r="I346" t="s">
        <v>110</v>
      </c>
      <c r="J346" t="s">
        <v>110</v>
      </c>
      <c r="K346" t="s">
        <v>71</v>
      </c>
      <c r="L346" t="str">
        <f>IF(TRIM(K346)="","Unknown",PROPER(TRIM(K346)))</f>
        <v>West</v>
      </c>
      <c r="M346" t="s">
        <v>81</v>
      </c>
      <c r="N346" t="s">
        <v>82</v>
      </c>
      <c r="O346" t="s">
        <v>44</v>
      </c>
      <c r="P346" t="str">
        <f>IF(TRIM(O346)="","Unknown",PROPER(TRIM(O346)))</f>
        <v>Furniture</v>
      </c>
      <c r="Q346" t="s">
        <v>74</v>
      </c>
      <c r="R346" t="s">
        <v>2552</v>
      </c>
      <c r="S346" t="s">
        <v>65</v>
      </c>
      <c r="T346" t="str">
        <f>IF(TRIM(S346)="","Unknown",PROPER(TRIM(S346)))</f>
        <v>Standard Class</v>
      </c>
      <c r="U346">
        <v>1</v>
      </c>
      <c r="V346">
        <v>3032.95</v>
      </c>
      <c r="W346">
        <v>0.1</v>
      </c>
      <c r="Y346">
        <v>0.1</v>
      </c>
      <c r="Z346">
        <v>2729.65</v>
      </c>
      <c r="AA346">
        <v>1715.36</v>
      </c>
      <c r="AB346">
        <v>1014.29</v>
      </c>
      <c r="AC346" t="s">
        <v>33</v>
      </c>
      <c r="AD346" t="s">
        <v>34</v>
      </c>
      <c r="AE346">
        <f>ROUND((U346*V346)-(U346*V346*Y346),2)</f>
        <v>2729.66</v>
      </c>
      <c r="AF346">
        <f>AE346-AA346</f>
        <v>1014.3</v>
      </c>
      <c r="AG346" s="7">
        <f>ROUND((AF346/AE346),4)</f>
        <v>0.37159999999999999</v>
      </c>
      <c r="AH346">
        <f>IF(AND(C346&lt;&gt;"",E346&lt;&gt;""),E346 - C346,"")</f>
        <v>0</v>
      </c>
      <c r="AI346" t="str">
        <f>IF(C346="","",TEXT(C346, "mmmm"))</f>
        <v>May</v>
      </c>
      <c r="AJ346">
        <f>IF(C346="","",YEAR(C346))</f>
        <v>2024</v>
      </c>
      <c r="AM346" t="str">
        <f>IF(AN346="","clean","")</f>
        <v>clean</v>
      </c>
    </row>
    <row r="347" spans="1:40">
      <c r="A347" t="s">
        <v>2561</v>
      </c>
      <c r="B347" t="s">
        <v>2147</v>
      </c>
      <c r="C347" s="6">
        <v>45570</v>
      </c>
      <c r="D347" t="s">
        <v>2562</v>
      </c>
      <c r="E347" s="6">
        <v>45575</v>
      </c>
      <c r="F347" t="s">
        <v>2563</v>
      </c>
      <c r="G347" t="s">
        <v>196</v>
      </c>
      <c r="H347" t="s">
        <v>196</v>
      </c>
      <c r="I347" t="s">
        <v>110</v>
      </c>
      <c r="J347" t="s">
        <v>110</v>
      </c>
      <c r="K347" t="s">
        <v>71</v>
      </c>
      <c r="L347" t="str">
        <f>IF(TRIM(K347)="","Unknown",PROPER(TRIM(K347)))</f>
        <v>West</v>
      </c>
      <c r="M347" t="s">
        <v>218</v>
      </c>
      <c r="N347" t="s">
        <v>219</v>
      </c>
      <c r="O347" t="s">
        <v>83</v>
      </c>
      <c r="P347" t="str">
        <f>IF(TRIM(O347)="","Unknown",PROPER(TRIM(O347)))</f>
        <v>Technology</v>
      </c>
      <c r="Q347" t="s">
        <v>347</v>
      </c>
      <c r="R347" t="s">
        <v>2564</v>
      </c>
      <c r="S347" t="s">
        <v>47</v>
      </c>
      <c r="T347" t="str">
        <f>IF(TRIM(S347)="","Unknown",PROPER(TRIM(S347)))</f>
        <v>Same Day</v>
      </c>
      <c r="U347">
        <v>9</v>
      </c>
      <c r="V347">
        <v>3361.3</v>
      </c>
      <c r="W347">
        <v>0.25</v>
      </c>
      <c r="Y347">
        <v>0.25</v>
      </c>
      <c r="Z347">
        <v>22688.78</v>
      </c>
      <c r="AA347">
        <v>14672.41</v>
      </c>
      <c r="AB347">
        <v>8016.37</v>
      </c>
      <c r="AC347" t="s">
        <v>33</v>
      </c>
      <c r="AD347" t="s">
        <v>34</v>
      </c>
      <c r="AE347">
        <f>ROUND((U347*V347)-(U347*V347*Y347),2)</f>
        <v>22688.78</v>
      </c>
      <c r="AF347">
        <f>AE347-AA347</f>
        <v>8016.369999999999</v>
      </c>
      <c r="AG347" s="7">
        <f>ROUND((AF347/AE347),4)</f>
        <v>0.3533</v>
      </c>
      <c r="AH347">
        <f>IF(AND(C347&lt;&gt;"",E347&lt;&gt;""),E347 - C347,"")</f>
        <v>5</v>
      </c>
      <c r="AI347" t="str">
        <f>IF(C347="","",TEXT(C347, "mmmm"))</f>
        <v>October</v>
      </c>
      <c r="AJ347">
        <f>IF(C347="","",YEAR(C347))</f>
        <v>2024</v>
      </c>
      <c r="AM347" t="str">
        <f>IF(AN347="","clean","")</f>
        <v>clean</v>
      </c>
      <c r="AN347" t="s">
        <v>3595</v>
      </c>
    </row>
    <row r="348" spans="1:40">
      <c r="A348" t="s">
        <v>2565</v>
      </c>
      <c r="B348" t="s">
        <v>3885</v>
      </c>
      <c r="C348" s="6">
        <v>45333</v>
      </c>
      <c r="D348" t="s">
        <v>2566</v>
      </c>
      <c r="E348" s="6">
        <v>45341</v>
      </c>
      <c r="F348" t="s">
        <v>2567</v>
      </c>
      <c r="G348" t="s">
        <v>70</v>
      </c>
      <c r="H348" t="s">
        <v>70</v>
      </c>
      <c r="I348" t="s">
        <v>110</v>
      </c>
      <c r="J348" t="s">
        <v>110</v>
      </c>
      <c r="K348" t="s">
        <v>60</v>
      </c>
      <c r="L348" t="str">
        <f>IF(TRIM(K348)="","Unknown",PROPER(TRIM(K348)))</f>
        <v>South</v>
      </c>
      <c r="M348" t="s">
        <v>61</v>
      </c>
      <c r="N348" t="s">
        <v>62</v>
      </c>
      <c r="O348" t="s">
        <v>44</v>
      </c>
      <c r="P348" t="str">
        <f>IF(TRIM(O348)="","Unknown",PROPER(TRIM(O348)))</f>
        <v>Furniture</v>
      </c>
      <c r="Q348" t="s">
        <v>74</v>
      </c>
      <c r="R348" t="s">
        <v>2568</v>
      </c>
      <c r="S348" t="s">
        <v>65</v>
      </c>
      <c r="T348" t="str">
        <f>IF(TRIM(S348)="","Unknown",PROPER(TRIM(S348)))</f>
        <v>Standard Class</v>
      </c>
      <c r="U348">
        <v>8</v>
      </c>
      <c r="V348">
        <v>3398.32</v>
      </c>
      <c r="W348">
        <v>0.25</v>
      </c>
      <c r="Y348">
        <v>0.25</v>
      </c>
      <c r="Z348">
        <v>20389.919999999998</v>
      </c>
      <c r="AA348">
        <v>16661.080000000002</v>
      </c>
      <c r="AB348">
        <v>3728.84</v>
      </c>
      <c r="AC348" t="s">
        <v>119</v>
      </c>
      <c r="AD348" t="s">
        <v>76</v>
      </c>
      <c r="AE348">
        <f>ROUND((U348*V348)-(U348*V348*Y348),2)</f>
        <v>20389.919999999998</v>
      </c>
      <c r="AF348">
        <f>AE348-AA348</f>
        <v>3728.8399999999965</v>
      </c>
      <c r="AG348" s="7">
        <f>ROUND((AF348/AE348),4)</f>
        <v>0.18290000000000001</v>
      </c>
      <c r="AH348">
        <f>IF(AND(C348&lt;&gt;"",E348&lt;&gt;""),E348 - C348,"")</f>
        <v>8</v>
      </c>
      <c r="AI348" t="str">
        <f>IF(C348="","",TEXT(C348, "mmmm"))</f>
        <v>February</v>
      </c>
      <c r="AJ348">
        <f>IF(C348="","",YEAR(C348))</f>
        <v>2024</v>
      </c>
      <c r="AM348" t="str">
        <f>IF(AN348="","clean","")</f>
        <v>clean</v>
      </c>
      <c r="AN348" t="s">
        <v>3595</v>
      </c>
    </row>
    <row r="349" spans="1:40">
      <c r="A349" t="s">
        <v>2569</v>
      </c>
      <c r="B349" t="s">
        <v>3958</v>
      </c>
      <c r="C349" s="6">
        <v>45569</v>
      </c>
      <c r="D349" t="s">
        <v>2570</v>
      </c>
      <c r="E349" s="6">
        <v>45572</v>
      </c>
      <c r="F349" t="s">
        <v>2571</v>
      </c>
      <c r="G349" t="s">
        <v>141</v>
      </c>
      <c r="H349" t="s">
        <v>141</v>
      </c>
      <c r="I349" t="s">
        <v>104</v>
      </c>
      <c r="J349" t="s">
        <v>104</v>
      </c>
      <c r="K349" t="s">
        <v>60</v>
      </c>
      <c r="L349" t="str">
        <f>IF(TRIM(K349)="","Unknown",PROPER(TRIM(K349)))</f>
        <v>South</v>
      </c>
      <c r="M349" t="s">
        <v>224</v>
      </c>
      <c r="N349" t="s">
        <v>225</v>
      </c>
      <c r="O349" t="s">
        <v>29</v>
      </c>
      <c r="P349" t="str">
        <f>IF(TRIM(O349)="","Unknown",PROPER(TRIM(O349)))</f>
        <v>Office Supplies</v>
      </c>
      <c r="Q349" t="s">
        <v>53</v>
      </c>
      <c r="R349" t="s">
        <v>2572</v>
      </c>
      <c r="S349" t="s">
        <v>32</v>
      </c>
      <c r="T349" t="str">
        <f>IF(TRIM(S349)="","Unknown",PROPER(TRIM(S349)))</f>
        <v>Second Class</v>
      </c>
      <c r="U349">
        <v>2</v>
      </c>
      <c r="V349">
        <v>3144.38</v>
      </c>
      <c r="W349">
        <v>0.1</v>
      </c>
      <c r="Y349">
        <v>0.06</v>
      </c>
      <c r="Z349">
        <v>5904.57</v>
      </c>
      <c r="AA349">
        <v>4337.79</v>
      </c>
      <c r="AB349">
        <v>1322.09</v>
      </c>
      <c r="AC349" t="s">
        <v>33</v>
      </c>
      <c r="AD349" t="s">
        <v>34</v>
      </c>
      <c r="AE349">
        <f>ROUND((U349*V349)-(U349*V349*Y349),2)</f>
        <v>5911.43</v>
      </c>
      <c r="AF349">
        <f>AE349-AA349</f>
        <v>1573.6400000000003</v>
      </c>
      <c r="AG349" s="7">
        <f>ROUND((AF349/AE349),4)</f>
        <v>0.26619999999999999</v>
      </c>
      <c r="AH349">
        <f>IF(AND(C349&lt;&gt;"",E349&lt;&gt;""),E349 - C349,"")</f>
        <v>3</v>
      </c>
      <c r="AI349" t="str">
        <f>IF(C349="","",TEXT(C349, "mmmm"))</f>
        <v>October</v>
      </c>
      <c r="AJ349">
        <f>IF(C349="","",YEAR(C349))</f>
        <v>2024</v>
      </c>
      <c r="AM349" t="s">
        <v>4145</v>
      </c>
      <c r="AN349" t="s">
        <v>3596</v>
      </c>
    </row>
    <row r="350" spans="1:40">
      <c r="A350" t="s">
        <v>2573</v>
      </c>
      <c r="B350" t="s">
        <v>3959</v>
      </c>
      <c r="C350" s="6">
        <v>45520</v>
      </c>
      <c r="D350" t="s">
        <v>2512</v>
      </c>
      <c r="E350" s="6">
        <v>45523</v>
      </c>
      <c r="F350" t="s">
        <v>2574</v>
      </c>
      <c r="G350" t="s">
        <v>334</v>
      </c>
      <c r="H350" t="s">
        <v>334</v>
      </c>
      <c r="I350" t="s">
        <v>25</v>
      </c>
      <c r="J350" t="s">
        <v>25</v>
      </c>
      <c r="K350" t="s">
        <v>60</v>
      </c>
      <c r="L350" t="str">
        <f>IF(TRIM(K350)="","Unknown",PROPER(TRIM(K350)))</f>
        <v>South</v>
      </c>
      <c r="M350" t="s">
        <v>61</v>
      </c>
      <c r="N350" t="s">
        <v>62</v>
      </c>
      <c r="O350" t="s">
        <v>29</v>
      </c>
      <c r="P350" t="str">
        <f>IF(TRIM(O350)="","Unknown",PROPER(TRIM(O350)))</f>
        <v>Office Supplies</v>
      </c>
      <c r="Q350" t="s">
        <v>30</v>
      </c>
      <c r="R350" t="s">
        <v>2575</v>
      </c>
      <c r="S350" t="s">
        <v>65</v>
      </c>
      <c r="T350" t="str">
        <f>IF(TRIM(S350)="","Unknown",PROPER(TRIM(S350)))</f>
        <v>Standard Class</v>
      </c>
      <c r="U350">
        <v>6</v>
      </c>
      <c r="V350">
        <v>3925.55</v>
      </c>
      <c r="W350">
        <v>0.2</v>
      </c>
      <c r="Y350">
        <v>0.2</v>
      </c>
      <c r="Z350">
        <v>18842.64</v>
      </c>
      <c r="AA350">
        <v>11840.58</v>
      </c>
      <c r="AB350">
        <v>7002.06</v>
      </c>
      <c r="AC350" t="s">
        <v>33</v>
      </c>
      <c r="AD350" t="s">
        <v>34</v>
      </c>
      <c r="AE350">
        <f>ROUND((U350*V350)-(U350*V350*Y350),2)</f>
        <v>18842.64</v>
      </c>
      <c r="AF350">
        <f>AE350-AA350</f>
        <v>7002.0599999999995</v>
      </c>
      <c r="AG350" s="7">
        <f>ROUND((AF350/AE350),4)</f>
        <v>0.37159999999999999</v>
      </c>
      <c r="AH350">
        <f>IF(AND(C350&lt;&gt;"",E350&lt;&gt;""),E350 - C350,"")</f>
        <v>3</v>
      </c>
      <c r="AI350" t="str">
        <f>IF(C350="","",TEXT(C350, "mmmm"))</f>
        <v>August</v>
      </c>
      <c r="AJ350">
        <f>IF(C350="","",YEAR(C350))</f>
        <v>2024</v>
      </c>
      <c r="AM350" t="str">
        <f>IF(AN350="","clean","")</f>
        <v>clean</v>
      </c>
      <c r="AN350" t="s">
        <v>3595</v>
      </c>
    </row>
    <row r="351" spans="1:40">
      <c r="A351" t="s">
        <v>2576</v>
      </c>
      <c r="B351" t="s">
        <v>3960</v>
      </c>
      <c r="C351" s="6">
        <v>45564</v>
      </c>
      <c r="D351" t="s">
        <v>863</v>
      </c>
      <c r="E351" s="6">
        <v>45565</v>
      </c>
      <c r="F351" t="s">
        <v>2577</v>
      </c>
      <c r="G351" t="s">
        <v>39</v>
      </c>
      <c r="H351" t="s">
        <v>39</v>
      </c>
      <c r="I351" t="s">
        <v>110</v>
      </c>
      <c r="J351" t="s">
        <v>110</v>
      </c>
      <c r="K351" t="s">
        <v>60</v>
      </c>
      <c r="L351" t="str">
        <f>IF(TRIM(K351)="","Unknown",PROPER(TRIM(K351)))</f>
        <v>South</v>
      </c>
      <c r="M351" t="s">
        <v>61</v>
      </c>
      <c r="N351" t="s">
        <v>62</v>
      </c>
      <c r="O351" t="s">
        <v>83</v>
      </c>
      <c r="P351" t="str">
        <f>IF(TRIM(O351)="","Unknown",PROPER(TRIM(O351)))</f>
        <v>Technology</v>
      </c>
      <c r="Q351" t="s">
        <v>207</v>
      </c>
      <c r="R351" t="s">
        <v>2578</v>
      </c>
      <c r="S351" t="s">
        <v>65</v>
      </c>
      <c r="T351" t="str">
        <f>IF(TRIM(S351)="","Unknown",PROPER(TRIM(S351)))</f>
        <v>Standard Class</v>
      </c>
      <c r="U351">
        <v>9</v>
      </c>
      <c r="V351">
        <v>2741.91</v>
      </c>
      <c r="W351">
        <v>0</v>
      </c>
      <c r="Y351">
        <v>0</v>
      </c>
      <c r="Z351">
        <v>24677.19</v>
      </c>
      <c r="AA351">
        <v>20350.849999999999</v>
      </c>
      <c r="AB351">
        <v>4326.34</v>
      </c>
      <c r="AC351" t="s">
        <v>33</v>
      </c>
      <c r="AD351" t="s">
        <v>34</v>
      </c>
      <c r="AE351">
        <f>ROUND((U351*V351)-(U351*V351*Y351),2)</f>
        <v>24677.19</v>
      </c>
      <c r="AF351">
        <f>AE351-AA351</f>
        <v>4326.34</v>
      </c>
      <c r="AG351" s="7">
        <f>ROUND((AF351/AE351),4)</f>
        <v>0.17530000000000001</v>
      </c>
      <c r="AH351">
        <f>IF(AND(C351&lt;&gt;"",E351&lt;&gt;""),E351 - C351,"")</f>
        <v>1</v>
      </c>
      <c r="AI351" t="str">
        <f>IF(C351="","",TEXT(C351, "mmmm"))</f>
        <v>September</v>
      </c>
      <c r="AJ351">
        <f>IF(C351="","",YEAR(C351))</f>
        <v>2024</v>
      </c>
      <c r="AM351" t="str">
        <f>IF(AN351="","clean","")</f>
        <v>clean</v>
      </c>
      <c r="AN351" t="s">
        <v>3595</v>
      </c>
    </row>
    <row r="352" spans="1:40">
      <c r="A352" t="s">
        <v>2579</v>
      </c>
      <c r="B352" t="s">
        <v>3961</v>
      </c>
      <c r="C352" s="6">
        <v>45496</v>
      </c>
      <c r="D352" t="s">
        <v>475</v>
      </c>
      <c r="E352" s="6">
        <v>45503</v>
      </c>
      <c r="F352" t="s">
        <v>2580</v>
      </c>
      <c r="G352" t="s">
        <v>334</v>
      </c>
      <c r="H352" t="s">
        <v>334</v>
      </c>
      <c r="I352" t="s">
        <v>104</v>
      </c>
      <c r="J352" t="s">
        <v>104</v>
      </c>
      <c r="K352" t="s">
        <v>26</v>
      </c>
      <c r="L352" t="str">
        <f>IF(TRIM(K352)="","Unknown",PROPER(TRIM(K352)))</f>
        <v>North</v>
      </c>
      <c r="M352" t="s">
        <v>27</v>
      </c>
      <c r="N352" t="s">
        <v>28</v>
      </c>
      <c r="O352" t="s">
        <v>44</v>
      </c>
      <c r="P352" t="str">
        <f>IF(TRIM(O352)="","Unknown",PROPER(TRIM(O352)))</f>
        <v>Furniture</v>
      </c>
      <c r="Q352" t="s">
        <v>45</v>
      </c>
      <c r="R352" t="s">
        <v>2581</v>
      </c>
      <c r="S352" t="s">
        <v>47</v>
      </c>
      <c r="T352" t="str">
        <f>IF(TRIM(S352)="","Unknown",PROPER(TRIM(S352)))</f>
        <v>Same Day</v>
      </c>
      <c r="U352">
        <v>9</v>
      </c>
      <c r="V352">
        <v>1870.11</v>
      </c>
      <c r="W352">
        <v>0.25</v>
      </c>
      <c r="Y352">
        <v>0.25</v>
      </c>
      <c r="Z352">
        <v>12623.24</v>
      </c>
      <c r="AA352">
        <v>10540.8</v>
      </c>
      <c r="AB352">
        <v>2082.44</v>
      </c>
      <c r="AC352" t="s">
        <v>186</v>
      </c>
      <c r="AD352" t="s">
        <v>76</v>
      </c>
      <c r="AE352">
        <f>ROUND((U352*V352)-(U352*V352*Y352),2)</f>
        <v>12623.24</v>
      </c>
      <c r="AF352">
        <f>AE352-AA352</f>
        <v>2082.4400000000005</v>
      </c>
      <c r="AG352" s="7">
        <f>ROUND((AF352/AE352),4)</f>
        <v>0.16500000000000001</v>
      </c>
      <c r="AH352">
        <f>IF(AND(C352&lt;&gt;"",E352&lt;&gt;""),E352 - C352,"")</f>
        <v>7</v>
      </c>
      <c r="AI352" t="str">
        <f>IF(C352="","",TEXT(C352, "mmmm"))</f>
        <v>July</v>
      </c>
      <c r="AJ352">
        <f>IF(C352="","",YEAR(C352))</f>
        <v>2024</v>
      </c>
      <c r="AM352" t="str">
        <f>IF(AN352="","clean","")</f>
        <v>clean</v>
      </c>
      <c r="AN352" t="s">
        <v>3595</v>
      </c>
    </row>
    <row r="353" spans="1:40">
      <c r="A353" t="s">
        <v>2582</v>
      </c>
      <c r="B353" t="s">
        <v>807</v>
      </c>
      <c r="C353" s="6">
        <v>45618</v>
      </c>
      <c r="D353" t="s">
        <v>2583</v>
      </c>
      <c r="E353" s="6">
        <v>45623</v>
      </c>
      <c r="F353" t="s">
        <v>2584</v>
      </c>
      <c r="G353" t="s">
        <v>136</v>
      </c>
      <c r="H353" t="s">
        <v>136</v>
      </c>
      <c r="I353" t="s">
        <v>104</v>
      </c>
      <c r="J353" t="s">
        <v>104</v>
      </c>
      <c r="K353" t="s">
        <v>60</v>
      </c>
      <c r="L353" t="str">
        <f>IF(TRIM(K353)="","Unknown",PROPER(TRIM(K353)))</f>
        <v>South</v>
      </c>
      <c r="M353" t="s">
        <v>309</v>
      </c>
      <c r="N353" t="s">
        <v>310</v>
      </c>
      <c r="O353" t="s">
        <v>29</v>
      </c>
      <c r="P353" t="str">
        <f>IF(TRIM(O353)="","Unknown",PROPER(TRIM(O353)))</f>
        <v>Office Supplies</v>
      </c>
      <c r="Q353" t="s">
        <v>184</v>
      </c>
      <c r="R353" t="s">
        <v>2585</v>
      </c>
      <c r="S353" t="s">
        <v>55</v>
      </c>
      <c r="T353" t="str">
        <f>IF(TRIM(S353)="","Unknown",PROPER(TRIM(S353)))</f>
        <v>First Class</v>
      </c>
      <c r="U353">
        <v>1</v>
      </c>
      <c r="V353">
        <v>4251.26</v>
      </c>
      <c r="W353">
        <v>0.2</v>
      </c>
      <c r="Y353">
        <v>0.2</v>
      </c>
      <c r="Z353">
        <v>3401.01</v>
      </c>
      <c r="AA353">
        <v>2917.54</v>
      </c>
      <c r="AB353">
        <v>483.47</v>
      </c>
      <c r="AC353" t="s">
        <v>119</v>
      </c>
      <c r="AD353" t="s">
        <v>120</v>
      </c>
      <c r="AE353">
        <f>ROUND((U353*V353)-(U353*V353*Y353),2)</f>
        <v>3401.01</v>
      </c>
      <c r="AF353">
        <f>AE353-AA353</f>
        <v>483.47000000000025</v>
      </c>
      <c r="AG353" s="7">
        <f>ROUND((AF353/AE353),4)</f>
        <v>0.14219999999999999</v>
      </c>
      <c r="AH353">
        <f>IF(AND(C353&lt;&gt;"",E353&lt;&gt;""),E353 - C353,"")</f>
        <v>5</v>
      </c>
      <c r="AI353" t="str">
        <f>IF(C353="","",TEXT(C353, "mmmm"))</f>
        <v>November</v>
      </c>
      <c r="AJ353">
        <f>IF(C353="","",YEAR(C353))</f>
        <v>2024</v>
      </c>
      <c r="AM353" t="str">
        <f>IF(AN353="","clean","")</f>
        <v>clean</v>
      </c>
      <c r="AN353" t="s">
        <v>3595</v>
      </c>
    </row>
    <row r="354" spans="1:40">
      <c r="A354" t="s">
        <v>2586</v>
      </c>
      <c r="B354" t="s">
        <v>3962</v>
      </c>
      <c r="C354" s="6">
        <v>45522</v>
      </c>
      <c r="D354" t="s">
        <v>2587</v>
      </c>
      <c r="E354" s="6">
        <v>45525</v>
      </c>
      <c r="F354" t="s">
        <v>2588</v>
      </c>
      <c r="G354" t="s">
        <v>80</v>
      </c>
      <c r="H354" t="s">
        <v>80</v>
      </c>
      <c r="I354" t="s">
        <v>25</v>
      </c>
      <c r="J354" t="s">
        <v>25</v>
      </c>
      <c r="K354" t="s">
        <v>26</v>
      </c>
      <c r="L354" t="str">
        <f>IF(TRIM(K354)="","Unknown",PROPER(TRIM(K354)))</f>
        <v>North</v>
      </c>
      <c r="M354" t="s">
        <v>163</v>
      </c>
      <c r="N354" t="s">
        <v>164</v>
      </c>
      <c r="O354" t="s">
        <v>83</v>
      </c>
      <c r="P354" t="str">
        <f>IF(TRIM(O354)="","Unknown",PROPER(TRIM(O354)))</f>
        <v>Technology</v>
      </c>
      <c r="Q354" t="s">
        <v>347</v>
      </c>
      <c r="R354" t="s">
        <v>2589</v>
      </c>
      <c r="S354" t="s">
        <v>65</v>
      </c>
      <c r="T354" t="str">
        <f>IF(TRIM(S354)="","Unknown",PROPER(TRIM(S354)))</f>
        <v>Standard Class</v>
      </c>
      <c r="U354">
        <v>9</v>
      </c>
      <c r="V354">
        <v>734.34</v>
      </c>
      <c r="W354">
        <v>0</v>
      </c>
      <c r="Y354">
        <v>0</v>
      </c>
      <c r="Z354">
        <v>6609.06</v>
      </c>
      <c r="AA354">
        <v>4946.78</v>
      </c>
      <c r="AB354">
        <v>1662.28</v>
      </c>
      <c r="AC354" t="s">
        <v>33</v>
      </c>
      <c r="AD354" t="s">
        <v>34</v>
      </c>
      <c r="AE354">
        <f>ROUND((U354*V354)-(U354*V354*Y354),2)</f>
        <v>6609.06</v>
      </c>
      <c r="AF354">
        <f>AE354-AA354</f>
        <v>1662.2800000000007</v>
      </c>
      <c r="AG354" s="7">
        <f>ROUND((AF354/AE354),4)</f>
        <v>0.2515</v>
      </c>
      <c r="AH354">
        <f>IF(AND(C354&lt;&gt;"",E354&lt;&gt;""),E354 - C354,"")</f>
        <v>3</v>
      </c>
      <c r="AI354" t="str">
        <f>IF(C354="","",TEXT(C354, "mmmm"))</f>
        <v>August</v>
      </c>
      <c r="AJ354">
        <f>IF(C354="","",YEAR(C354))</f>
        <v>2024</v>
      </c>
      <c r="AM354" t="str">
        <f>IF(AN354="","clean","")</f>
        <v>clean</v>
      </c>
      <c r="AN354" t="s">
        <v>3595</v>
      </c>
    </row>
    <row r="355" spans="1:40">
      <c r="A355" t="s">
        <v>2590</v>
      </c>
      <c r="B355" t="s">
        <v>3604</v>
      </c>
      <c r="D355" t="s">
        <v>2591</v>
      </c>
      <c r="E355" s="6">
        <v>45632</v>
      </c>
      <c r="F355" t="s">
        <v>2592</v>
      </c>
      <c r="G355" t="s">
        <v>103</v>
      </c>
      <c r="H355" t="s">
        <v>103</v>
      </c>
      <c r="I355" t="s">
        <v>25</v>
      </c>
      <c r="J355" t="s">
        <v>25</v>
      </c>
      <c r="K355" t="s">
        <v>71</v>
      </c>
      <c r="L355" t="str">
        <f>IF(TRIM(K355)="","Unknown",PROPER(TRIM(K355)))</f>
        <v>West</v>
      </c>
      <c r="M355" t="s">
        <v>72</v>
      </c>
      <c r="N355" t="s">
        <v>73</v>
      </c>
      <c r="O355" t="s">
        <v>44</v>
      </c>
      <c r="P355" t="str">
        <f>IF(TRIM(O355)="","Unknown",PROPER(TRIM(O355)))</f>
        <v>Furniture</v>
      </c>
      <c r="Q355" t="s">
        <v>74</v>
      </c>
      <c r="R355" t="s">
        <v>2593</v>
      </c>
      <c r="S355" t="s">
        <v>47</v>
      </c>
      <c r="T355" t="str">
        <f>IF(TRIM(S355)="","Unknown",PROPER(TRIM(S355)))</f>
        <v>Same Day</v>
      </c>
      <c r="U355">
        <v>5</v>
      </c>
      <c r="V355">
        <v>1092.8399999999999</v>
      </c>
      <c r="Y355">
        <v>0</v>
      </c>
      <c r="Z355">
        <v>5464.2</v>
      </c>
      <c r="AA355">
        <v>3318.09</v>
      </c>
      <c r="AB355">
        <v>2146.11</v>
      </c>
      <c r="AC355" t="s">
        <v>33</v>
      </c>
      <c r="AD355" t="s">
        <v>34</v>
      </c>
      <c r="AE355">
        <f>ROUND((U355*V355)-(U355*V355*Y355),2)</f>
        <v>5464.2</v>
      </c>
      <c r="AF355">
        <f>AE355-AA355</f>
        <v>2146.1099999999997</v>
      </c>
      <c r="AG355" s="7">
        <f>ROUND((AF355/AE355),4)</f>
        <v>0.39279999999999998</v>
      </c>
      <c r="AH355" t="str">
        <f>IF(AND(C355&lt;&gt;"",E355&lt;&gt;""),E355 - C355,"")</f>
        <v/>
      </c>
      <c r="AI355" t="str">
        <f>IF(C355="","",TEXT(C355, "mmmm"))</f>
        <v/>
      </c>
      <c r="AJ355" t="str">
        <f>IF(C355="","",YEAR(C355))</f>
        <v/>
      </c>
      <c r="AM355" t="s">
        <v>4144</v>
      </c>
      <c r="AN355" t="s">
        <v>4127</v>
      </c>
    </row>
    <row r="356" spans="1:40">
      <c r="A356" t="s">
        <v>2598</v>
      </c>
      <c r="B356" t="s">
        <v>3964</v>
      </c>
      <c r="C356" s="6">
        <v>45512</v>
      </c>
      <c r="D356" t="s">
        <v>2599</v>
      </c>
      <c r="E356" s="6">
        <v>45518</v>
      </c>
      <c r="F356" t="s">
        <v>2600</v>
      </c>
      <c r="G356" t="s">
        <v>80</v>
      </c>
      <c r="H356" t="s">
        <v>80</v>
      </c>
      <c r="I356" t="s">
        <v>110</v>
      </c>
      <c r="J356" t="s">
        <v>110</v>
      </c>
      <c r="K356" t="s">
        <v>26</v>
      </c>
      <c r="L356" t="str">
        <f>IF(TRIM(K356)="","Unknown",PROPER(TRIM(K356)))</f>
        <v>North</v>
      </c>
      <c r="M356" t="s">
        <v>146</v>
      </c>
      <c r="N356" t="s">
        <v>147</v>
      </c>
      <c r="O356" t="s">
        <v>29</v>
      </c>
      <c r="P356" t="str">
        <f>IF(TRIM(O356)="","Unknown",PROPER(TRIM(O356)))</f>
        <v>Office Supplies</v>
      </c>
      <c r="Q356" t="s">
        <v>148</v>
      </c>
      <c r="R356" t="s">
        <v>2601</v>
      </c>
      <c r="S356" t="s">
        <v>32</v>
      </c>
      <c r="T356" t="str">
        <f>IF(TRIM(S356)="","Unknown",PROPER(TRIM(S356)))</f>
        <v>Second Class</v>
      </c>
      <c r="U356">
        <v>8</v>
      </c>
      <c r="V356">
        <v>1359.19</v>
      </c>
      <c r="W356">
        <v>0.05</v>
      </c>
      <c r="Y356">
        <v>0.05</v>
      </c>
      <c r="Z356">
        <v>10329.84</v>
      </c>
      <c r="AA356">
        <v>7512.22</v>
      </c>
      <c r="AB356">
        <v>2817.62</v>
      </c>
      <c r="AC356" t="s">
        <v>33</v>
      </c>
      <c r="AD356" t="s">
        <v>34</v>
      </c>
      <c r="AE356">
        <f>ROUND((U356*V356)-(U356*V356*Y356),2)</f>
        <v>10329.84</v>
      </c>
      <c r="AF356">
        <f>AE356-AA356</f>
        <v>2817.62</v>
      </c>
      <c r="AG356" s="7">
        <f>ROUND((AF356/AE356),4)</f>
        <v>0.27279999999999999</v>
      </c>
      <c r="AH356">
        <f>IF(AND(C356&lt;&gt;"",E356&lt;&gt;""),E356 - C356,"")</f>
        <v>6</v>
      </c>
      <c r="AI356" t="str">
        <f>IF(C356="","",TEXT(C356, "mmmm"))</f>
        <v>August</v>
      </c>
      <c r="AJ356">
        <f>IF(C356="","",YEAR(C356))</f>
        <v>2024</v>
      </c>
      <c r="AM356" t="str">
        <f>IF(AN356="","clean","")</f>
        <v>clean</v>
      </c>
      <c r="AN356" t="s">
        <v>3595</v>
      </c>
    </row>
    <row r="357" spans="1:40">
      <c r="A357" t="s">
        <v>2602</v>
      </c>
      <c r="B357" t="s">
        <v>3965</v>
      </c>
      <c r="C357" s="6">
        <v>45321</v>
      </c>
      <c r="D357" t="s">
        <v>2603</v>
      </c>
      <c r="E357" s="6">
        <v>45323</v>
      </c>
      <c r="F357" t="s">
        <v>2604</v>
      </c>
      <c r="G357" t="s">
        <v>90</v>
      </c>
      <c r="H357" t="s">
        <v>90</v>
      </c>
      <c r="I357" t="s">
        <v>110</v>
      </c>
      <c r="J357" t="s">
        <v>110</v>
      </c>
      <c r="K357" t="s">
        <v>41</v>
      </c>
      <c r="L357" t="str">
        <f>IF(TRIM(K357)="","Unknown",PROPER(TRIM(K357)))</f>
        <v>East</v>
      </c>
      <c r="M357" t="s">
        <v>201</v>
      </c>
      <c r="N357" t="s">
        <v>202</v>
      </c>
      <c r="O357" t="s">
        <v>44</v>
      </c>
      <c r="P357" t="str">
        <f>IF(TRIM(O357)="","Unknown",PROPER(TRIM(O357)))</f>
        <v>Furniture</v>
      </c>
      <c r="Q357" t="s">
        <v>74</v>
      </c>
      <c r="R357" t="s">
        <v>2605</v>
      </c>
      <c r="S357" t="s">
        <v>55</v>
      </c>
      <c r="T357" t="str">
        <f>IF(TRIM(S357)="","Unknown",PROPER(TRIM(S357)))</f>
        <v>First Class</v>
      </c>
      <c r="U357">
        <v>2</v>
      </c>
      <c r="V357">
        <v>4451.03</v>
      </c>
      <c r="W357">
        <v>0.05</v>
      </c>
      <c r="Y357">
        <v>0.05</v>
      </c>
      <c r="Z357">
        <v>8456.9599999999991</v>
      </c>
      <c r="AA357">
        <v>5462.85</v>
      </c>
      <c r="AB357">
        <v>2994.11</v>
      </c>
      <c r="AC357" t="s">
        <v>33</v>
      </c>
      <c r="AD357" t="s">
        <v>34</v>
      </c>
      <c r="AE357">
        <f>ROUND((U357*V357)-(U357*V357*Y357),2)</f>
        <v>8456.9599999999991</v>
      </c>
      <c r="AF357">
        <f>AE357-AA357</f>
        <v>2994.1099999999988</v>
      </c>
      <c r="AG357" s="7">
        <f>ROUND((AF357/AE357),4)</f>
        <v>0.35399999999999998</v>
      </c>
      <c r="AH357">
        <f>IF(AND(C357&lt;&gt;"",E357&lt;&gt;""),E357 - C357,"")</f>
        <v>2</v>
      </c>
      <c r="AI357" t="str">
        <f>IF(C357="","",TEXT(C357, "mmmm"))</f>
        <v>January</v>
      </c>
      <c r="AJ357">
        <f>IF(C357="","",YEAR(C357))</f>
        <v>2024</v>
      </c>
      <c r="AM357" t="str">
        <f>IF(AN357="","clean","")</f>
        <v>clean</v>
      </c>
      <c r="AN357" t="s">
        <v>3595</v>
      </c>
    </row>
    <row r="358" spans="1:40">
      <c r="A358" t="s">
        <v>2606</v>
      </c>
      <c r="B358" t="s">
        <v>3966</v>
      </c>
      <c r="C358" s="6">
        <v>45641</v>
      </c>
      <c r="D358" t="s">
        <v>1234</v>
      </c>
      <c r="E358" s="6">
        <v>45647</v>
      </c>
      <c r="F358" t="s">
        <v>2607</v>
      </c>
      <c r="G358" t="s">
        <v>196</v>
      </c>
      <c r="H358" t="s">
        <v>196</v>
      </c>
      <c r="I358" t="s">
        <v>104</v>
      </c>
      <c r="J358" t="s">
        <v>104</v>
      </c>
      <c r="K358" t="s">
        <v>71</v>
      </c>
      <c r="L358" t="str">
        <f>IF(TRIM(K358)="","Unknown",PROPER(TRIM(K358)))</f>
        <v>West</v>
      </c>
      <c r="M358" t="s">
        <v>27</v>
      </c>
      <c r="N358" t="s">
        <v>129</v>
      </c>
      <c r="O358" t="s">
        <v>44</v>
      </c>
      <c r="P358" t="str">
        <f>IF(TRIM(O358)="","Unknown",PROPER(TRIM(O358)))</f>
        <v>Furniture</v>
      </c>
      <c r="Q358" t="s">
        <v>74</v>
      </c>
      <c r="R358" t="s">
        <v>2608</v>
      </c>
      <c r="S358" t="s">
        <v>47</v>
      </c>
      <c r="T358" t="str">
        <f>IF(TRIM(S358)="","Unknown",PROPER(TRIM(S358)))</f>
        <v>Same Day</v>
      </c>
      <c r="U358">
        <v>3</v>
      </c>
      <c r="V358">
        <v>527.66999999999996</v>
      </c>
      <c r="W358">
        <v>0.2</v>
      </c>
      <c r="Y358">
        <v>0.2</v>
      </c>
      <c r="Z358">
        <v>1266.4100000000001</v>
      </c>
      <c r="AA358">
        <v>983.92</v>
      </c>
      <c r="AB358">
        <v>282.49</v>
      </c>
      <c r="AC358" t="s">
        <v>33</v>
      </c>
      <c r="AD358" t="s">
        <v>34</v>
      </c>
      <c r="AE358">
        <f>ROUND((U358*V358)-(U358*V358*Y358),2)</f>
        <v>1266.4100000000001</v>
      </c>
      <c r="AF358">
        <f>AE358-AA358</f>
        <v>282.49000000000012</v>
      </c>
      <c r="AG358" s="7">
        <f>ROUND((AF358/AE358),4)</f>
        <v>0.22309999999999999</v>
      </c>
      <c r="AH358">
        <f>IF(AND(C358&lt;&gt;"",E358&lt;&gt;""),E358 - C358,"")</f>
        <v>6</v>
      </c>
      <c r="AI358" t="str">
        <f>IF(C358="","",TEXT(C358, "mmmm"))</f>
        <v>December</v>
      </c>
      <c r="AJ358">
        <f>IF(C358="","",YEAR(C358))</f>
        <v>2024</v>
      </c>
      <c r="AM358" t="str">
        <f>IF(AN358="","clean","")</f>
        <v>clean</v>
      </c>
      <c r="AN358" t="s">
        <v>3595</v>
      </c>
    </row>
    <row r="359" spans="1:40">
      <c r="A359" t="s">
        <v>2624</v>
      </c>
      <c r="B359" t="s">
        <v>2143</v>
      </c>
      <c r="C359" s="6">
        <v>45391</v>
      </c>
      <c r="D359" t="s">
        <v>1318</v>
      </c>
      <c r="E359" s="6">
        <v>45392</v>
      </c>
      <c r="F359" t="s">
        <v>2625</v>
      </c>
      <c r="G359" t="s">
        <v>136</v>
      </c>
      <c r="H359" t="s">
        <v>136</v>
      </c>
      <c r="I359" t="s">
        <v>104</v>
      </c>
      <c r="J359" t="s">
        <v>104</v>
      </c>
      <c r="K359" t="s">
        <v>41</v>
      </c>
      <c r="L359" t="str">
        <f>IF(TRIM(K359)="","Unknown",PROPER(TRIM(K359)))</f>
        <v>East</v>
      </c>
      <c r="M359" t="s">
        <v>201</v>
      </c>
      <c r="N359" t="s">
        <v>202</v>
      </c>
      <c r="O359" t="s">
        <v>29</v>
      </c>
      <c r="P359" t="str">
        <f>IF(TRIM(O359)="","Unknown",PROPER(TRIM(O359)))</f>
        <v>Office Supplies</v>
      </c>
      <c r="Q359" t="s">
        <v>30</v>
      </c>
      <c r="R359" t="s">
        <v>2626</v>
      </c>
      <c r="S359" t="s">
        <v>65</v>
      </c>
      <c r="T359" t="str">
        <f>IF(TRIM(S359)="","Unknown",PROPER(TRIM(S359)))</f>
        <v>Standard Class</v>
      </c>
      <c r="U359">
        <v>4</v>
      </c>
      <c r="V359">
        <v>3047.05</v>
      </c>
      <c r="W359">
        <v>0.1</v>
      </c>
      <c r="Y359">
        <v>0.1</v>
      </c>
      <c r="Z359">
        <v>10969.38</v>
      </c>
      <c r="AA359">
        <v>9254.4599999999991</v>
      </c>
      <c r="AB359">
        <v>1714.92</v>
      </c>
      <c r="AC359" t="s">
        <v>33</v>
      </c>
      <c r="AD359" t="s">
        <v>34</v>
      </c>
      <c r="AE359">
        <f>ROUND((U359*V359)-(U359*V359*Y359),2)</f>
        <v>10969.38</v>
      </c>
      <c r="AF359">
        <f>AE359-AA359</f>
        <v>1714.92</v>
      </c>
      <c r="AG359" s="7">
        <f>ROUND((AF359/AE359),4)</f>
        <v>0.15629999999999999</v>
      </c>
      <c r="AH359">
        <f>IF(AND(C359&lt;&gt;"",E359&lt;&gt;""),E359 - C359,"")</f>
        <v>1</v>
      </c>
      <c r="AI359" t="str">
        <f>IF(C359="","",TEXT(C359, "mmmm"))</f>
        <v>April</v>
      </c>
      <c r="AJ359">
        <f>IF(C359="","",YEAR(C359))</f>
        <v>2024</v>
      </c>
      <c r="AM359" t="str">
        <f>IF(AN359="","clean","")</f>
        <v>clean</v>
      </c>
      <c r="AN359" t="s">
        <v>3595</v>
      </c>
    </row>
    <row r="360" spans="1:40">
      <c r="A360" t="s">
        <v>2627</v>
      </c>
      <c r="B360" t="s">
        <v>1267</v>
      </c>
      <c r="C360" s="6">
        <v>45392</v>
      </c>
      <c r="D360" t="s">
        <v>1357</v>
      </c>
      <c r="E360" s="6">
        <v>45397</v>
      </c>
      <c r="F360" t="s">
        <v>2628</v>
      </c>
      <c r="G360" t="s">
        <v>153</v>
      </c>
      <c r="H360" t="s">
        <v>153</v>
      </c>
      <c r="I360" t="s">
        <v>110</v>
      </c>
      <c r="J360" t="s">
        <v>110</v>
      </c>
      <c r="K360" t="s">
        <v>71</v>
      </c>
      <c r="L360" t="str">
        <f>IF(TRIM(K360)="","Unknown",PROPER(TRIM(K360)))</f>
        <v>West</v>
      </c>
      <c r="M360" t="s">
        <v>27</v>
      </c>
      <c r="N360" t="s">
        <v>129</v>
      </c>
      <c r="O360" t="s">
        <v>44</v>
      </c>
      <c r="P360" t="str">
        <f>IF(TRIM(O360)="","Unknown",PROPER(TRIM(O360)))</f>
        <v>Furniture</v>
      </c>
      <c r="Q360" t="s">
        <v>74</v>
      </c>
      <c r="R360" t="s">
        <v>2629</v>
      </c>
      <c r="S360" t="s">
        <v>65</v>
      </c>
      <c r="T360" t="str">
        <f>IF(TRIM(S360)="","Unknown",PROPER(TRIM(S360)))</f>
        <v>Standard Class</v>
      </c>
      <c r="U360">
        <v>8</v>
      </c>
      <c r="V360">
        <v>4362.4799999999996</v>
      </c>
      <c r="W360">
        <v>0.1</v>
      </c>
      <c r="Y360">
        <v>0.1</v>
      </c>
      <c r="Z360">
        <v>31409.86</v>
      </c>
      <c r="AA360">
        <v>22523.54</v>
      </c>
      <c r="AB360">
        <v>8886.32</v>
      </c>
      <c r="AC360" t="s">
        <v>33</v>
      </c>
      <c r="AD360" t="s">
        <v>34</v>
      </c>
      <c r="AE360">
        <f>ROUND((U360*V360)-(U360*V360*Y360),2)</f>
        <v>31409.86</v>
      </c>
      <c r="AF360">
        <f>AE360-AA360</f>
        <v>8886.32</v>
      </c>
      <c r="AG360" s="7">
        <f>ROUND((AF360/AE360),4)</f>
        <v>0.28289999999999998</v>
      </c>
      <c r="AH360">
        <f>IF(AND(C360&lt;&gt;"",E360&lt;&gt;""),E360 - C360,"")</f>
        <v>5</v>
      </c>
      <c r="AI360" t="str">
        <f>IF(C360="","",TEXT(C360, "mmmm"))</f>
        <v>April</v>
      </c>
      <c r="AJ360">
        <f>IF(C360="","",YEAR(C360))</f>
        <v>2024</v>
      </c>
      <c r="AM360" t="str">
        <f>IF(AN360="","clean","")</f>
        <v>clean</v>
      </c>
      <c r="AN360" t="s">
        <v>3595</v>
      </c>
    </row>
    <row r="361" spans="1:40">
      <c r="A361" t="s">
        <v>2642</v>
      </c>
      <c r="B361" t="s">
        <v>3956</v>
      </c>
      <c r="C361" s="6">
        <v>45432</v>
      </c>
      <c r="D361" t="s">
        <v>2643</v>
      </c>
      <c r="E361" s="6">
        <v>45437</v>
      </c>
      <c r="F361" t="s">
        <v>2644</v>
      </c>
      <c r="G361" t="s">
        <v>39</v>
      </c>
      <c r="H361" t="s">
        <v>39</v>
      </c>
      <c r="I361" t="s">
        <v>104</v>
      </c>
      <c r="J361" t="s">
        <v>104</v>
      </c>
      <c r="K361" t="s">
        <v>60</v>
      </c>
      <c r="L361" t="str">
        <f>IF(TRIM(K361)="","Unknown",PROPER(TRIM(K361)))</f>
        <v>South</v>
      </c>
      <c r="M361" t="s">
        <v>97</v>
      </c>
      <c r="N361" t="s">
        <v>98</v>
      </c>
      <c r="O361" t="s">
        <v>44</v>
      </c>
      <c r="P361" t="str">
        <f>IF(TRIM(O361)="","Unknown",PROPER(TRIM(O361)))</f>
        <v>Furniture</v>
      </c>
      <c r="Q361" t="s">
        <v>74</v>
      </c>
      <c r="R361" t="s">
        <v>2645</v>
      </c>
      <c r="S361" t="s">
        <v>47</v>
      </c>
      <c r="T361" t="str">
        <f>IF(TRIM(S361)="","Unknown",PROPER(TRIM(S361)))</f>
        <v>Same Day</v>
      </c>
      <c r="U361">
        <v>7</v>
      </c>
      <c r="V361">
        <v>3122.85</v>
      </c>
      <c r="W361">
        <v>0.25</v>
      </c>
      <c r="Y361">
        <v>0.25</v>
      </c>
      <c r="Z361">
        <v>16394.96</v>
      </c>
      <c r="AA361">
        <v>10404.17</v>
      </c>
      <c r="AB361">
        <v>5990.79</v>
      </c>
      <c r="AC361" t="s">
        <v>33</v>
      </c>
      <c r="AD361" t="s">
        <v>34</v>
      </c>
      <c r="AE361">
        <f>ROUND((U361*V361)-(U361*V361*Y361),2)</f>
        <v>16394.96</v>
      </c>
      <c r="AF361">
        <f>AE361-AA361</f>
        <v>5990.7899999999991</v>
      </c>
      <c r="AG361" s="7">
        <f>ROUND((AF361/AE361),4)</f>
        <v>0.3654</v>
      </c>
      <c r="AH361">
        <f>IF(AND(C361&lt;&gt;"",E361&lt;&gt;""),E361 - C361,"")</f>
        <v>5</v>
      </c>
      <c r="AI361" t="str">
        <f>IF(C361="","",TEXT(C361, "mmmm"))</f>
        <v>May</v>
      </c>
      <c r="AJ361">
        <f>IF(C361="","",YEAR(C361))</f>
        <v>2024</v>
      </c>
      <c r="AM361" t="str">
        <f>IF(AN361="","clean","")</f>
        <v>clean</v>
      </c>
      <c r="AN361" t="s">
        <v>3595</v>
      </c>
    </row>
    <row r="362" spans="1:40">
      <c r="A362" t="s">
        <v>2646</v>
      </c>
      <c r="B362" t="s">
        <v>3969</v>
      </c>
      <c r="C362" s="6">
        <v>45567</v>
      </c>
      <c r="D362" t="s">
        <v>2647</v>
      </c>
      <c r="E362" s="6">
        <v>45574</v>
      </c>
      <c r="F362" t="s">
        <v>2648</v>
      </c>
      <c r="G362" t="s">
        <v>70</v>
      </c>
      <c r="H362" t="s">
        <v>70</v>
      </c>
      <c r="I362" t="s">
        <v>25</v>
      </c>
      <c r="J362" t="s">
        <v>25</v>
      </c>
      <c r="K362" t="s">
        <v>60</v>
      </c>
      <c r="L362" t="str">
        <f>IF(TRIM(K362)="","Unknown",PROPER(TRIM(K362)))</f>
        <v>South</v>
      </c>
      <c r="M362" t="s">
        <v>309</v>
      </c>
      <c r="N362" t="s">
        <v>310</v>
      </c>
      <c r="O362" t="s">
        <v>29</v>
      </c>
      <c r="P362" t="str">
        <f>IF(TRIM(O362)="","Unknown",PROPER(TRIM(O362)))</f>
        <v>Office Supplies</v>
      </c>
      <c r="Q362" t="s">
        <v>30</v>
      </c>
      <c r="R362" t="s">
        <v>2649</v>
      </c>
      <c r="S362" t="s">
        <v>65</v>
      </c>
      <c r="T362" t="str">
        <f>IF(TRIM(S362)="","Unknown",PROPER(TRIM(S362)))</f>
        <v>Standard Class</v>
      </c>
      <c r="U362">
        <v>8</v>
      </c>
      <c r="V362">
        <v>1910.31</v>
      </c>
      <c r="W362">
        <v>0.15</v>
      </c>
      <c r="Y362">
        <v>0.15</v>
      </c>
      <c r="Z362">
        <v>12990.11</v>
      </c>
      <c r="AA362">
        <v>10200.799999999999</v>
      </c>
      <c r="AB362">
        <v>2789.31</v>
      </c>
      <c r="AC362" t="s">
        <v>33</v>
      </c>
      <c r="AD362" t="s">
        <v>34</v>
      </c>
      <c r="AE362">
        <f>ROUND((U362*V362)-(U362*V362*Y362),2)</f>
        <v>12990.11</v>
      </c>
      <c r="AF362">
        <f>AE362-AA362</f>
        <v>2789.3100000000013</v>
      </c>
      <c r="AG362" s="7">
        <f>ROUND((AF362/AE362),4)</f>
        <v>0.2147</v>
      </c>
      <c r="AH362">
        <f>IF(AND(C362&lt;&gt;"",E362&lt;&gt;""),E362 - C362,"")</f>
        <v>7</v>
      </c>
      <c r="AI362" t="str">
        <f>IF(C362="","",TEXT(C362, "mmmm"))</f>
        <v>October</v>
      </c>
      <c r="AJ362">
        <f>IF(C362="","",YEAR(C362))</f>
        <v>2024</v>
      </c>
      <c r="AM362" t="str">
        <f>IF(AN362="","clean","")</f>
        <v>clean</v>
      </c>
      <c r="AN362" t="s">
        <v>3595</v>
      </c>
    </row>
    <row r="363" spans="1:40">
      <c r="A363" t="s">
        <v>2650</v>
      </c>
      <c r="B363" t="s">
        <v>3970</v>
      </c>
      <c r="D363" t="s">
        <v>2651</v>
      </c>
      <c r="E363" s="6">
        <v>45438</v>
      </c>
      <c r="F363" t="s">
        <v>2652</v>
      </c>
      <c r="G363" t="s">
        <v>141</v>
      </c>
      <c r="H363" t="s">
        <v>141</v>
      </c>
      <c r="I363" t="s">
        <v>40</v>
      </c>
      <c r="J363" t="s">
        <v>40</v>
      </c>
      <c r="K363" t="s">
        <v>71</v>
      </c>
      <c r="L363" t="str">
        <f>IF(TRIM(K363)="","Unknown",PROPER(TRIM(K363)))</f>
        <v>West</v>
      </c>
      <c r="M363" t="s">
        <v>230</v>
      </c>
      <c r="N363" t="s">
        <v>231</v>
      </c>
      <c r="O363" t="s">
        <v>83</v>
      </c>
      <c r="P363" t="str">
        <f>IF(TRIM(O363)="","Unknown",PROPER(TRIM(O363)))</f>
        <v>Technology</v>
      </c>
      <c r="Q363" t="s">
        <v>91</v>
      </c>
      <c r="R363" t="s">
        <v>2653</v>
      </c>
      <c r="S363" t="s">
        <v>55</v>
      </c>
      <c r="T363" t="str">
        <f>IF(TRIM(S363)="","Unknown",PROPER(TRIM(S363)))</f>
        <v>First Class</v>
      </c>
      <c r="U363">
        <v>2</v>
      </c>
      <c r="V363">
        <v>3192.47</v>
      </c>
      <c r="W363">
        <v>0.2</v>
      </c>
      <c r="Y363">
        <v>0.2</v>
      </c>
      <c r="Z363">
        <v>5107.95</v>
      </c>
      <c r="AA363">
        <v>3133.08</v>
      </c>
      <c r="AB363">
        <v>1974.87</v>
      </c>
      <c r="AC363" t="s">
        <v>33</v>
      </c>
      <c r="AD363" t="s">
        <v>34</v>
      </c>
      <c r="AE363">
        <f>ROUND((U363*V363)-(U363*V363*Y363),2)</f>
        <v>5107.95</v>
      </c>
      <c r="AF363">
        <f>AE363-AA363</f>
        <v>1974.87</v>
      </c>
      <c r="AG363" s="7">
        <f>ROUND((AF363/AE363),4)</f>
        <v>0.3866</v>
      </c>
      <c r="AH363" t="str">
        <f>IF(AND(C363&lt;&gt;"",E363&lt;&gt;""),E363 - C363,"")</f>
        <v/>
      </c>
      <c r="AI363" t="str">
        <f>IF(C363="","",TEXT(C363, "mmmm"))</f>
        <v/>
      </c>
      <c r="AJ363" t="str">
        <f>IF(C363="","",YEAR(C363))</f>
        <v/>
      </c>
      <c r="AM363" t="s">
        <v>4144</v>
      </c>
      <c r="AN363" t="s">
        <v>4127</v>
      </c>
    </row>
    <row r="364" spans="1:40">
      <c r="A364" t="s">
        <v>2654</v>
      </c>
      <c r="B364" t="s">
        <v>3953</v>
      </c>
      <c r="C364" s="6">
        <v>45317</v>
      </c>
      <c r="D364" t="s">
        <v>2655</v>
      </c>
      <c r="F364" t="s">
        <v>2656</v>
      </c>
      <c r="G364" t="s">
        <v>24</v>
      </c>
      <c r="H364" t="s">
        <v>24</v>
      </c>
      <c r="I364" t="s">
        <v>104</v>
      </c>
      <c r="J364" t="s">
        <v>104</v>
      </c>
      <c r="K364" t="s">
        <v>60</v>
      </c>
      <c r="L364" t="str">
        <f>IF(TRIM(K364)="","Unknown",PROPER(TRIM(K364)))</f>
        <v>South</v>
      </c>
      <c r="M364" t="s">
        <v>224</v>
      </c>
      <c r="N364" t="s">
        <v>225</v>
      </c>
      <c r="O364" t="s">
        <v>29</v>
      </c>
      <c r="P364" t="str">
        <f>IF(TRIM(O364)="","Unknown",PROPER(TRIM(O364)))</f>
        <v>Office Supplies</v>
      </c>
      <c r="Q364" t="s">
        <v>148</v>
      </c>
      <c r="R364" t="s">
        <v>2657</v>
      </c>
      <c r="S364" t="s">
        <v>32</v>
      </c>
      <c r="T364" t="str">
        <f>IF(TRIM(S364)="","Unknown",PROPER(TRIM(S364)))</f>
        <v>Second Class</v>
      </c>
      <c r="U364">
        <v>3</v>
      </c>
      <c r="V364">
        <v>3224.32</v>
      </c>
      <c r="W364">
        <v>0.2</v>
      </c>
      <c r="Y364">
        <v>0.2</v>
      </c>
      <c r="Z364">
        <v>7738.37</v>
      </c>
      <c r="AA364">
        <v>4626.8500000000004</v>
      </c>
      <c r="AB364">
        <v>3111.52</v>
      </c>
      <c r="AC364" t="s">
        <v>186</v>
      </c>
      <c r="AD364" t="s">
        <v>120</v>
      </c>
      <c r="AE364">
        <f>ROUND((U364*V364)-(U364*V364*Y364),2)</f>
        <v>7738.37</v>
      </c>
      <c r="AF364">
        <f>AE364-AA364</f>
        <v>3111.5199999999995</v>
      </c>
      <c r="AG364" s="7">
        <f>ROUND((AF364/AE364),4)</f>
        <v>0.40210000000000001</v>
      </c>
      <c r="AH364" t="str">
        <f>IF(AND(C364&lt;&gt;"",E364&lt;&gt;""),E364 - C364,"")</f>
        <v/>
      </c>
      <c r="AI364" t="str">
        <f>IF(C364="","",TEXT(C364, "mmmm"))</f>
        <v>January</v>
      </c>
      <c r="AJ364">
        <f>IF(C364="","",YEAR(C364))</f>
        <v>2024</v>
      </c>
      <c r="AM364" t="s">
        <v>4144</v>
      </c>
      <c r="AN364" t="s">
        <v>4136</v>
      </c>
    </row>
    <row r="365" spans="1:40">
      <c r="A365" t="s">
        <v>2658</v>
      </c>
      <c r="B365" t="s">
        <v>3971</v>
      </c>
      <c r="C365" s="6">
        <v>45653</v>
      </c>
      <c r="D365" t="s">
        <v>1647</v>
      </c>
      <c r="F365" t="s">
        <v>2659</v>
      </c>
      <c r="G365" t="s">
        <v>52</v>
      </c>
      <c r="H365" t="s">
        <v>52</v>
      </c>
      <c r="I365" t="s">
        <v>40</v>
      </c>
      <c r="J365" t="s">
        <v>40</v>
      </c>
      <c r="K365" t="s">
        <v>41</v>
      </c>
      <c r="L365" t="str">
        <f>IF(TRIM(K365)="","Unknown",PROPER(TRIM(K365)))</f>
        <v>East</v>
      </c>
      <c r="M365" t="s">
        <v>42</v>
      </c>
      <c r="N365" t="s">
        <v>43</v>
      </c>
      <c r="O365" t="s">
        <v>44</v>
      </c>
      <c r="P365" t="str">
        <f>IF(TRIM(O365)="","Unknown",PROPER(TRIM(O365)))</f>
        <v>Furniture</v>
      </c>
      <c r="Q365" t="s">
        <v>74</v>
      </c>
      <c r="R365" t="s">
        <v>2660</v>
      </c>
      <c r="S365" t="s">
        <v>32</v>
      </c>
      <c r="T365" t="str">
        <f>IF(TRIM(S365)="","Unknown",PROPER(TRIM(S365)))</f>
        <v>Second Class</v>
      </c>
      <c r="U365">
        <v>1</v>
      </c>
      <c r="V365">
        <v>1594.7</v>
      </c>
      <c r="W365">
        <v>0.05</v>
      </c>
      <c r="Y365">
        <v>0.05</v>
      </c>
      <c r="Z365">
        <v>1514.96</v>
      </c>
      <c r="AA365">
        <v>1046.17</v>
      </c>
      <c r="AB365">
        <v>468.79</v>
      </c>
      <c r="AC365" t="s">
        <v>33</v>
      </c>
      <c r="AD365" t="s">
        <v>34</v>
      </c>
      <c r="AE365">
        <f>ROUND((U365*V365)-(U365*V365*Y365),2)</f>
        <v>1514.97</v>
      </c>
      <c r="AF365">
        <f>AE365-AA365</f>
        <v>468.79999999999995</v>
      </c>
      <c r="AG365" s="7">
        <f>ROUND((AF365/AE365),4)</f>
        <v>0.30940000000000001</v>
      </c>
      <c r="AH365" t="str">
        <f>IF(AND(C365&lt;&gt;"",E365&lt;&gt;""),E365 - C365,"")</f>
        <v/>
      </c>
      <c r="AI365" t="str">
        <f>IF(C365="","",TEXT(C365, "mmmm"))</f>
        <v>December</v>
      </c>
      <c r="AJ365">
        <f>IF(C365="","",YEAR(C365))</f>
        <v>2024</v>
      </c>
      <c r="AM365" t="s">
        <v>4144</v>
      </c>
      <c r="AN365" t="s">
        <v>4136</v>
      </c>
    </row>
    <row r="366" spans="1:40">
      <c r="A366" t="s">
        <v>2668</v>
      </c>
      <c r="B366" t="s">
        <v>1717</v>
      </c>
      <c r="C366" s="6">
        <v>45533</v>
      </c>
      <c r="D366" t="s">
        <v>36</v>
      </c>
      <c r="E366" s="6">
        <v>45535</v>
      </c>
      <c r="F366" t="s">
        <v>2669</v>
      </c>
      <c r="G366" t="s">
        <v>52</v>
      </c>
      <c r="H366" t="s">
        <v>52</v>
      </c>
      <c r="I366" t="s">
        <v>110</v>
      </c>
      <c r="J366" t="s">
        <v>110</v>
      </c>
      <c r="K366" t="s">
        <v>41</v>
      </c>
      <c r="L366" t="str">
        <f>IF(TRIM(K366)="","Unknown",PROPER(TRIM(K366)))</f>
        <v>East</v>
      </c>
      <c r="M366" t="s">
        <v>201</v>
      </c>
      <c r="N366" t="s">
        <v>202</v>
      </c>
      <c r="O366" t="s">
        <v>29</v>
      </c>
      <c r="P366" t="str">
        <f>IF(TRIM(O366)="","Unknown",PROPER(TRIM(O366)))</f>
        <v>Office Supplies</v>
      </c>
      <c r="Q366" t="s">
        <v>2670</v>
      </c>
      <c r="R366" t="s">
        <v>2671</v>
      </c>
      <c r="S366" t="s">
        <v>32</v>
      </c>
      <c r="T366" t="str">
        <f>IF(TRIM(S366)="","Unknown",PROPER(TRIM(S366)))</f>
        <v>Second Class</v>
      </c>
      <c r="U366">
        <v>9</v>
      </c>
      <c r="V366">
        <v>1275.21</v>
      </c>
      <c r="W366">
        <v>0.25</v>
      </c>
      <c r="Y366">
        <v>0.25</v>
      </c>
      <c r="Z366">
        <v>8607.67</v>
      </c>
      <c r="AA366">
        <v>5337.64</v>
      </c>
      <c r="AB366">
        <v>3270.03</v>
      </c>
      <c r="AC366" t="s">
        <v>186</v>
      </c>
      <c r="AD366" t="s">
        <v>120</v>
      </c>
      <c r="AE366">
        <f>ROUND((U366*V366)-(U366*V366*Y366),2)</f>
        <v>8607.67</v>
      </c>
      <c r="AF366">
        <f>AE366-AA366</f>
        <v>3270.0299999999997</v>
      </c>
      <c r="AG366" s="7">
        <f>ROUND((AF366/AE366),4)</f>
        <v>0.37990000000000002</v>
      </c>
      <c r="AH366">
        <f>IF(AND(C366&lt;&gt;"",E366&lt;&gt;""),E366 - C366,"")</f>
        <v>2</v>
      </c>
      <c r="AI366" t="str">
        <f>IF(C366="","",TEXT(C366, "mmmm"))</f>
        <v>August</v>
      </c>
      <c r="AJ366">
        <f>IF(C366="","",YEAR(C366))</f>
        <v>2024</v>
      </c>
      <c r="AM366" t="str">
        <f>IF(AN366="","clean","")</f>
        <v>clean</v>
      </c>
      <c r="AN366" t="s">
        <v>3595</v>
      </c>
    </row>
    <row r="367" spans="1:40">
      <c r="A367" t="s">
        <v>2672</v>
      </c>
      <c r="B367" t="s">
        <v>3974</v>
      </c>
      <c r="C367" s="6">
        <v>45327</v>
      </c>
      <c r="D367" t="s">
        <v>2673</v>
      </c>
      <c r="E367" s="6">
        <v>45335</v>
      </c>
      <c r="F367" t="s">
        <v>968</v>
      </c>
      <c r="G367" t="s">
        <v>153</v>
      </c>
      <c r="H367" t="s">
        <v>153</v>
      </c>
      <c r="I367" t="s">
        <v>110</v>
      </c>
      <c r="J367" t="s">
        <v>110</v>
      </c>
      <c r="K367" t="s">
        <v>26</v>
      </c>
      <c r="L367" t="str">
        <f>IF(TRIM(K367)="","Unknown",PROPER(TRIM(K367)))</f>
        <v>North</v>
      </c>
      <c r="M367" t="s">
        <v>163</v>
      </c>
      <c r="N367" t="s">
        <v>164</v>
      </c>
      <c r="O367" t="s">
        <v>29</v>
      </c>
      <c r="P367" t="str">
        <f>IF(TRIM(O367)="","Unknown",PROPER(TRIM(O367)))</f>
        <v>Office Supplies</v>
      </c>
      <c r="Q367" t="s">
        <v>105</v>
      </c>
      <c r="R367" t="s">
        <v>2674</v>
      </c>
      <c r="S367" t="s">
        <v>65</v>
      </c>
      <c r="T367" t="str">
        <f>IF(TRIM(S367)="","Unknown",PROPER(TRIM(S367)))</f>
        <v>Standard Class</v>
      </c>
      <c r="U367">
        <v>8</v>
      </c>
      <c r="V367">
        <v>3871.18</v>
      </c>
      <c r="W367">
        <v>0.15</v>
      </c>
      <c r="Y367">
        <v>0.15</v>
      </c>
      <c r="Z367">
        <v>26324.02</v>
      </c>
      <c r="AA367">
        <v>16277.96</v>
      </c>
      <c r="AB367">
        <v>10046.06</v>
      </c>
      <c r="AC367" t="s">
        <v>186</v>
      </c>
      <c r="AD367" t="s">
        <v>120</v>
      </c>
      <c r="AE367">
        <f>ROUND((U367*V367)-(U367*V367*Y367),2)</f>
        <v>26324.02</v>
      </c>
      <c r="AF367">
        <f>AE367-AA367</f>
        <v>10046.060000000001</v>
      </c>
      <c r="AG367" s="7">
        <f>ROUND((AF367/AE367),4)</f>
        <v>0.38159999999999999</v>
      </c>
      <c r="AH367">
        <f>IF(AND(C367&lt;&gt;"",E367&lt;&gt;""),E367 - C367,"")</f>
        <v>8</v>
      </c>
      <c r="AI367" t="str">
        <f>IF(C367="","",TEXT(C367, "mmmm"))</f>
        <v>February</v>
      </c>
      <c r="AJ367">
        <f>IF(C367="","",YEAR(C367))</f>
        <v>2024</v>
      </c>
      <c r="AM367" t="str">
        <f>IF(AN367="","clean","")</f>
        <v>clean</v>
      </c>
      <c r="AN367" t="s">
        <v>3595</v>
      </c>
    </row>
    <row r="368" spans="1:40">
      <c r="A368" t="s">
        <v>2679</v>
      </c>
      <c r="B368" t="s">
        <v>3975</v>
      </c>
      <c r="C368" s="6">
        <v>45295</v>
      </c>
      <c r="D368" t="s">
        <v>2409</v>
      </c>
      <c r="E368" s="6">
        <v>45300</v>
      </c>
      <c r="F368" t="s">
        <v>2680</v>
      </c>
      <c r="G368" t="s">
        <v>334</v>
      </c>
      <c r="H368" t="s">
        <v>334</v>
      </c>
      <c r="I368" t="s">
        <v>25</v>
      </c>
      <c r="J368" t="s">
        <v>25</v>
      </c>
      <c r="K368" t="s">
        <v>41</v>
      </c>
      <c r="L368" t="str">
        <f>IF(TRIM(K368)="","Unknown",PROPER(TRIM(K368)))</f>
        <v>East</v>
      </c>
      <c r="M368" t="s">
        <v>174</v>
      </c>
      <c r="N368" t="s">
        <v>175</v>
      </c>
      <c r="O368" t="s">
        <v>44</v>
      </c>
      <c r="P368" t="str">
        <f>IF(TRIM(O368)="","Unknown",PROPER(TRIM(O368)))</f>
        <v>Furniture</v>
      </c>
      <c r="Q368" t="s">
        <v>74</v>
      </c>
      <c r="R368" t="s">
        <v>2681</v>
      </c>
      <c r="S368" t="s">
        <v>32</v>
      </c>
      <c r="T368" t="str">
        <f>IF(TRIM(S368)="","Unknown",PROPER(TRIM(S368)))</f>
        <v>Second Class</v>
      </c>
      <c r="U368">
        <v>6</v>
      </c>
      <c r="V368">
        <v>2423.61</v>
      </c>
      <c r="W368">
        <v>0.1</v>
      </c>
      <c r="Y368">
        <v>0.1</v>
      </c>
      <c r="Z368">
        <v>13087.49</v>
      </c>
      <c r="AA368">
        <v>7608.89</v>
      </c>
      <c r="AB368">
        <v>5133.22</v>
      </c>
      <c r="AC368" t="s">
        <v>33</v>
      </c>
      <c r="AD368" t="s">
        <v>34</v>
      </c>
      <c r="AE368">
        <f>ROUND((U368*V368)-(U368*V368*Y368),2)</f>
        <v>13087.49</v>
      </c>
      <c r="AF368">
        <f>AE368-AA368</f>
        <v>5478.5999999999995</v>
      </c>
      <c r="AG368" s="7">
        <f>ROUND((AF368/AE368),4)</f>
        <v>0.41860000000000003</v>
      </c>
      <c r="AH368">
        <f>IF(AND(C368&lt;&gt;"",E368&lt;&gt;""),E368 - C368,"")</f>
        <v>5</v>
      </c>
      <c r="AI368" t="str">
        <f>IF(C368="","",TEXT(C368, "mmmm"))</f>
        <v>January</v>
      </c>
      <c r="AJ368">
        <f>IF(C368="","",YEAR(C368))</f>
        <v>2024</v>
      </c>
      <c r="AM368" t="str">
        <f>IF(AN368="","clean","")</f>
        <v>clean</v>
      </c>
      <c r="AN368" t="s">
        <v>3595</v>
      </c>
    </row>
    <row r="369" spans="1:40">
      <c r="A369" t="s">
        <v>2682</v>
      </c>
      <c r="B369" t="s">
        <v>3976</v>
      </c>
      <c r="C369" s="6">
        <v>45553</v>
      </c>
      <c r="D369" t="s">
        <v>2683</v>
      </c>
      <c r="F369" t="s">
        <v>2684</v>
      </c>
      <c r="G369" t="s">
        <v>80</v>
      </c>
      <c r="H369" t="s">
        <v>80</v>
      </c>
      <c r="I369" t="s">
        <v>40</v>
      </c>
      <c r="J369" t="s">
        <v>40</v>
      </c>
      <c r="K369" t="s">
        <v>41</v>
      </c>
      <c r="L369" t="str">
        <f>IF(TRIM(K369)="","Unknown",PROPER(TRIM(K369)))</f>
        <v>East</v>
      </c>
      <c r="M369" t="s">
        <v>284</v>
      </c>
      <c r="N369" t="s">
        <v>285</v>
      </c>
      <c r="O369" t="s">
        <v>83</v>
      </c>
      <c r="P369" t="str">
        <f>IF(TRIM(O369)="","Unknown",PROPER(TRIM(O369)))</f>
        <v>Technology</v>
      </c>
      <c r="Q369" t="s">
        <v>347</v>
      </c>
      <c r="R369" t="s">
        <v>2685</v>
      </c>
      <c r="S369" t="s">
        <v>55</v>
      </c>
      <c r="T369" t="str">
        <f>IF(TRIM(S369)="","Unknown",PROPER(TRIM(S369)))</f>
        <v>First Class</v>
      </c>
      <c r="U369">
        <v>3</v>
      </c>
      <c r="V369">
        <v>729.14</v>
      </c>
      <c r="W369">
        <v>0.25</v>
      </c>
      <c r="Y369">
        <v>0.25</v>
      </c>
      <c r="Z369">
        <v>1640.57</v>
      </c>
      <c r="AA369">
        <v>1136.98</v>
      </c>
      <c r="AB369">
        <v>503.59</v>
      </c>
      <c r="AC369" t="s">
        <v>33</v>
      </c>
      <c r="AD369" t="s">
        <v>34</v>
      </c>
      <c r="AE369">
        <f>ROUND((U369*V369)-(U369*V369*Y369),2)</f>
        <v>1640.57</v>
      </c>
      <c r="AF369">
        <f>AE369-AA369</f>
        <v>503.58999999999992</v>
      </c>
      <c r="AG369" s="7">
        <f>ROUND((AF369/AE369),4)</f>
        <v>0.307</v>
      </c>
      <c r="AH369" t="str">
        <f>IF(AND(C369&lt;&gt;"",E369&lt;&gt;""),E369 - C369,"")</f>
        <v/>
      </c>
      <c r="AI369" t="str">
        <f>IF(C369="","",TEXT(C369, "mmmm"))</f>
        <v>September</v>
      </c>
      <c r="AJ369">
        <f>IF(C369="","",YEAR(C369))</f>
        <v>2024</v>
      </c>
      <c r="AM369" t="s">
        <v>4144</v>
      </c>
      <c r="AN369" t="s">
        <v>4136</v>
      </c>
    </row>
    <row r="370" spans="1:40">
      <c r="A370" t="s">
        <v>2691</v>
      </c>
      <c r="B370" t="s">
        <v>3977</v>
      </c>
      <c r="D370" t="s">
        <v>327</v>
      </c>
      <c r="E370" s="6">
        <v>45406</v>
      </c>
      <c r="F370" t="s">
        <v>2692</v>
      </c>
      <c r="G370" t="s">
        <v>90</v>
      </c>
      <c r="H370" t="s">
        <v>90</v>
      </c>
      <c r="I370" t="s">
        <v>40</v>
      </c>
      <c r="J370" t="s">
        <v>40</v>
      </c>
      <c r="K370" t="s">
        <v>60</v>
      </c>
      <c r="L370" t="str">
        <f>IF(TRIM(K370)="","Unknown",PROPER(TRIM(K370)))</f>
        <v>South</v>
      </c>
      <c r="M370" t="s">
        <v>97</v>
      </c>
      <c r="N370" t="s">
        <v>98</v>
      </c>
      <c r="O370" t="s">
        <v>29</v>
      </c>
      <c r="P370" t="str">
        <f>IF(TRIM(O370)="","Unknown",PROPER(TRIM(O370)))</f>
        <v>Office Supplies</v>
      </c>
      <c r="Q370" t="s">
        <v>53</v>
      </c>
      <c r="R370" t="s">
        <v>2693</v>
      </c>
      <c r="S370" t="s">
        <v>47</v>
      </c>
      <c r="T370" t="str">
        <f>IF(TRIM(S370)="","Unknown",PROPER(TRIM(S370)))</f>
        <v>Same Day</v>
      </c>
      <c r="U370">
        <v>9</v>
      </c>
      <c r="V370">
        <v>703.59</v>
      </c>
      <c r="W370">
        <v>0.2</v>
      </c>
      <c r="Y370">
        <v>0.2</v>
      </c>
      <c r="Z370">
        <v>5065.8500000000004</v>
      </c>
      <c r="AA370">
        <v>3517.23</v>
      </c>
      <c r="AB370">
        <v>1548.62</v>
      </c>
      <c r="AC370" t="s">
        <v>186</v>
      </c>
      <c r="AD370" t="s">
        <v>120</v>
      </c>
      <c r="AE370">
        <f>ROUND((U370*V370)-(U370*V370*Y370),2)</f>
        <v>5065.8500000000004</v>
      </c>
      <c r="AF370">
        <f>AE370-AA370</f>
        <v>1548.6200000000003</v>
      </c>
      <c r="AG370" s="7">
        <f>ROUND((AF370/AE370),4)</f>
        <v>0.30570000000000003</v>
      </c>
      <c r="AH370" t="str">
        <f>IF(AND(C370&lt;&gt;"",E370&lt;&gt;""),E370 - C370,"")</f>
        <v/>
      </c>
      <c r="AI370" t="str">
        <f>IF(C370="","",TEXT(C370, "mmmm"))</f>
        <v/>
      </c>
      <c r="AJ370" t="str">
        <f>IF(C370="","",YEAR(C370))</f>
        <v/>
      </c>
      <c r="AM370" t="s">
        <v>4144</v>
      </c>
      <c r="AN370" t="s">
        <v>4127</v>
      </c>
    </row>
    <row r="371" spans="1:40">
      <c r="A371" t="s">
        <v>2698</v>
      </c>
      <c r="B371" t="s">
        <v>3979</v>
      </c>
      <c r="C371" s="6">
        <v>45395</v>
      </c>
      <c r="D371" t="s">
        <v>2699</v>
      </c>
      <c r="E371" s="6">
        <v>45403</v>
      </c>
      <c r="F371" t="s">
        <v>492</v>
      </c>
      <c r="G371" t="s">
        <v>153</v>
      </c>
      <c r="H371" t="s">
        <v>153</v>
      </c>
      <c r="I371" t="s">
        <v>110</v>
      </c>
      <c r="J371" t="s">
        <v>110</v>
      </c>
      <c r="K371" t="s">
        <v>41</v>
      </c>
      <c r="L371" t="str">
        <f>IF(TRIM(K371)="","Unknown",PROPER(TRIM(K371)))</f>
        <v>East</v>
      </c>
      <c r="M371" t="s">
        <v>174</v>
      </c>
      <c r="N371" t="s">
        <v>175</v>
      </c>
      <c r="O371" t="s">
        <v>83</v>
      </c>
      <c r="P371" t="str">
        <f>IF(TRIM(O371)="","Unknown",PROPER(TRIM(O371)))</f>
        <v>Technology</v>
      </c>
      <c r="Q371" t="s">
        <v>84</v>
      </c>
      <c r="R371" t="s">
        <v>2700</v>
      </c>
      <c r="S371" t="s">
        <v>47</v>
      </c>
      <c r="T371" t="str">
        <f>IF(TRIM(S371)="","Unknown",PROPER(TRIM(S371)))</f>
        <v>Same Day</v>
      </c>
      <c r="U371">
        <v>7</v>
      </c>
      <c r="V371">
        <v>2648.76</v>
      </c>
      <c r="W371">
        <v>0.15</v>
      </c>
      <c r="Y371">
        <v>0.15</v>
      </c>
      <c r="Z371">
        <v>15760.12</v>
      </c>
      <c r="AA371">
        <v>9931.5300000000007</v>
      </c>
      <c r="AB371">
        <v>5828.59</v>
      </c>
      <c r="AC371" t="s">
        <v>186</v>
      </c>
      <c r="AD371" t="s">
        <v>120</v>
      </c>
      <c r="AE371">
        <f>ROUND((U371*V371)-(U371*V371*Y371),2)</f>
        <v>15760.12</v>
      </c>
      <c r="AF371">
        <f>AE371-AA371</f>
        <v>5828.59</v>
      </c>
      <c r="AG371" s="7">
        <f>ROUND((AF371/AE371),4)</f>
        <v>0.36980000000000002</v>
      </c>
      <c r="AH371">
        <f>IF(AND(C371&lt;&gt;"",E371&lt;&gt;""),E371 - C371,"")</f>
        <v>8</v>
      </c>
      <c r="AI371" t="str">
        <f>IF(C371="","",TEXT(C371, "mmmm"))</f>
        <v>April</v>
      </c>
      <c r="AJ371">
        <f>IF(C371="","",YEAR(C371))</f>
        <v>2024</v>
      </c>
      <c r="AM371" t="str">
        <f>IF(AN371="","clean","")</f>
        <v>clean</v>
      </c>
      <c r="AN371" t="s">
        <v>3595</v>
      </c>
    </row>
    <row r="372" spans="1:40">
      <c r="A372" t="s">
        <v>2717</v>
      </c>
      <c r="B372" t="s">
        <v>3983</v>
      </c>
      <c r="C372" s="6">
        <v>45419</v>
      </c>
      <c r="D372" t="s">
        <v>2042</v>
      </c>
      <c r="E372" s="6">
        <v>45426</v>
      </c>
      <c r="F372" t="s">
        <v>2718</v>
      </c>
      <c r="G372" t="s">
        <v>90</v>
      </c>
      <c r="H372" t="s">
        <v>90</v>
      </c>
      <c r="I372" t="s">
        <v>40</v>
      </c>
      <c r="J372" t="s">
        <v>40</v>
      </c>
      <c r="K372" t="s">
        <v>26</v>
      </c>
      <c r="L372" t="str">
        <f>IF(TRIM(K372)="","Unknown",PROPER(TRIM(K372)))</f>
        <v>North</v>
      </c>
      <c r="M372" t="s">
        <v>294</v>
      </c>
      <c r="N372" t="s">
        <v>295</v>
      </c>
      <c r="O372" t="s">
        <v>83</v>
      </c>
      <c r="P372" t="str">
        <f>IF(TRIM(O372)="","Unknown",PROPER(TRIM(O372)))</f>
        <v>Technology</v>
      </c>
      <c r="Q372" t="s">
        <v>347</v>
      </c>
      <c r="R372" t="s">
        <v>2719</v>
      </c>
      <c r="S372" t="s">
        <v>47</v>
      </c>
      <c r="T372" t="str">
        <f>IF(TRIM(S372)="","Unknown",PROPER(TRIM(S372)))</f>
        <v>Same Day</v>
      </c>
      <c r="U372">
        <v>4</v>
      </c>
      <c r="V372">
        <v>2751.1</v>
      </c>
      <c r="W372">
        <v>-0.05</v>
      </c>
      <c r="Y372">
        <v>0.1</v>
      </c>
      <c r="Z372">
        <v>9903.9599999999991</v>
      </c>
      <c r="AA372">
        <v>7696.28</v>
      </c>
      <c r="AB372">
        <v>2207.6799999999998</v>
      </c>
      <c r="AC372" t="s">
        <v>33</v>
      </c>
      <c r="AD372" t="s">
        <v>34</v>
      </c>
      <c r="AE372">
        <f>ROUND((U372*V372)-(U372*V372*Y372),2)</f>
        <v>9903.9599999999991</v>
      </c>
      <c r="AF372">
        <f>AE372-AA372</f>
        <v>2207.6799999999994</v>
      </c>
      <c r="AG372" s="7">
        <f>ROUND((AF372/AE372),4)</f>
        <v>0.22289999999999999</v>
      </c>
      <c r="AH372">
        <f>IF(AND(C372&lt;&gt;"",E372&lt;&gt;""),E372 - C372,"")</f>
        <v>7</v>
      </c>
      <c r="AI372" t="str">
        <f>IF(C372="","",TEXT(C372, "mmmm"))</f>
        <v>May</v>
      </c>
      <c r="AJ372">
        <f>IF(C372="","",YEAR(C372))</f>
        <v>2024</v>
      </c>
      <c r="AM372" t="s">
        <v>4145</v>
      </c>
      <c r="AN372" t="s">
        <v>3596</v>
      </c>
    </row>
    <row r="373" spans="1:40">
      <c r="A373" t="s">
        <v>2734</v>
      </c>
      <c r="B373" t="s">
        <v>3986</v>
      </c>
      <c r="C373" s="6">
        <v>45429</v>
      </c>
      <c r="D373" t="s">
        <v>2735</v>
      </c>
      <c r="E373" s="6">
        <v>45434</v>
      </c>
      <c r="F373" t="s">
        <v>2736</v>
      </c>
      <c r="G373" t="s">
        <v>158</v>
      </c>
      <c r="H373" t="s">
        <v>158</v>
      </c>
      <c r="I373" t="s">
        <v>25</v>
      </c>
      <c r="J373" t="s">
        <v>25</v>
      </c>
      <c r="K373" t="s">
        <v>60</v>
      </c>
      <c r="L373" t="str">
        <f>IF(TRIM(K373)="","Unknown",PROPER(TRIM(K373)))</f>
        <v>South</v>
      </c>
      <c r="M373" t="s">
        <v>97</v>
      </c>
      <c r="N373" t="s">
        <v>98</v>
      </c>
      <c r="O373" t="s">
        <v>83</v>
      </c>
      <c r="P373" t="str">
        <f>IF(TRIM(O373)="","Unknown",PROPER(TRIM(O373)))</f>
        <v>Technology</v>
      </c>
      <c r="Q373" t="s">
        <v>347</v>
      </c>
      <c r="R373" t="s">
        <v>2737</v>
      </c>
      <c r="S373" t="s">
        <v>32</v>
      </c>
      <c r="T373" t="str">
        <f>IF(TRIM(S373)="","Unknown",PROPER(TRIM(S373)))</f>
        <v>Second Class</v>
      </c>
      <c r="U373">
        <v>7</v>
      </c>
      <c r="V373">
        <v>232.5</v>
      </c>
      <c r="W373">
        <v>0</v>
      </c>
      <c r="Y373">
        <v>0</v>
      </c>
      <c r="Z373">
        <v>1627.5</v>
      </c>
      <c r="AA373">
        <v>939.9</v>
      </c>
      <c r="AB373">
        <v>687.6</v>
      </c>
      <c r="AC373" t="s">
        <v>33</v>
      </c>
      <c r="AD373" t="s">
        <v>34</v>
      </c>
      <c r="AE373">
        <f>ROUND((U373*V373)-(U373*V373*Y373),2)</f>
        <v>1627.5</v>
      </c>
      <c r="AF373">
        <f>AE373-AA373</f>
        <v>687.6</v>
      </c>
      <c r="AG373" s="7">
        <f>ROUND((AF373/AE373),4)</f>
        <v>0.42249999999999999</v>
      </c>
      <c r="AH373">
        <f>IF(AND(C373&lt;&gt;"",E373&lt;&gt;""),E373 - C373,"")</f>
        <v>5</v>
      </c>
      <c r="AI373" t="str">
        <f>IF(C373="","",TEXT(C373, "mmmm"))</f>
        <v>May</v>
      </c>
      <c r="AJ373">
        <f>IF(C373="","",YEAR(C373))</f>
        <v>2024</v>
      </c>
      <c r="AM373" t="str">
        <f>IF(AN373="","clean","")</f>
        <v>clean</v>
      </c>
      <c r="AN373" t="s">
        <v>3595</v>
      </c>
    </row>
    <row r="374" spans="1:40">
      <c r="A374" t="s">
        <v>2738</v>
      </c>
      <c r="B374" t="s">
        <v>3987</v>
      </c>
      <c r="C374" s="6">
        <v>45305</v>
      </c>
      <c r="D374" t="s">
        <v>2739</v>
      </c>
      <c r="E374" s="6">
        <v>45309</v>
      </c>
      <c r="F374" t="s">
        <v>2740</v>
      </c>
      <c r="G374" t="s">
        <v>39</v>
      </c>
      <c r="H374" t="s">
        <v>39</v>
      </c>
      <c r="I374" t="s">
        <v>110</v>
      </c>
      <c r="J374" t="s">
        <v>110</v>
      </c>
      <c r="K374" t="s">
        <v>71</v>
      </c>
      <c r="L374" t="str">
        <f>IF(TRIM(K374)="","Unknown",PROPER(TRIM(K374)))</f>
        <v>West</v>
      </c>
      <c r="M374" t="s">
        <v>27</v>
      </c>
      <c r="N374" t="s">
        <v>129</v>
      </c>
      <c r="O374" t="s">
        <v>83</v>
      </c>
      <c r="P374" t="str">
        <f>IF(TRIM(O374)="","Unknown",PROPER(TRIM(O374)))</f>
        <v>Technology</v>
      </c>
      <c r="Q374" t="s">
        <v>347</v>
      </c>
      <c r="R374" t="s">
        <v>2741</v>
      </c>
      <c r="S374" t="s">
        <v>47</v>
      </c>
      <c r="T374" t="str">
        <f>IF(TRIM(S374)="","Unknown",PROPER(TRIM(S374)))</f>
        <v>Same Day</v>
      </c>
      <c r="U374">
        <v>6</v>
      </c>
      <c r="V374">
        <v>1784.8</v>
      </c>
      <c r="W374">
        <v>0.1</v>
      </c>
      <c r="Y374">
        <v>0.1</v>
      </c>
      <c r="Z374">
        <v>9637.92</v>
      </c>
      <c r="AA374">
        <v>7329.29</v>
      </c>
      <c r="AB374">
        <v>2308.63</v>
      </c>
      <c r="AC374" t="s">
        <v>33</v>
      </c>
      <c r="AD374" t="s">
        <v>34</v>
      </c>
      <c r="AE374">
        <f>ROUND((U374*V374)-(U374*V374*Y374),2)</f>
        <v>9637.92</v>
      </c>
      <c r="AF374">
        <f>AE374-AA374</f>
        <v>2308.63</v>
      </c>
      <c r="AG374" s="7">
        <f>ROUND((AF374/AE374),4)</f>
        <v>0.23949999999999999</v>
      </c>
      <c r="AH374">
        <f>IF(AND(C374&lt;&gt;"",E374&lt;&gt;""),E374 - C374,"")</f>
        <v>4</v>
      </c>
      <c r="AI374" t="str">
        <f>IF(C374="","",TEXT(C374, "mmmm"))</f>
        <v>January</v>
      </c>
      <c r="AJ374">
        <f>IF(C374="","",YEAR(C374))</f>
        <v>2024</v>
      </c>
      <c r="AM374" t="str">
        <f>IF(AN374="","clean","")</f>
        <v>clean</v>
      </c>
      <c r="AN374" t="s">
        <v>3595</v>
      </c>
    </row>
    <row r="375" spans="1:40">
      <c r="A375" t="s">
        <v>2742</v>
      </c>
      <c r="B375" t="s">
        <v>1080</v>
      </c>
      <c r="C375" s="6">
        <v>45414</v>
      </c>
      <c r="D375" t="s">
        <v>2351</v>
      </c>
      <c r="E375" s="6">
        <v>45420</v>
      </c>
      <c r="F375" t="s">
        <v>2743</v>
      </c>
      <c r="G375" t="s">
        <v>141</v>
      </c>
      <c r="H375" t="s">
        <v>141</v>
      </c>
      <c r="I375" t="s">
        <v>110</v>
      </c>
      <c r="J375" t="s">
        <v>110</v>
      </c>
      <c r="K375" t="s">
        <v>41</v>
      </c>
      <c r="L375" t="str">
        <f>IF(TRIM(K375)="","Unknown",PROPER(TRIM(K375)))</f>
        <v>East</v>
      </c>
      <c r="M375" t="s">
        <v>284</v>
      </c>
      <c r="N375" t="s">
        <v>285</v>
      </c>
      <c r="O375" t="s">
        <v>83</v>
      </c>
      <c r="P375" t="str">
        <f>IF(TRIM(O375)="","Unknown",PROPER(TRIM(O375)))</f>
        <v>Technology</v>
      </c>
      <c r="Q375" t="s">
        <v>91</v>
      </c>
      <c r="R375" t="s">
        <v>2744</v>
      </c>
      <c r="S375" t="s">
        <v>32</v>
      </c>
      <c r="T375" t="str">
        <f>IF(TRIM(S375)="","Unknown",PROPER(TRIM(S375)))</f>
        <v>Second Class</v>
      </c>
      <c r="U375">
        <v>2</v>
      </c>
      <c r="V375">
        <v>3185.01</v>
      </c>
      <c r="W375">
        <v>-0.24</v>
      </c>
      <c r="Y375">
        <v>0.25</v>
      </c>
      <c r="Z375">
        <v>4777.5200000000004</v>
      </c>
      <c r="AA375">
        <v>3152.98</v>
      </c>
      <c r="AB375">
        <v>1624.54</v>
      </c>
      <c r="AC375" t="s">
        <v>33</v>
      </c>
      <c r="AD375" t="s">
        <v>34</v>
      </c>
      <c r="AE375">
        <f>ROUND((U375*V375)-(U375*V375*Y375),2)</f>
        <v>4777.5200000000004</v>
      </c>
      <c r="AF375">
        <f>AE375-AA375</f>
        <v>1624.5400000000004</v>
      </c>
      <c r="AG375" s="7">
        <f>ROUND((AF375/AE375),4)</f>
        <v>0.34</v>
      </c>
      <c r="AH375">
        <f>IF(AND(C375&lt;&gt;"",E375&lt;&gt;""),E375 - C375,"")</f>
        <v>6</v>
      </c>
      <c r="AI375" t="str">
        <f>IF(C375="","",TEXT(C375, "mmmm"))</f>
        <v>May</v>
      </c>
      <c r="AJ375">
        <f>IF(C375="","",YEAR(C375))</f>
        <v>2024</v>
      </c>
      <c r="AM375" t="s">
        <v>4145</v>
      </c>
      <c r="AN375" t="s">
        <v>3596</v>
      </c>
    </row>
    <row r="376" spans="1:40">
      <c r="A376" t="s">
        <v>2745</v>
      </c>
      <c r="B376" t="s">
        <v>3988</v>
      </c>
      <c r="C376" s="6">
        <v>45633</v>
      </c>
      <c r="D376" t="s">
        <v>2746</v>
      </c>
      <c r="E376" s="6">
        <v>45636</v>
      </c>
      <c r="F376" t="s">
        <v>2747</v>
      </c>
      <c r="G376" t="s">
        <v>39</v>
      </c>
      <c r="H376" t="s">
        <v>39</v>
      </c>
      <c r="I376" t="s">
        <v>110</v>
      </c>
      <c r="J376" t="s">
        <v>110</v>
      </c>
      <c r="K376" t="s">
        <v>60</v>
      </c>
      <c r="L376" t="str">
        <f>IF(TRIM(K376)="","Unknown",PROPER(TRIM(K376)))</f>
        <v>South</v>
      </c>
      <c r="M376" t="s">
        <v>61</v>
      </c>
      <c r="N376" t="s">
        <v>62</v>
      </c>
      <c r="O376" t="s">
        <v>83</v>
      </c>
      <c r="P376" t="str">
        <f>IF(TRIM(O376)="","Unknown",PROPER(TRIM(O376)))</f>
        <v>Technology</v>
      </c>
      <c r="Q376" t="s">
        <v>84</v>
      </c>
      <c r="R376" t="s">
        <v>2748</v>
      </c>
      <c r="S376" t="s">
        <v>65</v>
      </c>
      <c r="T376" t="str">
        <f>IF(TRIM(S376)="","Unknown",PROPER(TRIM(S376)))</f>
        <v>Standard Class</v>
      </c>
      <c r="U376">
        <v>1</v>
      </c>
      <c r="V376">
        <v>1908.83</v>
      </c>
      <c r="W376">
        <v>0.2</v>
      </c>
      <c r="Y376">
        <v>0.2</v>
      </c>
      <c r="Z376">
        <v>1527.06</v>
      </c>
      <c r="AA376">
        <v>1055.8900000000001</v>
      </c>
      <c r="AB376">
        <v>471.17</v>
      </c>
      <c r="AC376" t="s">
        <v>33</v>
      </c>
      <c r="AD376" t="s">
        <v>34</v>
      </c>
      <c r="AE376">
        <f>ROUND((U376*V376)-(U376*V376*Y376),2)</f>
        <v>1527.06</v>
      </c>
      <c r="AF376">
        <f>AE376-AA376</f>
        <v>471.16999999999985</v>
      </c>
      <c r="AG376" s="7">
        <f>ROUND((AF376/AE376),4)</f>
        <v>0.3085</v>
      </c>
      <c r="AH376">
        <f>IF(AND(C376&lt;&gt;"",E376&lt;&gt;""),E376 - C376,"")</f>
        <v>3</v>
      </c>
      <c r="AI376" t="str">
        <f>IF(C376="","",TEXT(C376, "mmmm"))</f>
        <v>December</v>
      </c>
      <c r="AJ376">
        <f>IF(C376="","",YEAR(C376))</f>
        <v>2024</v>
      </c>
      <c r="AM376" t="str">
        <f>IF(AN376="","clean","")</f>
        <v>clean</v>
      </c>
      <c r="AN376" t="s">
        <v>3595</v>
      </c>
    </row>
    <row r="377" spans="1:40">
      <c r="A377" t="s">
        <v>2753</v>
      </c>
      <c r="B377" t="s">
        <v>1892</v>
      </c>
      <c r="C377" s="6">
        <v>45464</v>
      </c>
      <c r="D377" t="s">
        <v>1843</v>
      </c>
      <c r="E377" s="6">
        <v>45469</v>
      </c>
      <c r="F377" t="s">
        <v>2754</v>
      </c>
      <c r="G377" t="s">
        <v>169</v>
      </c>
      <c r="H377" t="s">
        <v>169</v>
      </c>
      <c r="I377" t="s">
        <v>40</v>
      </c>
      <c r="J377" t="s">
        <v>40</v>
      </c>
      <c r="K377" t="s">
        <v>26</v>
      </c>
      <c r="L377" t="str">
        <f>IF(TRIM(K377)="","Unknown",PROPER(TRIM(K377)))</f>
        <v>North</v>
      </c>
      <c r="M377" t="s">
        <v>146</v>
      </c>
      <c r="N377" t="s">
        <v>147</v>
      </c>
      <c r="O377" t="s">
        <v>83</v>
      </c>
      <c r="P377" t="str">
        <f>IF(TRIM(O377)="","Unknown",PROPER(TRIM(O377)))</f>
        <v>Technology</v>
      </c>
      <c r="Q377" t="s">
        <v>91</v>
      </c>
      <c r="R377" t="s">
        <v>2755</v>
      </c>
      <c r="S377" t="s">
        <v>47</v>
      </c>
      <c r="T377" t="str">
        <f>IF(TRIM(S377)="","Unknown",PROPER(TRIM(S377)))</f>
        <v>Same Day</v>
      </c>
      <c r="U377">
        <v>1</v>
      </c>
      <c r="V377">
        <v>279.83</v>
      </c>
      <c r="W377">
        <v>0.05</v>
      </c>
      <c r="Y377">
        <v>0.05</v>
      </c>
      <c r="Z377">
        <v>265.83999999999997</v>
      </c>
      <c r="AA377">
        <v>223.49</v>
      </c>
      <c r="AB377">
        <v>42.35</v>
      </c>
      <c r="AC377" t="s">
        <v>33</v>
      </c>
      <c r="AD377" t="s">
        <v>34</v>
      </c>
      <c r="AE377">
        <f>ROUND((U377*V377)-(U377*V377*Y377),2)</f>
        <v>265.83999999999997</v>
      </c>
      <c r="AF377">
        <f>AE377-AA377</f>
        <v>42.349999999999966</v>
      </c>
      <c r="AG377" s="7">
        <f>ROUND((AF377/AE377),4)</f>
        <v>0.1593</v>
      </c>
      <c r="AH377">
        <f>IF(AND(C377&lt;&gt;"",E377&lt;&gt;""),E377 - C377,"")</f>
        <v>5</v>
      </c>
      <c r="AI377" t="str">
        <f>IF(C377="","",TEXT(C377, "mmmm"))</f>
        <v>June</v>
      </c>
      <c r="AJ377">
        <f>IF(C377="","",YEAR(C377))</f>
        <v>2024</v>
      </c>
      <c r="AM377" t="str">
        <f>IF(AN377="","clean","")</f>
        <v>clean</v>
      </c>
      <c r="AN377" t="s">
        <v>3595</v>
      </c>
    </row>
    <row r="378" spans="1:40">
      <c r="A378" t="s">
        <v>2760</v>
      </c>
      <c r="B378" t="s">
        <v>3991</v>
      </c>
      <c r="C378" s="6">
        <v>45617</v>
      </c>
      <c r="D378" t="s">
        <v>205</v>
      </c>
      <c r="E378" s="6">
        <v>45619</v>
      </c>
      <c r="F378" t="s">
        <v>2761</v>
      </c>
      <c r="G378" t="s">
        <v>39</v>
      </c>
      <c r="H378" t="s">
        <v>39</v>
      </c>
      <c r="I378" t="s">
        <v>104</v>
      </c>
      <c r="J378" t="s">
        <v>104</v>
      </c>
      <c r="K378" t="s">
        <v>71</v>
      </c>
      <c r="L378" t="str">
        <f>IF(TRIM(K378)="","Unknown",PROPER(TRIM(K378)))</f>
        <v>West</v>
      </c>
      <c r="M378" t="s">
        <v>218</v>
      </c>
      <c r="N378" t="s">
        <v>219</v>
      </c>
      <c r="O378" t="s">
        <v>29</v>
      </c>
      <c r="P378" t="str">
        <f>IF(TRIM(O378)="","Unknown",PROPER(TRIM(O378)))</f>
        <v>Office Supplies</v>
      </c>
      <c r="Q378" t="s">
        <v>30</v>
      </c>
      <c r="R378" t="s">
        <v>2762</v>
      </c>
      <c r="S378" t="s">
        <v>32</v>
      </c>
      <c r="T378" t="str">
        <f>IF(TRIM(S378)="","Unknown",PROPER(TRIM(S378)))</f>
        <v>Second Class</v>
      </c>
      <c r="U378">
        <v>5</v>
      </c>
      <c r="V378">
        <v>600.46</v>
      </c>
      <c r="W378">
        <v>0.2</v>
      </c>
      <c r="Y378">
        <v>0.2</v>
      </c>
      <c r="Z378">
        <v>2401.84</v>
      </c>
      <c r="AA378">
        <v>1873.11</v>
      </c>
      <c r="AB378">
        <v>528.73</v>
      </c>
      <c r="AC378" t="s">
        <v>33</v>
      </c>
      <c r="AD378" t="s">
        <v>34</v>
      </c>
      <c r="AE378">
        <f>ROUND((U378*V378)-(U378*V378*Y378),2)</f>
        <v>2401.84</v>
      </c>
      <c r="AF378">
        <f>AE378-AA378</f>
        <v>528.73000000000025</v>
      </c>
      <c r="AG378" s="7">
        <f>ROUND((AF378/AE378),4)</f>
        <v>0.22009999999999999</v>
      </c>
      <c r="AH378">
        <f>IF(AND(C378&lt;&gt;"",E378&lt;&gt;""),E378 - C378,"")</f>
        <v>2</v>
      </c>
      <c r="AI378" t="str">
        <f>IF(C378="","",TEXT(C378, "mmmm"))</f>
        <v>November</v>
      </c>
      <c r="AJ378">
        <f>IF(C378="","",YEAR(C378))</f>
        <v>2024</v>
      </c>
      <c r="AM378" t="str">
        <f>IF(AN378="","clean","")</f>
        <v>clean</v>
      </c>
      <c r="AN378" t="s">
        <v>3595</v>
      </c>
    </row>
    <row r="379" spans="1:40">
      <c r="A379" t="s">
        <v>2763</v>
      </c>
      <c r="B379" t="s">
        <v>3992</v>
      </c>
      <c r="C379" s="6">
        <v>45375</v>
      </c>
      <c r="D379" t="s">
        <v>2764</v>
      </c>
      <c r="E379" s="6">
        <v>45383</v>
      </c>
      <c r="F379" t="s">
        <v>2765</v>
      </c>
      <c r="G379" t="s">
        <v>70</v>
      </c>
      <c r="H379" t="s">
        <v>70</v>
      </c>
      <c r="I379" t="s">
        <v>110</v>
      </c>
      <c r="J379" t="s">
        <v>110</v>
      </c>
      <c r="K379" t="s">
        <v>71</v>
      </c>
      <c r="L379" t="str">
        <f>IF(TRIM(K379)="","Unknown",PROPER(TRIM(K379)))</f>
        <v>West</v>
      </c>
      <c r="M379" t="s">
        <v>72</v>
      </c>
      <c r="N379" t="s">
        <v>73</v>
      </c>
      <c r="O379" t="s">
        <v>44</v>
      </c>
      <c r="P379" t="str">
        <f>IF(TRIM(O379)="","Unknown",PROPER(TRIM(O379)))</f>
        <v>Furniture</v>
      </c>
      <c r="Q379" t="s">
        <v>45</v>
      </c>
      <c r="R379" t="s">
        <v>2766</v>
      </c>
      <c r="S379" t="s">
        <v>32</v>
      </c>
      <c r="T379" t="str">
        <f>IF(TRIM(S379)="","Unknown",PROPER(TRIM(S379)))</f>
        <v>Second Class</v>
      </c>
      <c r="U379">
        <v>4</v>
      </c>
      <c r="V379">
        <v>1700.72</v>
      </c>
      <c r="W379">
        <v>0.25</v>
      </c>
      <c r="Y379">
        <v>0.25</v>
      </c>
      <c r="Z379">
        <v>5102.16</v>
      </c>
      <c r="AA379">
        <v>3226.45</v>
      </c>
      <c r="AB379">
        <v>1875.71</v>
      </c>
      <c r="AC379" t="s">
        <v>33</v>
      </c>
      <c r="AD379" t="s">
        <v>34</v>
      </c>
      <c r="AE379">
        <f>ROUND((U379*V379)-(U379*V379*Y379),2)</f>
        <v>5102.16</v>
      </c>
      <c r="AF379">
        <f>AE379-AA379</f>
        <v>1875.71</v>
      </c>
      <c r="AG379" s="7">
        <f>ROUND((AF379/AE379),4)</f>
        <v>0.36759999999999998</v>
      </c>
      <c r="AH379">
        <f>IF(AND(C379&lt;&gt;"",E379&lt;&gt;""),E379 - C379,"")</f>
        <v>8</v>
      </c>
      <c r="AI379" t="str">
        <f>IF(C379="","",TEXT(C379, "mmmm"))</f>
        <v>March</v>
      </c>
      <c r="AJ379">
        <f>IF(C379="","",YEAR(C379))</f>
        <v>2024</v>
      </c>
      <c r="AM379" t="str">
        <f>IF(AN379="","clean","")</f>
        <v>clean</v>
      </c>
      <c r="AN379" t="s">
        <v>3595</v>
      </c>
    </row>
    <row r="380" spans="1:40">
      <c r="A380" t="s">
        <v>2769</v>
      </c>
      <c r="B380" t="s">
        <v>3994</v>
      </c>
      <c r="C380" s="6">
        <v>45373</v>
      </c>
      <c r="D380" t="s">
        <v>2770</v>
      </c>
      <c r="F380" t="s">
        <v>2771</v>
      </c>
      <c r="G380" t="s">
        <v>103</v>
      </c>
      <c r="H380" t="s">
        <v>103</v>
      </c>
      <c r="I380" t="s">
        <v>110</v>
      </c>
      <c r="J380" t="s">
        <v>110</v>
      </c>
      <c r="K380" t="s">
        <v>71</v>
      </c>
      <c r="L380" t="str">
        <f>IF(TRIM(K380)="","Unknown",PROPER(TRIM(K380)))</f>
        <v>West</v>
      </c>
      <c r="M380" t="s">
        <v>230</v>
      </c>
      <c r="N380" t="s">
        <v>231</v>
      </c>
      <c r="O380" t="s">
        <v>83</v>
      </c>
      <c r="P380" t="str">
        <f>IF(TRIM(O380)="","Unknown",PROPER(TRIM(O380)))</f>
        <v>Technology</v>
      </c>
      <c r="Q380" t="s">
        <v>2772</v>
      </c>
      <c r="R380" t="s">
        <v>2773</v>
      </c>
      <c r="S380" t="s">
        <v>32</v>
      </c>
      <c r="T380" t="str">
        <f>IF(TRIM(S380)="","Unknown",PROPER(TRIM(S380)))</f>
        <v>Second Class</v>
      </c>
      <c r="U380">
        <v>9</v>
      </c>
      <c r="V380">
        <v>3649.51</v>
      </c>
      <c r="W380">
        <v>0.05</v>
      </c>
      <c r="Y380">
        <v>0.05</v>
      </c>
      <c r="Z380">
        <v>31203.31</v>
      </c>
      <c r="AA380">
        <v>17738.13</v>
      </c>
      <c r="AB380">
        <v>13465.18</v>
      </c>
      <c r="AC380" t="s">
        <v>33</v>
      </c>
      <c r="AD380" t="s">
        <v>34</v>
      </c>
      <c r="AE380">
        <f>ROUND((U380*V380)-(U380*V380*Y380),2)</f>
        <v>31203.31</v>
      </c>
      <c r="AF380">
        <f>AE380-AA380</f>
        <v>13465.18</v>
      </c>
      <c r="AG380" s="7">
        <f>ROUND((AF380/AE380),4)</f>
        <v>0.43149999999999999</v>
      </c>
      <c r="AH380" t="str">
        <f>IF(AND(C380&lt;&gt;"",E380&lt;&gt;""),E380 - C380,"")</f>
        <v/>
      </c>
      <c r="AI380" t="str">
        <f>IF(C380="","",TEXT(C380, "mmmm"))</f>
        <v>March</v>
      </c>
      <c r="AJ380">
        <f>IF(C380="","",YEAR(C380))</f>
        <v>2024</v>
      </c>
      <c r="AM380" t="s">
        <v>4144</v>
      </c>
      <c r="AN380" t="s">
        <v>4136</v>
      </c>
    </row>
    <row r="381" spans="1:40">
      <c r="A381" t="s">
        <v>2774</v>
      </c>
      <c r="B381" t="s">
        <v>3995</v>
      </c>
      <c r="C381" s="6">
        <v>45539</v>
      </c>
      <c r="D381" t="s">
        <v>2775</v>
      </c>
      <c r="E381" s="6">
        <v>45540</v>
      </c>
      <c r="F381" t="s">
        <v>2776</v>
      </c>
      <c r="G381" t="s">
        <v>103</v>
      </c>
      <c r="H381" t="s">
        <v>103</v>
      </c>
      <c r="I381" t="s">
        <v>104</v>
      </c>
      <c r="J381" t="s">
        <v>104</v>
      </c>
      <c r="K381" t="s">
        <v>71</v>
      </c>
      <c r="L381" t="str">
        <f>IF(TRIM(K381)="","Unknown",PROPER(TRIM(K381)))</f>
        <v>West</v>
      </c>
      <c r="M381" t="s">
        <v>81</v>
      </c>
      <c r="N381" t="s">
        <v>82</v>
      </c>
      <c r="O381" t="s">
        <v>44</v>
      </c>
      <c r="P381" t="str">
        <f>IF(TRIM(O381)="","Unknown",PROPER(TRIM(O381)))</f>
        <v>Furniture</v>
      </c>
      <c r="Q381" t="s">
        <v>74</v>
      </c>
      <c r="R381" t="s">
        <v>2777</v>
      </c>
      <c r="S381" t="s">
        <v>65</v>
      </c>
      <c r="T381" t="str">
        <f>IF(TRIM(S381)="","Unknown",PROPER(TRIM(S381)))</f>
        <v>Standard Class</v>
      </c>
      <c r="U381">
        <v>5</v>
      </c>
      <c r="V381">
        <v>2528.5300000000002</v>
      </c>
      <c r="W381">
        <v>0.05</v>
      </c>
      <c r="Y381">
        <v>0.05</v>
      </c>
      <c r="Z381">
        <v>12010.52</v>
      </c>
      <c r="AA381">
        <v>7864.61</v>
      </c>
      <c r="AB381">
        <v>4145.91</v>
      </c>
      <c r="AC381" t="s">
        <v>33</v>
      </c>
      <c r="AD381" t="s">
        <v>120</v>
      </c>
      <c r="AE381">
        <f>ROUND((U381*V381)-(U381*V381*Y381),2)</f>
        <v>12010.52</v>
      </c>
      <c r="AF381">
        <f>AE381-AA381</f>
        <v>4145.9100000000008</v>
      </c>
      <c r="AG381" s="7">
        <f>ROUND((AF381/AE381),4)</f>
        <v>0.34520000000000001</v>
      </c>
      <c r="AH381">
        <f>IF(AND(C381&lt;&gt;"",E381&lt;&gt;""),E381 - C381,"")</f>
        <v>1</v>
      </c>
      <c r="AI381" t="str">
        <f>IF(C381="","",TEXT(C381, "mmmm"))</f>
        <v>September</v>
      </c>
      <c r="AJ381">
        <f>IF(C381="","",YEAR(C381))</f>
        <v>2024</v>
      </c>
      <c r="AM381" t="str">
        <f>IF(AN381="","clean","")</f>
        <v>clean</v>
      </c>
      <c r="AN381" t="s">
        <v>3595</v>
      </c>
    </row>
    <row r="382" spans="1:40">
      <c r="A382" t="s">
        <v>2782</v>
      </c>
      <c r="B382" t="s">
        <v>3996</v>
      </c>
      <c r="C382" s="6">
        <v>45430</v>
      </c>
      <c r="D382" t="s">
        <v>2783</v>
      </c>
      <c r="E382" s="6">
        <v>45433</v>
      </c>
      <c r="F382" t="s">
        <v>2784</v>
      </c>
      <c r="G382" t="s">
        <v>80</v>
      </c>
      <c r="H382" t="s">
        <v>80</v>
      </c>
      <c r="I382" t="s">
        <v>104</v>
      </c>
      <c r="J382" t="s">
        <v>104</v>
      </c>
      <c r="K382" t="s">
        <v>41</v>
      </c>
      <c r="L382" t="str">
        <f>IF(TRIM(K382)="","Unknown",PROPER(TRIM(K382)))</f>
        <v>East</v>
      </c>
      <c r="M382" t="s">
        <v>284</v>
      </c>
      <c r="N382" t="s">
        <v>285</v>
      </c>
      <c r="O382" t="s">
        <v>83</v>
      </c>
      <c r="P382" t="str">
        <f>IF(TRIM(O382)="","Unknown",PROPER(TRIM(O382)))</f>
        <v>Technology</v>
      </c>
      <c r="Q382" t="s">
        <v>84</v>
      </c>
      <c r="R382" t="s">
        <v>2785</v>
      </c>
      <c r="S382" t="s">
        <v>32</v>
      </c>
      <c r="T382" t="str">
        <f>IF(TRIM(S382)="","Unknown",PROPER(TRIM(S382)))</f>
        <v>Second Class</v>
      </c>
      <c r="U382">
        <v>1</v>
      </c>
      <c r="V382">
        <v>1033.71</v>
      </c>
      <c r="W382">
        <v>0</v>
      </c>
      <c r="Y382">
        <v>0</v>
      </c>
      <c r="Z382">
        <v>1033.71</v>
      </c>
      <c r="AA382">
        <v>630.82000000000005</v>
      </c>
      <c r="AB382">
        <v>402.89</v>
      </c>
      <c r="AC382" t="s">
        <v>131</v>
      </c>
      <c r="AD382" t="s">
        <v>120</v>
      </c>
      <c r="AE382">
        <f>ROUND((U382*V382)-(U382*V382*Y382),2)</f>
        <v>1033.71</v>
      </c>
      <c r="AF382">
        <f>AE382-AA382</f>
        <v>402.89</v>
      </c>
      <c r="AG382" s="7">
        <f>ROUND((AF382/AE382),4)</f>
        <v>0.38979999999999998</v>
      </c>
      <c r="AH382">
        <f>IF(AND(C382&lt;&gt;"",E382&lt;&gt;""),E382 - C382,"")</f>
        <v>3</v>
      </c>
      <c r="AI382" t="str">
        <f>IF(C382="","",TEXT(C382, "mmmm"))</f>
        <v>May</v>
      </c>
      <c r="AJ382">
        <f>IF(C382="","",YEAR(C382))</f>
        <v>2024</v>
      </c>
      <c r="AM382" t="str">
        <f>IF(AN382="","clean","")</f>
        <v>clean</v>
      </c>
      <c r="AN382" t="s">
        <v>3595</v>
      </c>
    </row>
    <row r="383" spans="1:40">
      <c r="A383" t="s">
        <v>2793</v>
      </c>
      <c r="B383" t="s">
        <v>3999</v>
      </c>
      <c r="C383" s="6">
        <v>45465</v>
      </c>
      <c r="D383" t="s">
        <v>2794</v>
      </c>
      <c r="F383" t="s">
        <v>23</v>
      </c>
      <c r="G383" t="s">
        <v>52</v>
      </c>
      <c r="H383" t="s">
        <v>52</v>
      </c>
      <c r="I383" t="s">
        <v>110</v>
      </c>
      <c r="J383" t="s">
        <v>110</v>
      </c>
      <c r="K383" t="s">
        <v>60</v>
      </c>
      <c r="L383" t="str">
        <f>IF(TRIM(K383)="","Unknown",PROPER(TRIM(K383)))</f>
        <v>South</v>
      </c>
      <c r="M383" t="s">
        <v>212</v>
      </c>
      <c r="N383" t="s">
        <v>213</v>
      </c>
      <c r="O383" t="s">
        <v>44</v>
      </c>
      <c r="P383" t="str">
        <f>IF(TRIM(O383)="","Unknown",PROPER(TRIM(O383)))</f>
        <v>Furniture</v>
      </c>
      <c r="Q383" t="s">
        <v>74</v>
      </c>
      <c r="R383" t="s">
        <v>2795</v>
      </c>
      <c r="S383" t="s">
        <v>47</v>
      </c>
      <c r="T383" t="str">
        <f>IF(TRIM(S383)="","Unknown",PROPER(TRIM(S383)))</f>
        <v>Same Day</v>
      </c>
      <c r="U383">
        <v>7</v>
      </c>
      <c r="V383">
        <v>2623.48</v>
      </c>
      <c r="W383">
        <v>0</v>
      </c>
      <c r="Y383">
        <v>0</v>
      </c>
      <c r="Z383">
        <v>18364.36</v>
      </c>
      <c r="AA383">
        <v>15445.81</v>
      </c>
      <c r="AB383">
        <v>2918.55</v>
      </c>
      <c r="AC383" t="s">
        <v>33</v>
      </c>
      <c r="AD383" t="s">
        <v>34</v>
      </c>
      <c r="AE383">
        <f>ROUND((U383*V383)-(U383*V383*Y383),2)</f>
        <v>18364.36</v>
      </c>
      <c r="AF383">
        <f>AE383-AA383</f>
        <v>2918.5500000000011</v>
      </c>
      <c r="AG383" s="7">
        <f>ROUND((AF383/AE383),4)</f>
        <v>0.15890000000000001</v>
      </c>
      <c r="AH383" t="str">
        <f>IF(AND(C383&lt;&gt;"",E383&lt;&gt;""),E383 - C383,"")</f>
        <v/>
      </c>
      <c r="AI383" t="str">
        <f>IF(C383="","",TEXT(C383, "mmmm"))</f>
        <v>June</v>
      </c>
      <c r="AJ383">
        <f>IF(C383="","",YEAR(C383))</f>
        <v>2024</v>
      </c>
      <c r="AM383" t="s">
        <v>4144</v>
      </c>
      <c r="AN383" t="s">
        <v>4136</v>
      </c>
    </row>
    <row r="384" spans="1:40">
      <c r="A384" t="s">
        <v>2796</v>
      </c>
      <c r="B384" t="s">
        <v>4000</v>
      </c>
      <c r="D384" t="s">
        <v>2797</v>
      </c>
      <c r="E384" s="6">
        <v>45627</v>
      </c>
      <c r="F384" t="s">
        <v>2798</v>
      </c>
      <c r="G384" t="s">
        <v>334</v>
      </c>
      <c r="H384" t="s">
        <v>334</v>
      </c>
      <c r="I384" t="s">
        <v>104</v>
      </c>
      <c r="J384" t="s">
        <v>104</v>
      </c>
      <c r="K384" t="s">
        <v>60</v>
      </c>
      <c r="L384" t="str">
        <f>IF(TRIM(K384)="","Unknown",PROPER(TRIM(K384)))</f>
        <v>South</v>
      </c>
      <c r="M384" t="s">
        <v>212</v>
      </c>
      <c r="N384" t="s">
        <v>213</v>
      </c>
      <c r="O384" t="s">
        <v>44</v>
      </c>
      <c r="P384" t="str">
        <f>IF(TRIM(O384)="","Unknown",PROPER(TRIM(O384)))</f>
        <v>Furniture</v>
      </c>
      <c r="Q384" t="s">
        <v>45</v>
      </c>
      <c r="R384" t="s">
        <v>2799</v>
      </c>
      <c r="S384" t="s">
        <v>32</v>
      </c>
      <c r="T384" t="str">
        <f>IF(TRIM(S384)="","Unknown",PROPER(TRIM(S384)))</f>
        <v>Second Class</v>
      </c>
      <c r="U384">
        <v>9</v>
      </c>
      <c r="V384">
        <v>2763.61</v>
      </c>
      <c r="W384">
        <v>0.15</v>
      </c>
      <c r="Y384">
        <v>0.15</v>
      </c>
      <c r="Z384">
        <v>21141.62</v>
      </c>
      <c r="AA384">
        <v>11676.33</v>
      </c>
      <c r="AB384">
        <v>9465.2900000000009</v>
      </c>
      <c r="AC384" t="s">
        <v>33</v>
      </c>
      <c r="AD384" t="s">
        <v>34</v>
      </c>
      <c r="AE384">
        <f>ROUND((U384*V384)-(U384*V384*Y384),2)</f>
        <v>21141.62</v>
      </c>
      <c r="AF384">
        <f>AE384-AA384</f>
        <v>9465.2899999999991</v>
      </c>
      <c r="AG384" s="7">
        <f>ROUND((AF384/AE384),4)</f>
        <v>0.44769999999999999</v>
      </c>
      <c r="AH384" t="str">
        <f>IF(AND(C384&lt;&gt;"",E384&lt;&gt;""),E384 - C384,"")</f>
        <v/>
      </c>
      <c r="AI384" t="str">
        <f>IF(C384="","",TEXT(C384, "mmmm"))</f>
        <v/>
      </c>
      <c r="AJ384" t="str">
        <f>IF(C384="","",YEAR(C384))</f>
        <v/>
      </c>
      <c r="AM384" t="s">
        <v>4144</v>
      </c>
      <c r="AN384" t="s">
        <v>4127</v>
      </c>
    </row>
    <row r="385" spans="1:40">
      <c r="A385" t="s">
        <v>2803</v>
      </c>
      <c r="B385" t="s">
        <v>252</v>
      </c>
      <c r="C385" s="6">
        <v>45441</v>
      </c>
      <c r="D385" t="s">
        <v>519</v>
      </c>
      <c r="E385" s="6">
        <v>45448</v>
      </c>
      <c r="F385" t="s">
        <v>2804</v>
      </c>
      <c r="G385" t="s">
        <v>334</v>
      </c>
      <c r="H385" t="s">
        <v>334</v>
      </c>
      <c r="I385" t="s">
        <v>104</v>
      </c>
      <c r="J385" t="s">
        <v>104</v>
      </c>
      <c r="K385" t="s">
        <v>60</v>
      </c>
      <c r="L385" t="str">
        <f>IF(TRIM(K385)="","Unknown",PROPER(TRIM(K385)))</f>
        <v>South</v>
      </c>
      <c r="M385" t="s">
        <v>309</v>
      </c>
      <c r="N385" t="s">
        <v>310</v>
      </c>
      <c r="O385" t="s">
        <v>83</v>
      </c>
      <c r="P385" t="str">
        <f>IF(TRIM(O385)="","Unknown",PROPER(TRIM(O385)))</f>
        <v>Technology</v>
      </c>
      <c r="Q385" t="s">
        <v>84</v>
      </c>
      <c r="R385" t="s">
        <v>2805</v>
      </c>
      <c r="S385" t="s">
        <v>55</v>
      </c>
      <c r="T385" t="str">
        <f>IF(TRIM(S385)="","Unknown",PROPER(TRIM(S385)))</f>
        <v>First Class</v>
      </c>
      <c r="U385">
        <v>4</v>
      </c>
      <c r="V385">
        <v>3700.24</v>
      </c>
      <c r="W385">
        <v>0</v>
      </c>
      <c r="Y385">
        <v>0</v>
      </c>
      <c r="Z385">
        <v>14800.96</v>
      </c>
      <c r="AA385">
        <v>12048.39</v>
      </c>
      <c r="AB385">
        <v>2752.57</v>
      </c>
      <c r="AC385" t="s">
        <v>33</v>
      </c>
      <c r="AD385" t="s">
        <v>34</v>
      </c>
      <c r="AE385">
        <f>ROUND((U385*V385)-(U385*V385*Y385),2)</f>
        <v>14800.96</v>
      </c>
      <c r="AF385">
        <f>AE385-AA385</f>
        <v>2752.5699999999997</v>
      </c>
      <c r="AG385" s="7">
        <f>ROUND((AF385/AE385),4)</f>
        <v>0.186</v>
      </c>
      <c r="AH385">
        <f>IF(AND(C385&lt;&gt;"",E385&lt;&gt;""),E385 - C385,"")</f>
        <v>7</v>
      </c>
      <c r="AI385" t="str">
        <f>IF(C385="","",TEXT(C385, "mmmm"))</f>
        <v>May</v>
      </c>
      <c r="AJ385">
        <f>IF(C385="","",YEAR(C385))</f>
        <v>2024</v>
      </c>
      <c r="AM385" t="str">
        <f>IF(AN385="","clean","")</f>
        <v>clean</v>
      </c>
      <c r="AN385" t="s">
        <v>3595</v>
      </c>
    </row>
    <row r="386" spans="1:40">
      <c r="A386" t="s">
        <v>2806</v>
      </c>
      <c r="B386" t="s">
        <v>4002</v>
      </c>
      <c r="C386" s="6">
        <v>45477</v>
      </c>
      <c r="D386" t="s">
        <v>2807</v>
      </c>
      <c r="E386" s="6">
        <v>45483</v>
      </c>
      <c r="F386" t="s">
        <v>2808</v>
      </c>
      <c r="G386" t="s">
        <v>80</v>
      </c>
      <c r="H386" t="s">
        <v>80</v>
      </c>
      <c r="I386" t="s">
        <v>104</v>
      </c>
      <c r="J386" t="s">
        <v>104</v>
      </c>
      <c r="K386" t="s">
        <v>26</v>
      </c>
      <c r="L386" t="str">
        <f>IF(TRIM(K386)="","Unknown",PROPER(TRIM(K386)))</f>
        <v>North</v>
      </c>
      <c r="M386" t="s">
        <v>454</v>
      </c>
      <c r="N386" t="s">
        <v>455</v>
      </c>
      <c r="O386" t="s">
        <v>44</v>
      </c>
      <c r="P386" t="str">
        <f>IF(TRIM(O386)="","Unknown",PROPER(TRIM(O386)))</f>
        <v>Furniture</v>
      </c>
      <c r="Q386" t="s">
        <v>45</v>
      </c>
      <c r="R386" t="s">
        <v>2809</v>
      </c>
      <c r="S386" t="s">
        <v>32</v>
      </c>
      <c r="T386" t="str">
        <f>IF(TRIM(S386)="","Unknown",PROPER(TRIM(S386)))</f>
        <v>Second Class</v>
      </c>
      <c r="U386">
        <v>5</v>
      </c>
      <c r="V386">
        <v>1200.27</v>
      </c>
      <c r="W386">
        <v>0</v>
      </c>
      <c r="Y386">
        <v>0</v>
      </c>
      <c r="Z386">
        <v>6001.35</v>
      </c>
      <c r="AA386">
        <v>4182.99</v>
      </c>
      <c r="AB386">
        <v>1818.36</v>
      </c>
      <c r="AC386" t="s">
        <v>33</v>
      </c>
      <c r="AD386" t="s">
        <v>76</v>
      </c>
      <c r="AE386">
        <f>ROUND((U386*V386)-(U386*V386*Y386),2)</f>
        <v>6001.35</v>
      </c>
      <c r="AF386">
        <f>AE386-AA386</f>
        <v>1818.3600000000006</v>
      </c>
      <c r="AG386" s="7">
        <f>ROUND((AF386/AE386),4)</f>
        <v>0.30299999999999999</v>
      </c>
      <c r="AH386">
        <f>IF(AND(C386&lt;&gt;"",E386&lt;&gt;""),E386 - C386,"")</f>
        <v>6</v>
      </c>
      <c r="AI386" t="str">
        <f>IF(C386="","",TEXT(C386, "mmmm"))</f>
        <v>July</v>
      </c>
      <c r="AJ386">
        <f>IF(C386="","",YEAR(C386))</f>
        <v>2024</v>
      </c>
      <c r="AM386" t="str">
        <f>IF(AN386="","clean","")</f>
        <v>clean</v>
      </c>
      <c r="AN386" t="s">
        <v>3595</v>
      </c>
    </row>
    <row r="387" spans="1:40">
      <c r="A387" t="s">
        <v>2822</v>
      </c>
      <c r="B387" t="s">
        <v>4006</v>
      </c>
      <c r="D387" t="s">
        <v>1908</v>
      </c>
      <c r="E387" s="6">
        <v>45384</v>
      </c>
      <c r="F387" t="s">
        <v>2823</v>
      </c>
      <c r="G387" t="s">
        <v>158</v>
      </c>
      <c r="H387" t="s">
        <v>158</v>
      </c>
      <c r="I387" t="s">
        <v>110</v>
      </c>
      <c r="J387" t="s">
        <v>110</v>
      </c>
      <c r="K387" t="s">
        <v>60</v>
      </c>
      <c r="L387" t="str">
        <f>IF(TRIM(K387)="","Unknown",PROPER(TRIM(K387)))</f>
        <v>South</v>
      </c>
      <c r="M387" t="s">
        <v>309</v>
      </c>
      <c r="N387" t="s">
        <v>310</v>
      </c>
      <c r="O387" t="s">
        <v>83</v>
      </c>
      <c r="P387" t="str">
        <f>IF(TRIM(O387)="","Unknown",PROPER(TRIM(O387)))</f>
        <v>Technology</v>
      </c>
      <c r="Q387" t="s">
        <v>91</v>
      </c>
      <c r="R387" t="s">
        <v>2824</v>
      </c>
      <c r="S387" t="s">
        <v>65</v>
      </c>
      <c r="T387" t="str">
        <f>IF(TRIM(S387)="","Unknown",PROPER(TRIM(S387)))</f>
        <v>Standard Class</v>
      </c>
      <c r="U387">
        <v>2</v>
      </c>
      <c r="V387">
        <v>2349.13</v>
      </c>
      <c r="W387">
        <v>0</v>
      </c>
      <c r="Y387">
        <v>0</v>
      </c>
      <c r="Z387">
        <v>4698.26</v>
      </c>
      <c r="AA387">
        <v>2654.92</v>
      </c>
      <c r="AB387">
        <v>2043.34</v>
      </c>
      <c r="AC387" t="s">
        <v>33</v>
      </c>
      <c r="AD387" t="s">
        <v>34</v>
      </c>
      <c r="AE387">
        <f>ROUND((U387*V387)-(U387*V387*Y387),2)</f>
        <v>4698.26</v>
      </c>
      <c r="AF387">
        <f>AE387-AA387</f>
        <v>2043.3400000000001</v>
      </c>
      <c r="AG387" s="7">
        <f>ROUND((AF387/AE387),4)</f>
        <v>0.43490000000000001</v>
      </c>
      <c r="AH387" t="str">
        <f>IF(AND(C387&lt;&gt;"",E387&lt;&gt;""),E387 - C387,"")</f>
        <v/>
      </c>
      <c r="AI387" t="str">
        <f>IF(C387="","",TEXT(C387, "mmmm"))</f>
        <v/>
      </c>
      <c r="AJ387" t="str">
        <f>IF(C387="","",YEAR(C387))</f>
        <v/>
      </c>
      <c r="AM387" t="s">
        <v>4144</v>
      </c>
      <c r="AN387" t="s">
        <v>4127</v>
      </c>
    </row>
    <row r="388" spans="1:40">
      <c r="A388" t="s">
        <v>2833</v>
      </c>
      <c r="B388" t="s">
        <v>2834</v>
      </c>
      <c r="C388" s="6">
        <v>45570</v>
      </c>
      <c r="D388" t="s">
        <v>2835</v>
      </c>
      <c r="E388" s="6">
        <v>45571</v>
      </c>
      <c r="F388" t="s">
        <v>2836</v>
      </c>
      <c r="G388" t="s">
        <v>169</v>
      </c>
      <c r="H388" t="s">
        <v>169</v>
      </c>
      <c r="I388" t="s">
        <v>40</v>
      </c>
      <c r="J388" t="s">
        <v>40</v>
      </c>
      <c r="K388" t="s">
        <v>26</v>
      </c>
      <c r="L388" t="str">
        <f>IF(TRIM(K388)="","Unknown",PROPER(TRIM(K388)))</f>
        <v>North</v>
      </c>
      <c r="M388" t="s">
        <v>146</v>
      </c>
      <c r="N388" t="s">
        <v>147</v>
      </c>
      <c r="O388" t="s">
        <v>44</v>
      </c>
      <c r="P388" t="str">
        <f>IF(TRIM(O388)="","Unknown",PROPER(TRIM(O388)))</f>
        <v>Furniture</v>
      </c>
      <c r="Q388" t="s">
        <v>45</v>
      </c>
      <c r="R388" t="s">
        <v>2837</v>
      </c>
      <c r="S388" t="s">
        <v>65</v>
      </c>
      <c r="T388" t="str">
        <f>IF(TRIM(S388)="","Unknown",PROPER(TRIM(S388)))</f>
        <v>Standard Class</v>
      </c>
      <c r="U388">
        <v>9</v>
      </c>
      <c r="V388">
        <v>489.58</v>
      </c>
      <c r="W388">
        <v>0.15</v>
      </c>
      <c r="Y388">
        <v>0.15</v>
      </c>
      <c r="Z388">
        <v>3745.29</v>
      </c>
      <c r="AA388">
        <v>2302.65</v>
      </c>
      <c r="AB388">
        <v>1442.64</v>
      </c>
      <c r="AC388" t="s">
        <v>186</v>
      </c>
      <c r="AD388" t="s">
        <v>76</v>
      </c>
      <c r="AE388">
        <f>ROUND((U388*V388)-(U388*V388*Y388),2)</f>
        <v>3745.29</v>
      </c>
      <c r="AF388">
        <f>AE388-AA388</f>
        <v>1442.6399999999999</v>
      </c>
      <c r="AG388" s="7">
        <f>ROUND((AF388/AE388),4)</f>
        <v>0.38519999999999999</v>
      </c>
      <c r="AH388">
        <f>IF(AND(C388&lt;&gt;"",E388&lt;&gt;""),E388 - C388,"")</f>
        <v>1</v>
      </c>
      <c r="AI388" t="str">
        <f>IF(C388="","",TEXT(C388, "mmmm"))</f>
        <v>October</v>
      </c>
      <c r="AJ388">
        <f>IF(C388="","",YEAR(C388))</f>
        <v>2024</v>
      </c>
      <c r="AM388" t="str">
        <f>IF(AN388="","clean","")</f>
        <v>clean</v>
      </c>
      <c r="AN388" t="s">
        <v>3595</v>
      </c>
    </row>
    <row r="389" spans="1:40">
      <c r="A389" t="s">
        <v>2838</v>
      </c>
      <c r="B389" t="s">
        <v>778</v>
      </c>
      <c r="C389" s="6">
        <v>45546</v>
      </c>
      <c r="D389" t="s">
        <v>2839</v>
      </c>
      <c r="E389" s="6">
        <v>45550</v>
      </c>
      <c r="F389" t="s">
        <v>2840</v>
      </c>
      <c r="G389" t="s">
        <v>158</v>
      </c>
      <c r="H389" t="s">
        <v>158</v>
      </c>
      <c r="I389" t="s">
        <v>104</v>
      </c>
      <c r="J389" t="s">
        <v>104</v>
      </c>
      <c r="K389" t="s">
        <v>60</v>
      </c>
      <c r="L389" t="str">
        <f>IF(TRIM(K389)="","Unknown",PROPER(TRIM(K389)))</f>
        <v>South</v>
      </c>
      <c r="M389" t="s">
        <v>309</v>
      </c>
      <c r="N389" t="s">
        <v>310</v>
      </c>
      <c r="O389" t="s">
        <v>29</v>
      </c>
      <c r="P389" t="str">
        <f>IF(TRIM(O389)="","Unknown",PROPER(TRIM(O389)))</f>
        <v>Office Supplies</v>
      </c>
      <c r="Q389" t="s">
        <v>53</v>
      </c>
      <c r="R389" t="s">
        <v>2841</v>
      </c>
      <c r="S389" t="s">
        <v>65</v>
      </c>
      <c r="T389" t="str">
        <f>IF(TRIM(S389)="","Unknown",PROPER(TRIM(S389)))</f>
        <v>Standard Class</v>
      </c>
      <c r="U389">
        <v>4</v>
      </c>
      <c r="V389">
        <v>865.63</v>
      </c>
      <c r="W389">
        <v>0</v>
      </c>
      <c r="Y389">
        <v>0</v>
      </c>
      <c r="Z389">
        <v>3462.52</v>
      </c>
      <c r="AA389">
        <v>2797.29</v>
      </c>
      <c r="AB389">
        <v>665.23</v>
      </c>
      <c r="AC389" t="s">
        <v>186</v>
      </c>
      <c r="AD389" t="s">
        <v>120</v>
      </c>
      <c r="AE389">
        <f>ROUND((U389*V389)-(U389*V389*Y389),2)</f>
        <v>3462.52</v>
      </c>
      <c r="AF389">
        <f>AE389-AA389</f>
        <v>665.23</v>
      </c>
      <c r="AG389" s="7">
        <f>ROUND((AF389/AE389),4)</f>
        <v>0.19209999999999999</v>
      </c>
      <c r="AH389">
        <f>IF(AND(C389&lt;&gt;"",E389&lt;&gt;""),E389 - C389,"")</f>
        <v>4</v>
      </c>
      <c r="AI389" t="str">
        <f>IF(C389="","",TEXT(C389, "mmmm"))</f>
        <v>September</v>
      </c>
      <c r="AJ389">
        <f>IF(C389="","",YEAR(C389))</f>
        <v>2024</v>
      </c>
      <c r="AM389" t="str">
        <f>IF(AN389="","clean","")</f>
        <v>clean</v>
      </c>
      <c r="AN389" t="s">
        <v>3595</v>
      </c>
    </row>
    <row r="390" spans="1:40">
      <c r="A390" t="s">
        <v>2842</v>
      </c>
      <c r="B390" t="s">
        <v>3906</v>
      </c>
      <c r="C390" s="6">
        <v>45641</v>
      </c>
      <c r="D390" t="s">
        <v>2843</v>
      </c>
      <c r="E390" s="6">
        <v>45642</v>
      </c>
      <c r="F390" t="s">
        <v>2844</v>
      </c>
      <c r="G390" t="s">
        <v>169</v>
      </c>
      <c r="H390" t="s">
        <v>169</v>
      </c>
      <c r="I390" t="s">
        <v>25</v>
      </c>
      <c r="J390" t="s">
        <v>25</v>
      </c>
      <c r="K390" t="s">
        <v>41</v>
      </c>
      <c r="L390" t="str">
        <f>IF(TRIM(K390)="","Unknown",PROPER(TRIM(K390)))</f>
        <v>East</v>
      </c>
      <c r="M390" t="s">
        <v>42</v>
      </c>
      <c r="N390" t="s">
        <v>43</v>
      </c>
      <c r="O390" t="s">
        <v>83</v>
      </c>
      <c r="P390" t="str">
        <f>IF(TRIM(O390)="","Unknown",PROPER(TRIM(O390)))</f>
        <v>Technology</v>
      </c>
      <c r="Q390" t="s">
        <v>91</v>
      </c>
      <c r="R390" t="s">
        <v>2845</v>
      </c>
      <c r="S390" t="s">
        <v>32</v>
      </c>
      <c r="T390" t="str">
        <f>IF(TRIM(S390)="","Unknown",PROPER(TRIM(S390)))</f>
        <v>Second Class</v>
      </c>
      <c r="U390">
        <v>6</v>
      </c>
      <c r="V390">
        <v>1538.1</v>
      </c>
      <c r="W390">
        <v>0.05</v>
      </c>
      <c r="Y390">
        <v>0.05</v>
      </c>
      <c r="Z390">
        <v>8767.17</v>
      </c>
      <c r="AA390">
        <v>5098.2</v>
      </c>
      <c r="AB390">
        <v>3668.97</v>
      </c>
      <c r="AC390" t="s">
        <v>33</v>
      </c>
      <c r="AD390" t="s">
        <v>34</v>
      </c>
      <c r="AE390">
        <f>ROUND((U390*V390)-(U390*V390*Y390),2)</f>
        <v>8767.17</v>
      </c>
      <c r="AF390">
        <f>AE390-AA390</f>
        <v>3668.9700000000003</v>
      </c>
      <c r="AG390" s="7">
        <f>ROUND((AF390/AE390),4)</f>
        <v>0.41849999999999998</v>
      </c>
      <c r="AH390">
        <f>IF(AND(C390&lt;&gt;"",E390&lt;&gt;""),E390 - C390,"")</f>
        <v>1</v>
      </c>
      <c r="AI390" t="str">
        <f>IF(C390="","",TEXT(C390, "mmmm"))</f>
        <v>December</v>
      </c>
      <c r="AJ390">
        <f>IF(C390="","",YEAR(C390))</f>
        <v>2024</v>
      </c>
      <c r="AM390" t="str">
        <f>IF(AN390="","clean","")</f>
        <v>clean</v>
      </c>
      <c r="AN390" t="s">
        <v>3595</v>
      </c>
    </row>
    <row r="391" spans="1:40">
      <c r="A391" t="s">
        <v>2856</v>
      </c>
      <c r="B391" t="s">
        <v>4007</v>
      </c>
      <c r="C391" s="6">
        <v>45474</v>
      </c>
      <c r="D391" t="s">
        <v>1852</v>
      </c>
      <c r="E391" s="6">
        <v>45474</v>
      </c>
      <c r="F391" t="s">
        <v>2857</v>
      </c>
      <c r="G391" t="s">
        <v>153</v>
      </c>
      <c r="H391" t="s">
        <v>153</v>
      </c>
      <c r="I391" t="s">
        <v>25</v>
      </c>
      <c r="J391" t="s">
        <v>25</v>
      </c>
      <c r="K391" t="s">
        <v>71</v>
      </c>
      <c r="L391" t="str">
        <f>IF(TRIM(K391)="","Unknown",PROPER(TRIM(K391)))</f>
        <v>West</v>
      </c>
      <c r="M391" t="s">
        <v>81</v>
      </c>
      <c r="N391" t="s">
        <v>82</v>
      </c>
      <c r="O391" t="s">
        <v>83</v>
      </c>
      <c r="P391" t="str">
        <f>IF(TRIM(O391)="","Unknown",PROPER(TRIM(O391)))</f>
        <v>Technology</v>
      </c>
      <c r="Q391" t="s">
        <v>347</v>
      </c>
      <c r="R391" t="s">
        <v>2858</v>
      </c>
      <c r="S391" t="s">
        <v>65</v>
      </c>
      <c r="T391" t="str">
        <f>IF(TRIM(S391)="","Unknown",PROPER(TRIM(S391)))</f>
        <v>Standard Class</v>
      </c>
      <c r="U391">
        <v>4</v>
      </c>
      <c r="V391">
        <v>257.39</v>
      </c>
      <c r="W391">
        <v>0</v>
      </c>
      <c r="Y391">
        <v>0</v>
      </c>
      <c r="Z391">
        <v>1029.56</v>
      </c>
      <c r="AA391">
        <v>626.33000000000004</v>
      </c>
      <c r="AB391">
        <v>403.23</v>
      </c>
      <c r="AC391" t="s">
        <v>33</v>
      </c>
      <c r="AD391" t="s">
        <v>34</v>
      </c>
      <c r="AE391">
        <f>ROUND((U391*V391)-(U391*V391*Y391),2)</f>
        <v>1029.56</v>
      </c>
      <c r="AF391">
        <f>AE391-AA391</f>
        <v>403.2299999999999</v>
      </c>
      <c r="AG391" s="7">
        <f>ROUND((AF391/AE391),4)</f>
        <v>0.39169999999999999</v>
      </c>
      <c r="AH391">
        <f>IF(AND(C391&lt;&gt;"",E391&lt;&gt;""),E391 - C391,"")</f>
        <v>0</v>
      </c>
      <c r="AI391" t="str">
        <f>IF(C391="","",TEXT(C391, "mmmm"))</f>
        <v>July</v>
      </c>
      <c r="AJ391">
        <f>IF(C391="","",YEAR(C391))</f>
        <v>2024</v>
      </c>
      <c r="AM391" t="str">
        <f>IF(AN391="","clean","")</f>
        <v>clean</v>
      </c>
      <c r="AN391" t="s">
        <v>3595</v>
      </c>
    </row>
    <row r="392" spans="1:40">
      <c r="A392" t="s">
        <v>2866</v>
      </c>
      <c r="B392" t="s">
        <v>4009</v>
      </c>
      <c r="C392" s="6">
        <v>45549</v>
      </c>
      <c r="D392" t="s">
        <v>1530</v>
      </c>
      <c r="E392" s="6">
        <v>45549</v>
      </c>
      <c r="F392" t="s">
        <v>2867</v>
      </c>
      <c r="G392" t="s">
        <v>39</v>
      </c>
      <c r="H392" t="s">
        <v>39</v>
      </c>
      <c r="I392" t="s">
        <v>104</v>
      </c>
      <c r="J392" t="s">
        <v>104</v>
      </c>
      <c r="K392" t="s">
        <v>26</v>
      </c>
      <c r="L392" t="str">
        <f>IF(TRIM(K392)="","Unknown",PROPER(TRIM(K392)))</f>
        <v>North</v>
      </c>
      <c r="M392" t="s">
        <v>27</v>
      </c>
      <c r="N392" t="s">
        <v>28</v>
      </c>
      <c r="O392" t="s">
        <v>83</v>
      </c>
      <c r="P392" t="str">
        <f>IF(TRIM(O392)="","Unknown",PROPER(TRIM(O392)))</f>
        <v>Technology</v>
      </c>
      <c r="Q392" t="s">
        <v>347</v>
      </c>
      <c r="R392" t="s">
        <v>2868</v>
      </c>
      <c r="S392" t="s">
        <v>65</v>
      </c>
      <c r="T392" t="str">
        <f>IF(TRIM(S392)="","Unknown",PROPER(TRIM(S392)))</f>
        <v>Standard Class</v>
      </c>
      <c r="U392">
        <v>8</v>
      </c>
      <c r="V392">
        <v>4081.66</v>
      </c>
      <c r="W392">
        <v>0.15</v>
      </c>
      <c r="Y392">
        <v>0.14000000000000001</v>
      </c>
      <c r="Z392">
        <v>28208.1</v>
      </c>
      <c r="AA392">
        <v>23751.91</v>
      </c>
      <c r="AB392">
        <v>4003.38</v>
      </c>
      <c r="AC392" t="s">
        <v>33</v>
      </c>
      <c r="AD392" t="s">
        <v>120</v>
      </c>
      <c r="AE392">
        <f>ROUND((U392*V392)-(U392*V392*Y392),2)</f>
        <v>28081.82</v>
      </c>
      <c r="AF392">
        <f>AE392-AA392</f>
        <v>4329.91</v>
      </c>
      <c r="AG392" s="7">
        <f>ROUND((AF392/AE392),4)</f>
        <v>0.1542</v>
      </c>
      <c r="AH392">
        <f>IF(AND(C392&lt;&gt;"",E392&lt;&gt;""),E392 - C392,"")</f>
        <v>0</v>
      </c>
      <c r="AI392" t="str">
        <f>IF(C392="","",TEXT(C392, "mmmm"))</f>
        <v>September</v>
      </c>
      <c r="AJ392">
        <f>IF(C392="","",YEAR(C392))</f>
        <v>2024</v>
      </c>
      <c r="AM392" t="s">
        <v>4145</v>
      </c>
      <c r="AN392" t="s">
        <v>3596</v>
      </c>
    </row>
    <row r="393" spans="1:40">
      <c r="A393" t="s">
        <v>2869</v>
      </c>
      <c r="B393" t="s">
        <v>4010</v>
      </c>
      <c r="C393" s="6">
        <v>45454</v>
      </c>
      <c r="D393" t="s">
        <v>2870</v>
      </c>
      <c r="E393" s="6">
        <v>45454</v>
      </c>
      <c r="F393" t="s">
        <v>2871</v>
      </c>
      <c r="G393" t="s">
        <v>59</v>
      </c>
      <c r="H393" t="s">
        <v>59</v>
      </c>
      <c r="I393" t="s">
        <v>40</v>
      </c>
      <c r="J393" t="s">
        <v>40</v>
      </c>
      <c r="K393" t="s">
        <v>60</v>
      </c>
      <c r="L393" t="str">
        <f>IF(TRIM(K393)="","Unknown",PROPER(TRIM(K393)))</f>
        <v>South</v>
      </c>
      <c r="M393" t="s">
        <v>212</v>
      </c>
      <c r="N393" t="s">
        <v>213</v>
      </c>
      <c r="O393" t="s">
        <v>44</v>
      </c>
      <c r="P393" t="str">
        <f>IF(TRIM(O393)="","Unknown",PROPER(TRIM(O393)))</f>
        <v>Furniture</v>
      </c>
      <c r="Q393" t="s">
        <v>190</v>
      </c>
      <c r="R393" t="s">
        <v>2872</v>
      </c>
      <c r="S393" t="s">
        <v>65</v>
      </c>
      <c r="T393" t="str">
        <f>IF(TRIM(S393)="","Unknown",PROPER(TRIM(S393)))</f>
        <v>Standard Class</v>
      </c>
      <c r="U393">
        <v>9</v>
      </c>
      <c r="V393">
        <v>1400.11</v>
      </c>
      <c r="W393">
        <v>0.25</v>
      </c>
      <c r="Y393">
        <v>0.25</v>
      </c>
      <c r="Z393">
        <v>9450.74</v>
      </c>
      <c r="AA393">
        <v>7798.56</v>
      </c>
      <c r="AB393">
        <v>1652.18</v>
      </c>
      <c r="AC393" t="s">
        <v>33</v>
      </c>
      <c r="AD393" t="s">
        <v>34</v>
      </c>
      <c r="AE393">
        <f>ROUND((U393*V393)-(U393*V393*Y393),2)</f>
        <v>9450.74</v>
      </c>
      <c r="AF393">
        <f>AE393-AA393</f>
        <v>1652.1799999999994</v>
      </c>
      <c r="AG393" s="7">
        <f>ROUND((AF393/AE393),4)</f>
        <v>0.17480000000000001</v>
      </c>
      <c r="AH393">
        <f>IF(AND(C393&lt;&gt;"",E393&lt;&gt;""),E393 - C393,"")</f>
        <v>0</v>
      </c>
      <c r="AI393" t="str">
        <f>IF(C393="","",TEXT(C393, "mmmm"))</f>
        <v>June</v>
      </c>
      <c r="AJ393">
        <f>IF(C393="","",YEAR(C393))</f>
        <v>2024</v>
      </c>
      <c r="AM393" t="str">
        <f>IF(AN393="","clean","")</f>
        <v>clean</v>
      </c>
      <c r="AN393" t="s">
        <v>3595</v>
      </c>
    </row>
    <row r="394" spans="1:40">
      <c r="A394" t="s">
        <v>2873</v>
      </c>
      <c r="B394" t="s">
        <v>4011</v>
      </c>
      <c r="C394" s="6">
        <v>45553</v>
      </c>
      <c r="D394" t="s">
        <v>1001</v>
      </c>
      <c r="E394" s="6">
        <v>45556</v>
      </c>
      <c r="F394" t="s">
        <v>2874</v>
      </c>
      <c r="G394" t="s">
        <v>90</v>
      </c>
      <c r="H394" t="s">
        <v>90</v>
      </c>
      <c r="I394" t="s">
        <v>104</v>
      </c>
      <c r="J394" t="s">
        <v>104</v>
      </c>
      <c r="K394" t="s">
        <v>41</v>
      </c>
      <c r="L394" t="str">
        <f>IF(TRIM(K394)="","Unknown",PROPER(TRIM(K394)))</f>
        <v>East</v>
      </c>
      <c r="M394" t="s">
        <v>116</v>
      </c>
      <c r="N394" t="s">
        <v>117</v>
      </c>
      <c r="O394" t="s">
        <v>83</v>
      </c>
      <c r="P394" t="str">
        <f>IF(TRIM(O394)="","Unknown",PROPER(TRIM(O394)))</f>
        <v>Technology</v>
      </c>
      <c r="Q394" t="s">
        <v>347</v>
      </c>
      <c r="R394" t="s">
        <v>2875</v>
      </c>
      <c r="S394" t="s">
        <v>65</v>
      </c>
      <c r="T394" t="str">
        <f>IF(TRIM(S394)="","Unknown",PROPER(TRIM(S394)))</f>
        <v>Standard Class</v>
      </c>
      <c r="U394">
        <v>3</v>
      </c>
      <c r="V394">
        <v>3055.9</v>
      </c>
      <c r="W394">
        <v>0.15</v>
      </c>
      <c r="Y394">
        <v>0.15</v>
      </c>
      <c r="Z394">
        <v>7792.55</v>
      </c>
      <c r="AA394">
        <v>4691.7299999999996</v>
      </c>
      <c r="AB394">
        <v>3100.82</v>
      </c>
      <c r="AC394" t="s">
        <v>33</v>
      </c>
      <c r="AD394" t="s">
        <v>34</v>
      </c>
      <c r="AE394">
        <f>ROUND((U394*V394)-(U394*V394*Y394),2)</f>
        <v>7792.55</v>
      </c>
      <c r="AF394">
        <f>AE394-AA394</f>
        <v>3100.8200000000006</v>
      </c>
      <c r="AG394" s="7">
        <f>ROUND((AF394/AE394),4)</f>
        <v>0.39789999999999998</v>
      </c>
      <c r="AH394">
        <f>IF(AND(C394&lt;&gt;"",E394&lt;&gt;""),E394 - C394,"")</f>
        <v>3</v>
      </c>
      <c r="AI394" t="str">
        <f>IF(C394="","",TEXT(C394, "mmmm"))</f>
        <v>September</v>
      </c>
      <c r="AJ394">
        <f>IF(C394="","",YEAR(C394))</f>
        <v>2024</v>
      </c>
      <c r="AM394" t="str">
        <f>IF(AN394="","clean","")</f>
        <v>clean</v>
      </c>
      <c r="AN394" t="s">
        <v>3595</v>
      </c>
    </row>
    <row r="395" spans="1:40">
      <c r="A395" t="s">
        <v>2876</v>
      </c>
      <c r="B395" t="s">
        <v>1427</v>
      </c>
      <c r="D395" t="s">
        <v>1139</v>
      </c>
      <c r="E395" s="6">
        <v>45416</v>
      </c>
      <c r="F395" t="s">
        <v>2877</v>
      </c>
      <c r="G395" t="s">
        <v>169</v>
      </c>
      <c r="H395" t="s">
        <v>169</v>
      </c>
      <c r="I395" t="s">
        <v>40</v>
      </c>
      <c r="J395" t="s">
        <v>40</v>
      </c>
      <c r="K395" t="s">
        <v>71</v>
      </c>
      <c r="L395" t="str">
        <f>IF(TRIM(K395)="","Unknown",PROPER(TRIM(K395)))</f>
        <v>West</v>
      </c>
      <c r="M395" t="s">
        <v>218</v>
      </c>
      <c r="N395" t="s">
        <v>219</v>
      </c>
      <c r="O395" t="s">
        <v>29</v>
      </c>
      <c r="P395" t="str">
        <f>IF(TRIM(O395)="","Unknown",PROPER(TRIM(O395)))</f>
        <v>Office Supplies</v>
      </c>
      <c r="Q395" t="s">
        <v>53</v>
      </c>
      <c r="R395" t="s">
        <v>2878</v>
      </c>
      <c r="S395" t="s">
        <v>47</v>
      </c>
      <c r="T395" t="str">
        <f>IF(TRIM(S395)="","Unknown",PROPER(TRIM(S395)))</f>
        <v>Same Day</v>
      </c>
      <c r="U395">
        <v>7</v>
      </c>
      <c r="V395">
        <v>1224.94</v>
      </c>
      <c r="W395">
        <v>0</v>
      </c>
      <c r="Y395">
        <v>0</v>
      </c>
      <c r="Z395">
        <v>8574.58</v>
      </c>
      <c r="AA395">
        <v>6685.81</v>
      </c>
      <c r="AB395">
        <v>1888.77</v>
      </c>
      <c r="AC395" t="s">
        <v>33</v>
      </c>
      <c r="AD395" t="s">
        <v>120</v>
      </c>
      <c r="AE395">
        <f>ROUND((U395*V395)-(U395*V395*Y395),2)</f>
        <v>8574.58</v>
      </c>
      <c r="AF395">
        <f>AE395-AA395</f>
        <v>1888.7699999999995</v>
      </c>
      <c r="AG395" s="7">
        <f>ROUND((AF395/AE395),4)</f>
        <v>0.2203</v>
      </c>
      <c r="AH395" t="str">
        <f>IF(AND(C395&lt;&gt;"",E395&lt;&gt;""),E395 - C395,"")</f>
        <v/>
      </c>
      <c r="AI395" t="str">
        <f>IF(C395="","",TEXT(C395, "mmmm"))</f>
        <v/>
      </c>
      <c r="AJ395" t="str">
        <f>IF(C395="","",YEAR(C395))</f>
        <v/>
      </c>
      <c r="AM395" t="s">
        <v>4144</v>
      </c>
      <c r="AN395" t="s">
        <v>4127</v>
      </c>
    </row>
    <row r="396" spans="1:40">
      <c r="A396" t="s">
        <v>2883</v>
      </c>
      <c r="B396" t="s">
        <v>4012</v>
      </c>
      <c r="C396" s="6">
        <v>45584</v>
      </c>
      <c r="D396" t="s">
        <v>2087</v>
      </c>
      <c r="E396" s="6">
        <v>45585</v>
      </c>
      <c r="F396" t="s">
        <v>2884</v>
      </c>
      <c r="G396" t="s">
        <v>103</v>
      </c>
      <c r="H396" t="s">
        <v>103</v>
      </c>
      <c r="I396" t="s">
        <v>104</v>
      </c>
      <c r="J396" t="s">
        <v>104</v>
      </c>
      <c r="K396" t="s">
        <v>26</v>
      </c>
      <c r="L396" t="str">
        <f>IF(TRIM(K396)="","Unknown",PROPER(TRIM(K396)))</f>
        <v>North</v>
      </c>
      <c r="M396" t="s">
        <v>27</v>
      </c>
      <c r="N396" t="s">
        <v>28</v>
      </c>
      <c r="O396" t="s">
        <v>44</v>
      </c>
      <c r="P396" t="str">
        <f>IF(TRIM(O396)="","Unknown",PROPER(TRIM(O396)))</f>
        <v>Furniture</v>
      </c>
      <c r="Q396" t="s">
        <v>45</v>
      </c>
      <c r="R396" t="s">
        <v>2885</v>
      </c>
      <c r="S396" t="s">
        <v>55</v>
      </c>
      <c r="T396" t="str">
        <f>IF(TRIM(S396)="","Unknown",PROPER(TRIM(S396)))</f>
        <v>First Class</v>
      </c>
      <c r="U396">
        <v>1</v>
      </c>
      <c r="V396">
        <v>1150.03</v>
      </c>
      <c r="W396">
        <v>0.1</v>
      </c>
      <c r="Y396">
        <v>0.1</v>
      </c>
      <c r="Z396">
        <v>1035.03</v>
      </c>
      <c r="AA396">
        <v>854.35</v>
      </c>
      <c r="AB396">
        <v>180.68</v>
      </c>
      <c r="AC396" t="s">
        <v>33</v>
      </c>
      <c r="AD396" t="s">
        <v>34</v>
      </c>
      <c r="AE396">
        <f>ROUND((U396*V396)-(U396*V396*Y396),2)</f>
        <v>1035.03</v>
      </c>
      <c r="AF396">
        <f>AE396-AA396</f>
        <v>180.67999999999995</v>
      </c>
      <c r="AG396" s="7">
        <f>ROUND((AF396/AE396),4)</f>
        <v>0.17460000000000001</v>
      </c>
      <c r="AH396">
        <f>IF(AND(C396&lt;&gt;"",E396&lt;&gt;""),E396 - C396,"")</f>
        <v>1</v>
      </c>
      <c r="AI396" t="str">
        <f>IF(C396="","",TEXT(C396, "mmmm"))</f>
        <v>October</v>
      </c>
      <c r="AJ396">
        <f>IF(C396="","",YEAR(C396))</f>
        <v>2024</v>
      </c>
      <c r="AM396" t="str">
        <f>IF(AN396="","clean","")</f>
        <v>clean</v>
      </c>
      <c r="AN396" t="s">
        <v>3595</v>
      </c>
    </row>
    <row r="397" spans="1:40">
      <c r="A397" t="s">
        <v>2886</v>
      </c>
      <c r="B397" t="s">
        <v>1374</v>
      </c>
      <c r="C397" s="6">
        <v>45364</v>
      </c>
      <c r="D397" t="s">
        <v>2887</v>
      </c>
      <c r="E397" s="6">
        <v>45371</v>
      </c>
      <c r="F397" t="s">
        <v>2888</v>
      </c>
      <c r="G397" t="s">
        <v>136</v>
      </c>
      <c r="H397" t="s">
        <v>136</v>
      </c>
      <c r="I397" t="s">
        <v>110</v>
      </c>
      <c r="J397" t="s">
        <v>110</v>
      </c>
      <c r="K397" t="s">
        <v>60</v>
      </c>
      <c r="L397" t="str">
        <f>IF(TRIM(K397)="","Unknown",PROPER(TRIM(K397)))</f>
        <v>South</v>
      </c>
      <c r="M397" t="s">
        <v>309</v>
      </c>
      <c r="N397" t="s">
        <v>310</v>
      </c>
      <c r="O397" t="s">
        <v>44</v>
      </c>
      <c r="P397" t="str">
        <f>IF(TRIM(O397)="","Unknown",PROPER(TRIM(O397)))</f>
        <v>Furniture</v>
      </c>
      <c r="Q397" t="s">
        <v>190</v>
      </c>
      <c r="R397" t="s">
        <v>2889</v>
      </c>
      <c r="T397" t="str">
        <f>IF(TRIM(S397)="","Unknown",PROPER(TRIM(S397)))</f>
        <v>Unknown</v>
      </c>
      <c r="U397">
        <v>1</v>
      </c>
      <c r="V397">
        <v>2825.63</v>
      </c>
      <c r="W397">
        <v>0.15</v>
      </c>
      <c r="Y397">
        <v>0.15</v>
      </c>
      <c r="Z397">
        <v>2401.79</v>
      </c>
      <c r="AA397">
        <v>1820.34</v>
      </c>
      <c r="AB397">
        <v>581.45000000000005</v>
      </c>
      <c r="AC397" t="s">
        <v>33</v>
      </c>
      <c r="AD397" t="s">
        <v>34</v>
      </c>
      <c r="AE397">
        <f>ROUND((U397*V397)-(U397*V397*Y397),2)</f>
        <v>2401.79</v>
      </c>
      <c r="AF397">
        <f>AE397-AA397</f>
        <v>581.45000000000005</v>
      </c>
      <c r="AG397" s="7">
        <f>ROUND((AF397/AE397),4)</f>
        <v>0.24210000000000001</v>
      </c>
      <c r="AH397">
        <f>IF(AND(C397&lt;&gt;"",E397&lt;&gt;""),E397 - C397,"")</f>
        <v>7</v>
      </c>
      <c r="AI397" t="str">
        <f>IF(C397="","",TEXT(C397, "mmmm"))</f>
        <v>March</v>
      </c>
      <c r="AJ397">
        <f>IF(C397="","",YEAR(C397))</f>
        <v>2024</v>
      </c>
      <c r="AM397" t="s">
        <v>4145</v>
      </c>
      <c r="AN397" t="s">
        <v>3600</v>
      </c>
    </row>
    <row r="398" spans="1:40">
      <c r="A398" t="s">
        <v>2886</v>
      </c>
      <c r="B398" t="s">
        <v>1374</v>
      </c>
      <c r="C398" s="6">
        <v>45364</v>
      </c>
      <c r="D398" t="s">
        <v>2887</v>
      </c>
      <c r="E398" s="6">
        <v>45371</v>
      </c>
      <c r="F398" t="s">
        <v>2888</v>
      </c>
      <c r="G398" t="s">
        <v>136</v>
      </c>
      <c r="H398" t="s">
        <v>136</v>
      </c>
      <c r="I398" t="s">
        <v>110</v>
      </c>
      <c r="J398" t="s">
        <v>110</v>
      </c>
      <c r="K398" t="s">
        <v>60</v>
      </c>
      <c r="L398" t="str">
        <f>IF(TRIM(K398)="","Unknown",PROPER(TRIM(K398)))</f>
        <v>South</v>
      </c>
      <c r="M398" t="s">
        <v>309</v>
      </c>
      <c r="N398" t="s">
        <v>310</v>
      </c>
      <c r="O398" t="s">
        <v>44</v>
      </c>
      <c r="P398" t="str">
        <f>IF(TRIM(O398)="","Unknown",PROPER(TRIM(O398)))</f>
        <v>Furniture</v>
      </c>
      <c r="Q398" t="s">
        <v>190</v>
      </c>
      <c r="R398" t="s">
        <v>2889</v>
      </c>
      <c r="T398" t="str">
        <f>IF(TRIM(S398)="","Unknown",PROPER(TRIM(S398)))</f>
        <v>Unknown</v>
      </c>
      <c r="U398">
        <v>1</v>
      </c>
      <c r="V398">
        <v>2825.63</v>
      </c>
      <c r="W398">
        <v>0.15</v>
      </c>
      <c r="Y398">
        <v>0.15</v>
      </c>
      <c r="Z398">
        <v>2401.79</v>
      </c>
      <c r="AA398">
        <v>1820.34</v>
      </c>
      <c r="AB398">
        <v>581.45000000000005</v>
      </c>
      <c r="AC398" t="s">
        <v>33</v>
      </c>
      <c r="AD398" t="s">
        <v>34</v>
      </c>
      <c r="AE398">
        <f>ROUND((U398*V398)-(U398*V398*Y398),2)</f>
        <v>2401.79</v>
      </c>
      <c r="AF398">
        <f>AE398-AA398</f>
        <v>581.45000000000005</v>
      </c>
      <c r="AG398" s="7">
        <f>ROUND((AF398/AE398),4)</f>
        <v>0.24210000000000001</v>
      </c>
      <c r="AH398">
        <f>IF(AND(C398&lt;&gt;"",E398&lt;&gt;""),E398 - C398,"")</f>
        <v>7</v>
      </c>
      <c r="AI398" t="str">
        <f>IF(C398="","",TEXT(C398, "mmmm"))</f>
        <v>March</v>
      </c>
      <c r="AJ398">
        <f>IF(C398="","",YEAR(C398))</f>
        <v>2024</v>
      </c>
      <c r="AL398" t="s">
        <v>4152</v>
      </c>
      <c r="AM398" t="s">
        <v>4144</v>
      </c>
      <c r="AN398" t="s">
        <v>4150</v>
      </c>
    </row>
    <row r="399" spans="1:40">
      <c r="A399" t="s">
        <v>2890</v>
      </c>
      <c r="B399" t="s">
        <v>4013</v>
      </c>
      <c r="C399" s="6">
        <v>45543</v>
      </c>
      <c r="D399" t="s">
        <v>2891</v>
      </c>
      <c r="E399" s="6">
        <v>45549</v>
      </c>
      <c r="F399" t="s">
        <v>2892</v>
      </c>
      <c r="G399" t="s">
        <v>169</v>
      </c>
      <c r="H399" t="s">
        <v>169</v>
      </c>
      <c r="I399" t="s">
        <v>25</v>
      </c>
      <c r="J399" t="s">
        <v>25</v>
      </c>
      <c r="K399" t="s">
        <v>26</v>
      </c>
      <c r="L399" t="str">
        <f>IF(TRIM(K399)="","Unknown",PROPER(TRIM(K399)))</f>
        <v>North</v>
      </c>
      <c r="M399" t="s">
        <v>27</v>
      </c>
      <c r="N399" t="s">
        <v>28</v>
      </c>
      <c r="O399" t="s">
        <v>29</v>
      </c>
      <c r="P399" t="str">
        <f>IF(TRIM(O399)="","Unknown",PROPER(TRIM(O399)))</f>
        <v>Office Supplies</v>
      </c>
      <c r="Q399" t="s">
        <v>184</v>
      </c>
      <c r="R399" t="s">
        <v>2893</v>
      </c>
      <c r="S399" t="s">
        <v>65</v>
      </c>
      <c r="T399" t="str">
        <f>IF(TRIM(S399)="","Unknown",PROPER(TRIM(S399)))</f>
        <v>Standard Class</v>
      </c>
      <c r="U399">
        <v>5</v>
      </c>
      <c r="V399">
        <v>3371.75</v>
      </c>
      <c r="W399">
        <v>0.05</v>
      </c>
      <c r="Y399">
        <v>0.05</v>
      </c>
      <c r="Z399">
        <v>16015.81</v>
      </c>
      <c r="AA399">
        <v>11352.38</v>
      </c>
      <c r="AB399">
        <v>4663.43</v>
      </c>
      <c r="AC399" t="s">
        <v>33</v>
      </c>
      <c r="AD399" t="s">
        <v>34</v>
      </c>
      <c r="AE399">
        <f>ROUND((U399*V399)-(U399*V399*Y399),2)</f>
        <v>16015.81</v>
      </c>
      <c r="AF399">
        <f>AE399-AA399</f>
        <v>4663.43</v>
      </c>
      <c r="AG399" s="7">
        <f>ROUND((AF399/AE399),4)</f>
        <v>0.29120000000000001</v>
      </c>
      <c r="AH399">
        <f>IF(AND(C399&lt;&gt;"",E399&lt;&gt;""),E399 - C399,"")</f>
        <v>6</v>
      </c>
      <c r="AI399" t="str">
        <f>IF(C399="","",TEXT(C399, "mmmm"))</f>
        <v>September</v>
      </c>
      <c r="AJ399">
        <f>IF(C399="","",YEAR(C399))</f>
        <v>2024</v>
      </c>
      <c r="AM399" t="str">
        <f>IF(AN399="","clean","")</f>
        <v>clean</v>
      </c>
      <c r="AN399" t="s">
        <v>3595</v>
      </c>
    </row>
    <row r="400" spans="1:40">
      <c r="A400" t="s">
        <v>2894</v>
      </c>
      <c r="B400" t="s">
        <v>4014</v>
      </c>
      <c r="D400" t="s">
        <v>922</v>
      </c>
      <c r="F400" t="s">
        <v>2895</v>
      </c>
      <c r="G400" t="s">
        <v>52</v>
      </c>
      <c r="H400" t="s">
        <v>52</v>
      </c>
      <c r="I400" t="s">
        <v>40</v>
      </c>
      <c r="J400" t="s">
        <v>40</v>
      </c>
      <c r="K400" t="s">
        <v>41</v>
      </c>
      <c r="L400" t="str">
        <f>IF(TRIM(K400)="","Unknown",PROPER(TRIM(K400)))</f>
        <v>East</v>
      </c>
      <c r="M400" t="s">
        <v>42</v>
      </c>
      <c r="N400" t="s">
        <v>43</v>
      </c>
      <c r="O400" t="s">
        <v>29</v>
      </c>
      <c r="P400" t="str">
        <f>IF(TRIM(O400)="","Unknown",PROPER(TRIM(O400)))</f>
        <v>Office Supplies</v>
      </c>
      <c r="Q400" t="s">
        <v>30</v>
      </c>
      <c r="R400" t="s">
        <v>2896</v>
      </c>
      <c r="S400" t="s">
        <v>47</v>
      </c>
      <c r="T400" t="str">
        <f>IF(TRIM(S400)="","Unknown",PROPER(TRIM(S400)))</f>
        <v>Same Day</v>
      </c>
      <c r="U400">
        <v>1</v>
      </c>
      <c r="V400">
        <v>2112.75</v>
      </c>
      <c r="W400">
        <v>0.1</v>
      </c>
      <c r="Y400">
        <v>0.1</v>
      </c>
      <c r="Z400">
        <v>1901.48</v>
      </c>
      <c r="AA400">
        <v>1354.28</v>
      </c>
      <c r="AB400">
        <v>547.20000000000005</v>
      </c>
      <c r="AC400" t="s">
        <v>33</v>
      </c>
      <c r="AD400" t="s">
        <v>34</v>
      </c>
      <c r="AE400">
        <f>ROUND((U400*V400)-(U400*V400*Y400),2)</f>
        <v>1901.48</v>
      </c>
      <c r="AF400">
        <f>AE400-AA400</f>
        <v>547.20000000000005</v>
      </c>
      <c r="AG400" s="7">
        <f>ROUND((AF400/AE400),4)</f>
        <v>0.2878</v>
      </c>
      <c r="AH400" t="str">
        <f>IF(AND(C400&lt;&gt;"",E400&lt;&gt;""),E400 - C400,"")</f>
        <v/>
      </c>
      <c r="AI400" t="str">
        <f>IF(C400="","",TEXT(C400, "mmmm"))</f>
        <v/>
      </c>
      <c r="AJ400" t="str">
        <f>IF(C400="","",YEAR(C400))</f>
        <v/>
      </c>
      <c r="AM400" t="s">
        <v>4144</v>
      </c>
      <c r="AN400" t="s">
        <v>4123</v>
      </c>
    </row>
    <row r="401" spans="1:40">
      <c r="A401" t="s">
        <v>2908</v>
      </c>
      <c r="B401" t="s">
        <v>4016</v>
      </c>
      <c r="C401" s="6">
        <v>45485</v>
      </c>
      <c r="D401" t="s">
        <v>2909</v>
      </c>
      <c r="E401" s="6">
        <v>45492</v>
      </c>
      <c r="F401" t="s">
        <v>2910</v>
      </c>
      <c r="G401" t="s">
        <v>80</v>
      </c>
      <c r="H401" t="s">
        <v>80</v>
      </c>
      <c r="I401" t="s">
        <v>104</v>
      </c>
      <c r="J401" t="s">
        <v>104</v>
      </c>
      <c r="K401" t="s">
        <v>26</v>
      </c>
      <c r="L401" t="str">
        <f>IF(TRIM(K401)="","Unknown",PROPER(TRIM(K401)))</f>
        <v>North</v>
      </c>
      <c r="M401" t="s">
        <v>146</v>
      </c>
      <c r="N401" t="s">
        <v>147</v>
      </c>
      <c r="O401" t="s">
        <v>29</v>
      </c>
      <c r="P401" t="str">
        <f>IF(TRIM(O401)="","Unknown",PROPER(TRIM(O401)))</f>
        <v>Office Supplies</v>
      </c>
      <c r="Q401" t="s">
        <v>53</v>
      </c>
      <c r="R401" t="s">
        <v>2911</v>
      </c>
      <c r="S401" t="s">
        <v>32</v>
      </c>
      <c r="T401" t="str">
        <f>IF(TRIM(S401)="","Unknown",PROPER(TRIM(S401)))</f>
        <v>Second Class</v>
      </c>
      <c r="U401">
        <v>5</v>
      </c>
      <c r="V401">
        <v>1559.16</v>
      </c>
      <c r="W401">
        <v>0.05</v>
      </c>
      <c r="Y401">
        <v>0.05</v>
      </c>
      <c r="Z401">
        <v>7406.01</v>
      </c>
      <c r="AA401">
        <v>5941.74</v>
      </c>
      <c r="AB401">
        <v>1464.27</v>
      </c>
      <c r="AC401" t="s">
        <v>33</v>
      </c>
      <c r="AD401" t="s">
        <v>34</v>
      </c>
      <c r="AE401">
        <f>ROUND((U401*V401)-(U401*V401*Y401),2)</f>
        <v>7406.01</v>
      </c>
      <c r="AF401">
        <f>AE401-AA401</f>
        <v>1464.2700000000004</v>
      </c>
      <c r="AG401" s="7">
        <f>ROUND((AF401/AE401),4)</f>
        <v>0.19769999999999999</v>
      </c>
      <c r="AH401">
        <f>IF(AND(C401&lt;&gt;"",E401&lt;&gt;""),E401 - C401,"")</f>
        <v>7</v>
      </c>
      <c r="AI401" t="str">
        <f>IF(C401="","",TEXT(C401, "mmmm"))</f>
        <v>July</v>
      </c>
      <c r="AJ401">
        <f>IF(C401="","",YEAR(C401))</f>
        <v>2024</v>
      </c>
      <c r="AM401" t="str">
        <f>IF(AN401="","clean","")</f>
        <v>clean</v>
      </c>
      <c r="AN401" t="s">
        <v>3595</v>
      </c>
    </row>
    <row r="402" spans="1:40">
      <c r="A402" t="s">
        <v>2915</v>
      </c>
      <c r="B402" t="s">
        <v>1873</v>
      </c>
      <c r="C402" s="6">
        <v>45332</v>
      </c>
      <c r="D402" t="s">
        <v>2916</v>
      </c>
      <c r="E402" s="6">
        <v>45340</v>
      </c>
      <c r="F402" t="s">
        <v>2917</v>
      </c>
      <c r="G402" t="s">
        <v>52</v>
      </c>
      <c r="H402" t="s">
        <v>52</v>
      </c>
      <c r="I402" t="s">
        <v>110</v>
      </c>
      <c r="J402" t="s">
        <v>110</v>
      </c>
      <c r="K402" t="s">
        <v>71</v>
      </c>
      <c r="L402" t="str">
        <f>IF(TRIM(K402)="","Unknown",PROPER(TRIM(K402)))</f>
        <v>West</v>
      </c>
      <c r="M402" t="s">
        <v>81</v>
      </c>
      <c r="N402" t="s">
        <v>82</v>
      </c>
      <c r="O402" t="s">
        <v>44</v>
      </c>
      <c r="P402" t="str">
        <f>IF(TRIM(O402)="","Unknown",PROPER(TRIM(O402)))</f>
        <v>Furniture</v>
      </c>
      <c r="Q402" t="s">
        <v>74</v>
      </c>
      <c r="R402" t="s">
        <v>2918</v>
      </c>
      <c r="S402" t="s">
        <v>55</v>
      </c>
      <c r="T402" t="str">
        <f>IF(TRIM(S402)="","Unknown",PROPER(TRIM(S402)))</f>
        <v>First Class</v>
      </c>
      <c r="U402">
        <v>7</v>
      </c>
      <c r="V402">
        <v>1382.86</v>
      </c>
      <c r="W402">
        <v>0</v>
      </c>
      <c r="Y402">
        <v>0</v>
      </c>
      <c r="Z402">
        <v>9680.02</v>
      </c>
      <c r="AA402">
        <v>6876.66</v>
      </c>
      <c r="AB402">
        <v>2803.36</v>
      </c>
      <c r="AC402" t="s">
        <v>33</v>
      </c>
      <c r="AD402" t="s">
        <v>34</v>
      </c>
      <c r="AE402">
        <f>ROUND((U402*V402)-(U402*V402*Y402),2)</f>
        <v>9680.02</v>
      </c>
      <c r="AF402">
        <f>AE402-AA402</f>
        <v>2803.3600000000006</v>
      </c>
      <c r="AG402" s="7">
        <f>ROUND((AF402/AE402),4)</f>
        <v>0.28960000000000002</v>
      </c>
      <c r="AH402">
        <f>IF(AND(C402&lt;&gt;"",E402&lt;&gt;""),E402 - C402,"")</f>
        <v>8</v>
      </c>
      <c r="AI402" t="str">
        <f>IF(C402="","",TEXT(C402, "mmmm"))</f>
        <v>February</v>
      </c>
      <c r="AJ402">
        <f>IF(C402="","",YEAR(C402))</f>
        <v>2024</v>
      </c>
      <c r="AM402" t="str">
        <f>IF(AN402="","clean","")</f>
        <v>clean</v>
      </c>
      <c r="AN402" t="s">
        <v>3595</v>
      </c>
    </row>
    <row r="403" spans="1:40">
      <c r="A403" t="s">
        <v>2915</v>
      </c>
      <c r="B403" t="s">
        <v>1873</v>
      </c>
      <c r="C403" s="6">
        <v>45332</v>
      </c>
      <c r="D403" t="s">
        <v>2916</v>
      </c>
      <c r="E403" s="6">
        <v>45340</v>
      </c>
      <c r="F403" t="s">
        <v>2917</v>
      </c>
      <c r="G403" t="s">
        <v>52</v>
      </c>
      <c r="H403" t="s">
        <v>52</v>
      </c>
      <c r="I403" t="s">
        <v>110</v>
      </c>
      <c r="J403" t="s">
        <v>110</v>
      </c>
      <c r="K403" t="s">
        <v>71</v>
      </c>
      <c r="L403" t="str">
        <f>IF(TRIM(K403)="","Unknown",PROPER(TRIM(K403)))</f>
        <v>West</v>
      </c>
      <c r="M403" t="s">
        <v>81</v>
      </c>
      <c r="N403" t="s">
        <v>82</v>
      </c>
      <c r="O403" t="s">
        <v>44</v>
      </c>
      <c r="P403" t="str">
        <f>IF(TRIM(O403)="","Unknown",PROPER(TRIM(O403)))</f>
        <v>Furniture</v>
      </c>
      <c r="Q403" t="s">
        <v>74</v>
      </c>
      <c r="R403" t="s">
        <v>2918</v>
      </c>
      <c r="S403" t="s">
        <v>55</v>
      </c>
      <c r="T403" t="str">
        <f>IF(TRIM(S403)="","Unknown",PROPER(TRIM(S403)))</f>
        <v>First Class</v>
      </c>
      <c r="U403">
        <v>7</v>
      </c>
      <c r="V403">
        <v>1382.86</v>
      </c>
      <c r="W403">
        <v>0</v>
      </c>
      <c r="Y403">
        <v>0</v>
      </c>
      <c r="Z403">
        <v>9680.02</v>
      </c>
      <c r="AA403">
        <v>6876.66</v>
      </c>
      <c r="AB403">
        <v>2803.36</v>
      </c>
      <c r="AC403" t="s">
        <v>33</v>
      </c>
      <c r="AD403" t="s">
        <v>34</v>
      </c>
      <c r="AE403">
        <f>ROUND((U403*V403)-(U403*V403*Y403),2)</f>
        <v>9680.02</v>
      </c>
      <c r="AF403">
        <f>AE403-AA403</f>
        <v>2803.3600000000006</v>
      </c>
      <c r="AG403" s="7">
        <f>ROUND((AF403/AE403),4)</f>
        <v>0.28960000000000002</v>
      </c>
      <c r="AH403">
        <f>IF(AND(C403&lt;&gt;"",E403&lt;&gt;""),E403 - C403,"")</f>
        <v>8</v>
      </c>
      <c r="AI403" t="str">
        <f>IF(C403="","",TEXT(C403, "mmmm"))</f>
        <v>February</v>
      </c>
      <c r="AJ403">
        <f>IF(C403="","",YEAR(C403))</f>
        <v>2024</v>
      </c>
      <c r="AL403" t="s">
        <v>4152</v>
      </c>
      <c r="AM403" t="s">
        <v>4144</v>
      </c>
      <c r="AN403" t="s">
        <v>4149</v>
      </c>
    </row>
    <row r="404" spans="1:40">
      <c r="A404" t="s">
        <v>2933</v>
      </c>
      <c r="B404" t="s">
        <v>4021</v>
      </c>
      <c r="C404" s="6">
        <v>45541</v>
      </c>
      <c r="D404" t="s">
        <v>777</v>
      </c>
      <c r="E404" s="6">
        <v>45544</v>
      </c>
      <c r="F404" t="s">
        <v>2934</v>
      </c>
      <c r="G404" t="s">
        <v>39</v>
      </c>
      <c r="H404" t="s">
        <v>39</v>
      </c>
      <c r="I404" t="s">
        <v>25</v>
      </c>
      <c r="J404" t="s">
        <v>25</v>
      </c>
      <c r="K404" t="s">
        <v>71</v>
      </c>
      <c r="L404" t="str">
        <f>IF(TRIM(K404)="","Unknown",PROPER(TRIM(K404)))</f>
        <v>West</v>
      </c>
      <c r="M404" t="s">
        <v>72</v>
      </c>
      <c r="N404" t="s">
        <v>73</v>
      </c>
      <c r="O404" t="s">
        <v>29</v>
      </c>
      <c r="P404" t="str">
        <f>IF(TRIM(O404)="","Unknown",PROPER(TRIM(O404)))</f>
        <v>Office Supplies</v>
      </c>
      <c r="Q404" t="s">
        <v>53</v>
      </c>
      <c r="R404" t="s">
        <v>2935</v>
      </c>
      <c r="S404" t="s">
        <v>47</v>
      </c>
      <c r="T404" t="str">
        <f>IF(TRIM(S404)="","Unknown",PROPER(TRIM(S404)))</f>
        <v>Same Day</v>
      </c>
      <c r="U404">
        <v>3</v>
      </c>
      <c r="V404">
        <v>1972.27</v>
      </c>
      <c r="W404">
        <v>0.2</v>
      </c>
      <c r="Y404">
        <v>0.2</v>
      </c>
      <c r="Z404">
        <v>4733.45</v>
      </c>
      <c r="AA404">
        <v>3672.32</v>
      </c>
      <c r="AB404">
        <v>1061.1300000000001</v>
      </c>
      <c r="AC404" t="s">
        <v>33</v>
      </c>
      <c r="AD404" t="s">
        <v>34</v>
      </c>
      <c r="AE404">
        <f>ROUND((U404*V404)-(U404*V404*Y404),2)</f>
        <v>4733.45</v>
      </c>
      <c r="AF404">
        <f>AE404-AA404</f>
        <v>1061.1299999999997</v>
      </c>
      <c r="AG404" s="7">
        <f>ROUND((AF404/AE404),4)</f>
        <v>0.22420000000000001</v>
      </c>
      <c r="AH404">
        <f>IF(AND(C404&lt;&gt;"",E404&lt;&gt;""),E404 - C404,"")</f>
        <v>3</v>
      </c>
      <c r="AI404" t="str">
        <f>IF(C404="","",TEXT(C404, "mmmm"))</f>
        <v>September</v>
      </c>
      <c r="AJ404">
        <f>IF(C404="","",YEAR(C404))</f>
        <v>2024</v>
      </c>
      <c r="AM404" t="str">
        <f>IF(AN404="","clean","")</f>
        <v>clean</v>
      </c>
      <c r="AN404" t="s">
        <v>3595</v>
      </c>
    </row>
    <row r="405" spans="1:40">
      <c r="A405" t="s">
        <v>2938</v>
      </c>
      <c r="B405" t="s">
        <v>978</v>
      </c>
      <c r="C405" s="6">
        <v>45489</v>
      </c>
      <c r="D405" t="s">
        <v>2939</v>
      </c>
      <c r="E405" s="6">
        <v>45489</v>
      </c>
      <c r="F405" t="s">
        <v>2940</v>
      </c>
      <c r="G405" t="s">
        <v>103</v>
      </c>
      <c r="H405" t="s">
        <v>103</v>
      </c>
      <c r="I405" t="s">
        <v>110</v>
      </c>
      <c r="J405" t="s">
        <v>110</v>
      </c>
      <c r="K405" t="s">
        <v>71</v>
      </c>
      <c r="L405" t="str">
        <f>IF(TRIM(K405)="","Unknown",PROPER(TRIM(K405)))</f>
        <v>West</v>
      </c>
      <c r="M405" t="s">
        <v>81</v>
      </c>
      <c r="N405" t="s">
        <v>82</v>
      </c>
      <c r="O405" t="s">
        <v>83</v>
      </c>
      <c r="P405" t="str">
        <f>IF(TRIM(O405)="","Unknown",PROPER(TRIM(O405)))</f>
        <v>Technology</v>
      </c>
      <c r="Q405" t="s">
        <v>91</v>
      </c>
      <c r="R405" t="s">
        <v>2941</v>
      </c>
      <c r="S405" t="s">
        <v>47</v>
      </c>
      <c r="T405" t="str">
        <f>IF(TRIM(S405)="","Unknown",PROPER(TRIM(S405)))</f>
        <v>Same Day</v>
      </c>
      <c r="U405">
        <v>4</v>
      </c>
      <c r="V405">
        <v>4479.92</v>
      </c>
      <c r="W405">
        <v>0.15</v>
      </c>
      <c r="Y405">
        <v>0.15</v>
      </c>
      <c r="Z405">
        <v>15231.73</v>
      </c>
      <c r="AA405">
        <v>12451.46</v>
      </c>
      <c r="AB405">
        <v>2780.27</v>
      </c>
      <c r="AC405" t="s">
        <v>33</v>
      </c>
      <c r="AD405" t="s">
        <v>34</v>
      </c>
      <c r="AE405">
        <f>ROUND((U405*V405)-(U405*V405*Y405),2)</f>
        <v>15231.73</v>
      </c>
      <c r="AF405">
        <f>AE405-AA405</f>
        <v>2780.2700000000004</v>
      </c>
      <c r="AG405" s="7">
        <f>ROUND((AF405/AE405),4)</f>
        <v>0.1825</v>
      </c>
      <c r="AH405">
        <f>IF(AND(C405&lt;&gt;"",E405&lt;&gt;""),E405 - C405,"")</f>
        <v>0</v>
      </c>
      <c r="AI405" t="str">
        <f>IF(C405="","",TEXT(C405, "mmmm"))</f>
        <v>July</v>
      </c>
      <c r="AJ405">
        <f>IF(C405="","",YEAR(C405))</f>
        <v>2024</v>
      </c>
      <c r="AM405" t="str">
        <f>IF(AN405="","clean","")</f>
        <v>clean</v>
      </c>
      <c r="AN405" t="s">
        <v>3595</v>
      </c>
    </row>
    <row r="406" spans="1:40">
      <c r="A406" t="s">
        <v>2946</v>
      </c>
      <c r="B406" t="s">
        <v>3919</v>
      </c>
      <c r="C406" s="6">
        <v>45572</v>
      </c>
      <c r="D406" t="s">
        <v>2947</v>
      </c>
      <c r="E406" s="6">
        <v>45575</v>
      </c>
      <c r="F406" t="s">
        <v>2948</v>
      </c>
      <c r="G406" t="s">
        <v>80</v>
      </c>
      <c r="H406" t="s">
        <v>80</v>
      </c>
      <c r="I406" t="s">
        <v>25</v>
      </c>
      <c r="J406" t="s">
        <v>25</v>
      </c>
      <c r="K406" t="s">
        <v>41</v>
      </c>
      <c r="L406" t="str">
        <f>IF(TRIM(K406)="","Unknown",PROPER(TRIM(K406)))</f>
        <v>East</v>
      </c>
      <c r="M406" t="s">
        <v>116</v>
      </c>
      <c r="N406" t="s">
        <v>117</v>
      </c>
      <c r="O406" t="s">
        <v>44</v>
      </c>
      <c r="P406" t="str">
        <f>IF(TRIM(O406)="","Unknown",PROPER(TRIM(O406)))</f>
        <v>Furniture</v>
      </c>
      <c r="Q406" t="s">
        <v>74</v>
      </c>
      <c r="R406" t="s">
        <v>2949</v>
      </c>
      <c r="S406" t="s">
        <v>32</v>
      </c>
      <c r="T406" t="str">
        <f>IF(TRIM(S406)="","Unknown",PROPER(TRIM(S406)))</f>
        <v>Second Class</v>
      </c>
      <c r="U406">
        <v>9</v>
      </c>
      <c r="V406">
        <v>481.51</v>
      </c>
      <c r="Y406">
        <v>0</v>
      </c>
      <c r="Z406">
        <v>4333.59</v>
      </c>
      <c r="AA406">
        <v>2533.59</v>
      </c>
      <c r="AB406">
        <v>1800</v>
      </c>
      <c r="AC406" t="s">
        <v>119</v>
      </c>
      <c r="AD406" t="s">
        <v>76</v>
      </c>
      <c r="AE406">
        <f>ROUND((U406*V406)-(U406*V406*Y406),2)</f>
        <v>4333.59</v>
      </c>
      <c r="AF406">
        <f>AE406-AA406</f>
        <v>1800</v>
      </c>
      <c r="AG406" s="7">
        <f>ROUND((AF406/AE406),4)</f>
        <v>0.41539999999999999</v>
      </c>
      <c r="AH406">
        <f>IF(AND(C406&lt;&gt;"",E406&lt;&gt;""),E406 - C406,"")</f>
        <v>3</v>
      </c>
      <c r="AI406" t="str">
        <f>IF(C406="","",TEXT(C406, "mmmm"))</f>
        <v>October</v>
      </c>
      <c r="AJ406">
        <f>IF(C406="","",YEAR(C406))</f>
        <v>2024</v>
      </c>
      <c r="AM406" t="str">
        <f>IF(AN406="","clean","")</f>
        <v>clean</v>
      </c>
      <c r="AN406" t="s">
        <v>3595</v>
      </c>
    </row>
    <row r="407" spans="1:40">
      <c r="A407" t="s">
        <v>2954</v>
      </c>
      <c r="B407" t="s">
        <v>4022</v>
      </c>
      <c r="C407" s="6">
        <v>45332</v>
      </c>
      <c r="D407" t="s">
        <v>1418</v>
      </c>
      <c r="E407" s="6">
        <v>45338</v>
      </c>
      <c r="F407" t="s">
        <v>2955</v>
      </c>
      <c r="G407" t="s">
        <v>24</v>
      </c>
      <c r="H407" t="s">
        <v>24</v>
      </c>
      <c r="I407" t="s">
        <v>25</v>
      </c>
      <c r="J407" t="s">
        <v>25</v>
      </c>
      <c r="K407" t="s">
        <v>71</v>
      </c>
      <c r="L407" t="str">
        <f>IF(TRIM(K407)="","Unknown",PROPER(TRIM(K407)))</f>
        <v>West</v>
      </c>
      <c r="M407" t="s">
        <v>230</v>
      </c>
      <c r="N407" t="s">
        <v>231</v>
      </c>
      <c r="O407" t="s">
        <v>44</v>
      </c>
      <c r="P407" t="str">
        <f>IF(TRIM(O407)="","Unknown",PROPER(TRIM(O407)))</f>
        <v>Furniture</v>
      </c>
      <c r="Q407" t="s">
        <v>63</v>
      </c>
      <c r="R407" t="s">
        <v>2956</v>
      </c>
      <c r="S407" t="s">
        <v>32</v>
      </c>
      <c r="T407" t="str">
        <f>IF(TRIM(S407)="","Unknown",PROPER(TRIM(S407)))</f>
        <v>Second Class</v>
      </c>
      <c r="U407">
        <v>3</v>
      </c>
      <c r="V407">
        <v>253.43</v>
      </c>
      <c r="W407">
        <v>0</v>
      </c>
      <c r="Y407">
        <v>0</v>
      </c>
      <c r="Z407">
        <v>760.29</v>
      </c>
      <c r="AA407">
        <v>497.77</v>
      </c>
      <c r="AB407">
        <v>262.52</v>
      </c>
      <c r="AC407" t="s">
        <v>33</v>
      </c>
      <c r="AD407" t="s">
        <v>34</v>
      </c>
      <c r="AE407">
        <f>ROUND((U407*V407)-(U407*V407*Y407),2)</f>
        <v>760.29</v>
      </c>
      <c r="AF407">
        <f>AE407-AA407</f>
        <v>262.52</v>
      </c>
      <c r="AG407" s="7">
        <f>ROUND((AF407/AE407),4)</f>
        <v>0.3453</v>
      </c>
      <c r="AH407">
        <f>IF(AND(C407&lt;&gt;"",E407&lt;&gt;""),E407 - C407,"")</f>
        <v>6</v>
      </c>
      <c r="AI407" t="str">
        <f>IF(C407="","",TEXT(C407, "mmmm"))</f>
        <v>February</v>
      </c>
      <c r="AJ407">
        <f>IF(C407="","",YEAR(C407))</f>
        <v>2024</v>
      </c>
      <c r="AM407" t="str">
        <f>IF(AN407="","clean","")</f>
        <v>clean</v>
      </c>
      <c r="AN407" t="s">
        <v>3595</v>
      </c>
    </row>
    <row r="408" spans="1:40">
      <c r="A408" t="s">
        <v>2960</v>
      </c>
      <c r="B408" t="s">
        <v>4024</v>
      </c>
      <c r="C408" s="6">
        <v>45308</v>
      </c>
      <c r="D408" t="s">
        <v>2961</v>
      </c>
      <c r="E408" s="6">
        <v>45314</v>
      </c>
      <c r="F408" t="s">
        <v>2962</v>
      </c>
      <c r="G408" t="s">
        <v>334</v>
      </c>
      <c r="H408" t="s">
        <v>334</v>
      </c>
      <c r="I408" t="s">
        <v>110</v>
      </c>
      <c r="J408" t="s">
        <v>110</v>
      </c>
      <c r="K408" t="s">
        <v>71</v>
      </c>
      <c r="L408" t="str">
        <f>IF(TRIM(K408)="","Unknown",PROPER(TRIM(K408)))</f>
        <v>West</v>
      </c>
      <c r="M408" t="s">
        <v>218</v>
      </c>
      <c r="N408" t="s">
        <v>219</v>
      </c>
      <c r="O408" t="s">
        <v>83</v>
      </c>
      <c r="P408" t="str">
        <f>IF(TRIM(O408)="","Unknown",PROPER(TRIM(O408)))</f>
        <v>Technology</v>
      </c>
      <c r="Q408" t="s">
        <v>207</v>
      </c>
      <c r="R408" t="s">
        <v>2963</v>
      </c>
      <c r="S408" t="s">
        <v>65</v>
      </c>
      <c r="T408" t="str">
        <f>IF(TRIM(S408)="","Unknown",PROPER(TRIM(S408)))</f>
        <v>Standard Class</v>
      </c>
      <c r="U408">
        <v>5</v>
      </c>
      <c r="V408">
        <v>2018</v>
      </c>
      <c r="W408">
        <v>0.2</v>
      </c>
      <c r="Y408">
        <v>0.2</v>
      </c>
      <c r="Z408">
        <v>8072</v>
      </c>
      <c r="AA408">
        <v>5379.22</v>
      </c>
      <c r="AB408">
        <v>2692.78</v>
      </c>
      <c r="AC408" t="s">
        <v>131</v>
      </c>
      <c r="AD408" t="s">
        <v>120</v>
      </c>
      <c r="AE408">
        <f>ROUND((U408*V408)-(U408*V408*Y408),2)</f>
        <v>8072</v>
      </c>
      <c r="AF408">
        <f>AE408-AA408</f>
        <v>2692.7799999999997</v>
      </c>
      <c r="AG408" s="7">
        <f>ROUND((AF408/AE408),4)</f>
        <v>0.33360000000000001</v>
      </c>
      <c r="AH408">
        <f>IF(AND(C408&lt;&gt;"",E408&lt;&gt;""),E408 - C408,"")</f>
        <v>6</v>
      </c>
      <c r="AI408" t="str">
        <f>IF(C408="","",TEXT(C408, "mmmm"))</f>
        <v>January</v>
      </c>
      <c r="AJ408">
        <f>IF(C408="","",YEAR(C408))</f>
        <v>2024</v>
      </c>
      <c r="AM408" t="str">
        <f>IF(AN408="","clean","")</f>
        <v>clean</v>
      </c>
      <c r="AN408" t="s">
        <v>3595</v>
      </c>
    </row>
    <row r="409" spans="1:40">
      <c r="A409" t="s">
        <v>2964</v>
      </c>
      <c r="B409" t="s">
        <v>2965</v>
      </c>
      <c r="C409" s="6">
        <v>45578</v>
      </c>
      <c r="D409" t="s">
        <v>2965</v>
      </c>
      <c r="E409" s="6">
        <v>45578</v>
      </c>
      <c r="F409" t="s">
        <v>2966</v>
      </c>
      <c r="G409" t="s">
        <v>153</v>
      </c>
      <c r="H409" t="s">
        <v>153</v>
      </c>
      <c r="I409" t="s">
        <v>40</v>
      </c>
      <c r="J409" t="s">
        <v>40</v>
      </c>
      <c r="K409" t="s">
        <v>41</v>
      </c>
      <c r="L409" t="str">
        <f>IF(TRIM(K409)="","Unknown",PROPER(TRIM(K409)))</f>
        <v>East</v>
      </c>
      <c r="M409" t="s">
        <v>201</v>
      </c>
      <c r="N409" t="s">
        <v>202</v>
      </c>
      <c r="O409" t="s">
        <v>83</v>
      </c>
      <c r="P409" t="str">
        <f>IF(TRIM(O409)="","Unknown",PROPER(TRIM(O409)))</f>
        <v>Technology</v>
      </c>
      <c r="Q409" t="s">
        <v>84</v>
      </c>
      <c r="R409" t="s">
        <v>2967</v>
      </c>
      <c r="S409" t="s">
        <v>32</v>
      </c>
      <c r="T409" t="str">
        <f>IF(TRIM(S409)="","Unknown",PROPER(TRIM(S409)))</f>
        <v>Second Class</v>
      </c>
      <c r="U409">
        <v>8</v>
      </c>
      <c r="V409">
        <v>3730.66</v>
      </c>
      <c r="W409">
        <v>0.05</v>
      </c>
      <c r="Y409">
        <v>0.05</v>
      </c>
      <c r="Z409">
        <v>28353.02</v>
      </c>
      <c r="AA409">
        <v>19257.849999999999</v>
      </c>
      <c r="AB409">
        <v>9095.17</v>
      </c>
      <c r="AC409" t="s">
        <v>33</v>
      </c>
      <c r="AD409" t="s">
        <v>34</v>
      </c>
      <c r="AE409">
        <f>ROUND((U409*V409)-(U409*V409*Y409),2)</f>
        <v>28353.02</v>
      </c>
      <c r="AF409">
        <f>AE409-AA409</f>
        <v>9095.1700000000019</v>
      </c>
      <c r="AG409" s="7">
        <f>ROUND((AF409/AE409),4)</f>
        <v>0.32079999999999997</v>
      </c>
      <c r="AH409">
        <f>IF(AND(C409&lt;&gt;"",E409&lt;&gt;""),E409 - C409,"")</f>
        <v>0</v>
      </c>
      <c r="AI409" t="str">
        <f>IF(C409="","",TEXT(C409, "mmmm"))</f>
        <v>October</v>
      </c>
      <c r="AJ409">
        <f>IF(C409="","",YEAR(C409))</f>
        <v>2024</v>
      </c>
      <c r="AM409" t="str">
        <f>IF(AN409="","clean","")</f>
        <v>clean</v>
      </c>
      <c r="AN409" t="s">
        <v>3595</v>
      </c>
    </row>
    <row r="410" spans="1:40">
      <c r="A410" t="s">
        <v>2968</v>
      </c>
      <c r="B410" t="s">
        <v>3975</v>
      </c>
      <c r="C410" s="6">
        <v>45295</v>
      </c>
      <c r="D410" t="s">
        <v>1550</v>
      </c>
      <c r="E410" s="6">
        <v>45298</v>
      </c>
      <c r="F410" t="s">
        <v>2969</v>
      </c>
      <c r="G410" t="s">
        <v>158</v>
      </c>
      <c r="H410" t="s">
        <v>158</v>
      </c>
      <c r="I410" t="s">
        <v>40</v>
      </c>
      <c r="J410" t="s">
        <v>40</v>
      </c>
      <c r="K410" t="s">
        <v>60</v>
      </c>
      <c r="L410" t="str">
        <f>IF(TRIM(K410)="","Unknown",PROPER(TRIM(K410)))</f>
        <v>South</v>
      </c>
      <c r="M410" t="s">
        <v>212</v>
      </c>
      <c r="N410" t="s">
        <v>213</v>
      </c>
      <c r="O410" t="s">
        <v>83</v>
      </c>
      <c r="P410" t="str">
        <f>IF(TRIM(O410)="","Unknown",PROPER(TRIM(O410)))</f>
        <v>Technology</v>
      </c>
      <c r="Q410" t="s">
        <v>347</v>
      </c>
      <c r="R410" t="s">
        <v>2970</v>
      </c>
      <c r="S410" t="s">
        <v>55</v>
      </c>
      <c r="T410" t="str">
        <f>IF(TRIM(S410)="","Unknown",PROPER(TRIM(S410)))</f>
        <v>First Class</v>
      </c>
      <c r="U410">
        <v>1</v>
      </c>
      <c r="V410">
        <v>2363.02</v>
      </c>
      <c r="W410">
        <v>0.15</v>
      </c>
      <c r="Y410">
        <v>0.15</v>
      </c>
      <c r="Z410">
        <v>2008.57</v>
      </c>
      <c r="AA410">
        <v>1194.83</v>
      </c>
      <c r="AB410">
        <v>813.74</v>
      </c>
      <c r="AC410" t="s">
        <v>33</v>
      </c>
      <c r="AD410" t="s">
        <v>34</v>
      </c>
      <c r="AE410">
        <f>ROUND((U410*V410)-(U410*V410*Y410),2)</f>
        <v>2008.57</v>
      </c>
      <c r="AF410">
        <f>AE410-AA410</f>
        <v>813.74</v>
      </c>
      <c r="AG410" s="7">
        <f>ROUND((AF410/AE410),4)</f>
        <v>0.40510000000000002</v>
      </c>
      <c r="AH410">
        <f>IF(AND(C410&lt;&gt;"",E410&lt;&gt;""),E410 - C410,"")</f>
        <v>3</v>
      </c>
      <c r="AI410" t="str">
        <f>IF(C410="","",TEXT(C410, "mmmm"))</f>
        <v>January</v>
      </c>
      <c r="AJ410">
        <f>IF(C410="","",YEAR(C410))</f>
        <v>2024</v>
      </c>
      <c r="AM410" t="str">
        <f>IF(AN410="","clean","")</f>
        <v>clean</v>
      </c>
      <c r="AN410" t="s">
        <v>3595</v>
      </c>
    </row>
    <row r="411" spans="1:40">
      <c r="A411" t="s">
        <v>2978</v>
      </c>
      <c r="B411" t="s">
        <v>4027</v>
      </c>
      <c r="C411" s="6">
        <v>45368</v>
      </c>
      <c r="D411" t="s">
        <v>2979</v>
      </c>
      <c r="E411" s="6">
        <v>45370</v>
      </c>
      <c r="F411" t="s">
        <v>2980</v>
      </c>
      <c r="G411" t="s">
        <v>70</v>
      </c>
      <c r="H411" t="s">
        <v>70</v>
      </c>
      <c r="I411" t="s">
        <v>104</v>
      </c>
      <c r="J411" t="s">
        <v>104</v>
      </c>
      <c r="K411" t="s">
        <v>41</v>
      </c>
      <c r="L411" t="str">
        <f>IF(TRIM(K411)="","Unknown",PROPER(TRIM(K411)))</f>
        <v>East</v>
      </c>
      <c r="M411" t="s">
        <v>42</v>
      </c>
      <c r="N411" t="s">
        <v>43</v>
      </c>
      <c r="O411" t="s">
        <v>29</v>
      </c>
      <c r="P411" t="str">
        <f>IF(TRIM(O411)="","Unknown",PROPER(TRIM(O411)))</f>
        <v>Office Supplies</v>
      </c>
      <c r="Q411" t="s">
        <v>184</v>
      </c>
      <c r="R411" t="s">
        <v>2981</v>
      </c>
      <c r="S411" t="s">
        <v>55</v>
      </c>
      <c r="T411" t="str">
        <f>IF(TRIM(S411)="","Unknown",PROPER(TRIM(S411)))</f>
        <v>First Class</v>
      </c>
      <c r="U411">
        <v>4</v>
      </c>
      <c r="V411">
        <v>4376.68</v>
      </c>
      <c r="W411">
        <v>0.1</v>
      </c>
      <c r="Y411">
        <v>0.1</v>
      </c>
      <c r="Z411">
        <v>15756.05</v>
      </c>
      <c r="AA411">
        <v>10245.44</v>
      </c>
      <c r="AB411">
        <v>5510.61</v>
      </c>
      <c r="AC411" t="s">
        <v>33</v>
      </c>
      <c r="AD411" t="s">
        <v>34</v>
      </c>
      <c r="AE411">
        <f>ROUND((U411*V411)-(U411*V411*Y411),2)</f>
        <v>15756.05</v>
      </c>
      <c r="AF411">
        <f>AE411-AA411</f>
        <v>5510.6099999999988</v>
      </c>
      <c r="AG411" s="7">
        <f>ROUND((AF411/AE411),4)</f>
        <v>0.34970000000000001</v>
      </c>
      <c r="AH411">
        <f>IF(AND(C411&lt;&gt;"",E411&lt;&gt;""),E411 - C411,"")</f>
        <v>2</v>
      </c>
      <c r="AI411" t="str">
        <f>IF(C411="","",TEXT(C411, "mmmm"))</f>
        <v>March</v>
      </c>
      <c r="AJ411">
        <f>IF(C411="","",YEAR(C411))</f>
        <v>2024</v>
      </c>
      <c r="AM411" t="str">
        <f>IF(AN411="","clean","")</f>
        <v>clean</v>
      </c>
      <c r="AN411" t="s">
        <v>3595</v>
      </c>
    </row>
    <row r="412" spans="1:40">
      <c r="A412" t="s">
        <v>2982</v>
      </c>
      <c r="B412" t="s">
        <v>4028</v>
      </c>
      <c r="C412" s="6">
        <v>45624</v>
      </c>
      <c r="D412" t="s">
        <v>2474</v>
      </c>
      <c r="E412" s="6">
        <v>45632</v>
      </c>
      <c r="F412" t="s">
        <v>2983</v>
      </c>
      <c r="G412" t="s">
        <v>59</v>
      </c>
      <c r="H412" t="s">
        <v>59</v>
      </c>
      <c r="I412" t="s">
        <v>40</v>
      </c>
      <c r="J412" t="s">
        <v>40</v>
      </c>
      <c r="K412" t="s">
        <v>26</v>
      </c>
      <c r="L412" t="str">
        <f>IF(TRIM(K412)="","Unknown",PROPER(TRIM(K412)))</f>
        <v>North</v>
      </c>
      <c r="M412" t="s">
        <v>146</v>
      </c>
      <c r="N412" t="s">
        <v>147</v>
      </c>
      <c r="O412" t="s">
        <v>83</v>
      </c>
      <c r="P412" t="str">
        <f>IF(TRIM(O412)="","Unknown",PROPER(TRIM(O412)))</f>
        <v>Technology</v>
      </c>
      <c r="Q412" t="s">
        <v>207</v>
      </c>
      <c r="R412" t="s">
        <v>2984</v>
      </c>
      <c r="S412" t="s">
        <v>65</v>
      </c>
      <c r="T412" t="str">
        <f>IF(TRIM(S412)="","Unknown",PROPER(TRIM(S412)))</f>
        <v>Standard Class</v>
      </c>
      <c r="U412">
        <v>6</v>
      </c>
      <c r="V412">
        <v>2464.63</v>
      </c>
      <c r="W412">
        <v>0</v>
      </c>
      <c r="Y412">
        <v>0</v>
      </c>
      <c r="Z412">
        <v>14787.78</v>
      </c>
      <c r="AA412">
        <v>8596.65</v>
      </c>
      <c r="AB412">
        <v>6191.13</v>
      </c>
      <c r="AC412" t="s">
        <v>33</v>
      </c>
      <c r="AD412" t="s">
        <v>34</v>
      </c>
      <c r="AE412">
        <f>ROUND((U412*V412)-(U412*V412*Y412),2)</f>
        <v>14787.78</v>
      </c>
      <c r="AF412">
        <f>AE412-AA412</f>
        <v>6191.130000000001</v>
      </c>
      <c r="AG412" s="7">
        <f>ROUND((AF412/AE412),4)</f>
        <v>0.41870000000000002</v>
      </c>
      <c r="AH412">
        <f>IF(AND(C412&lt;&gt;"",E412&lt;&gt;""),E412 - C412,"")</f>
        <v>8</v>
      </c>
      <c r="AI412" t="str">
        <f>IF(C412="","",TEXT(C412, "mmmm"))</f>
        <v>November</v>
      </c>
      <c r="AJ412">
        <f>IF(C412="","",YEAR(C412))</f>
        <v>2024</v>
      </c>
      <c r="AM412" t="str">
        <f>IF(AN412="","clean","")</f>
        <v>clean</v>
      </c>
      <c r="AN412" t="s">
        <v>3595</v>
      </c>
    </row>
    <row r="413" spans="1:40">
      <c r="A413" t="s">
        <v>2985</v>
      </c>
      <c r="B413" t="s">
        <v>1611</v>
      </c>
      <c r="D413" t="s">
        <v>2986</v>
      </c>
      <c r="E413" s="6">
        <v>45471</v>
      </c>
      <c r="F413" t="s">
        <v>2987</v>
      </c>
      <c r="G413" t="s">
        <v>153</v>
      </c>
      <c r="H413" t="s">
        <v>153</v>
      </c>
      <c r="I413" t="s">
        <v>110</v>
      </c>
      <c r="J413" t="s">
        <v>110</v>
      </c>
      <c r="K413" t="s">
        <v>26</v>
      </c>
      <c r="L413" t="str">
        <f>IF(TRIM(K413)="","Unknown",PROPER(TRIM(K413)))</f>
        <v>North</v>
      </c>
      <c r="M413" t="s">
        <v>27</v>
      </c>
      <c r="N413" t="s">
        <v>28</v>
      </c>
      <c r="O413" t="s">
        <v>44</v>
      </c>
      <c r="P413" t="str">
        <f>IF(TRIM(O413)="","Unknown",PROPER(TRIM(O413)))</f>
        <v>Furniture</v>
      </c>
      <c r="Q413" t="s">
        <v>63</v>
      </c>
      <c r="R413" t="s">
        <v>2988</v>
      </c>
      <c r="S413" t="s">
        <v>55</v>
      </c>
      <c r="T413" t="str">
        <f>IF(TRIM(S413)="","Unknown",PROPER(TRIM(S413)))</f>
        <v>First Class</v>
      </c>
      <c r="U413">
        <v>9</v>
      </c>
      <c r="V413">
        <v>2797.96</v>
      </c>
      <c r="W413">
        <v>0</v>
      </c>
      <c r="Y413">
        <v>0</v>
      </c>
      <c r="Z413">
        <v>25181.64</v>
      </c>
      <c r="AA413">
        <v>15337.9</v>
      </c>
      <c r="AB413">
        <v>9843.74</v>
      </c>
      <c r="AC413" t="s">
        <v>33</v>
      </c>
      <c r="AD413" t="s">
        <v>34</v>
      </c>
      <c r="AE413">
        <f>ROUND((U413*V413)-(U413*V413*Y413),2)</f>
        <v>25181.64</v>
      </c>
      <c r="AF413">
        <f>AE413-AA413</f>
        <v>9843.74</v>
      </c>
      <c r="AG413" s="7">
        <f>ROUND((AF413/AE413),4)</f>
        <v>0.39090000000000003</v>
      </c>
      <c r="AH413" t="str">
        <f>IF(AND(C413&lt;&gt;"",E413&lt;&gt;""),E413 - C413,"")</f>
        <v/>
      </c>
      <c r="AI413" t="str">
        <f>IF(C413="","",TEXT(C413, "mmmm"))</f>
        <v/>
      </c>
      <c r="AJ413" t="str">
        <f>IF(C413="","",YEAR(C413))</f>
        <v/>
      </c>
      <c r="AM413" t="s">
        <v>4144</v>
      </c>
      <c r="AN413" t="s">
        <v>4127</v>
      </c>
    </row>
    <row r="414" spans="1:40">
      <c r="A414" t="s">
        <v>2989</v>
      </c>
      <c r="B414" t="s">
        <v>2990</v>
      </c>
      <c r="D414" t="s">
        <v>2990</v>
      </c>
      <c r="F414" t="s">
        <v>2991</v>
      </c>
      <c r="G414" t="s">
        <v>70</v>
      </c>
      <c r="H414" t="s">
        <v>70</v>
      </c>
      <c r="I414" t="s">
        <v>40</v>
      </c>
      <c r="J414" t="s">
        <v>40</v>
      </c>
      <c r="K414" t="s">
        <v>26</v>
      </c>
      <c r="L414" t="str">
        <f>IF(TRIM(K414)="","Unknown",PROPER(TRIM(K414)))</f>
        <v>North</v>
      </c>
      <c r="M414" t="s">
        <v>27</v>
      </c>
      <c r="N414" t="s">
        <v>28</v>
      </c>
      <c r="O414" t="s">
        <v>83</v>
      </c>
      <c r="P414" t="str">
        <f>IF(TRIM(O414)="","Unknown",PROPER(TRIM(O414)))</f>
        <v>Technology</v>
      </c>
      <c r="Q414" t="s">
        <v>84</v>
      </c>
      <c r="R414" t="s">
        <v>2992</v>
      </c>
      <c r="S414" t="s">
        <v>55</v>
      </c>
      <c r="T414" t="str">
        <f>IF(TRIM(S414)="","Unknown",PROPER(TRIM(S414)))</f>
        <v>First Class</v>
      </c>
      <c r="U414">
        <v>4</v>
      </c>
      <c r="V414">
        <v>2761.86</v>
      </c>
      <c r="W414">
        <v>0.2</v>
      </c>
      <c r="Y414">
        <v>0.2</v>
      </c>
      <c r="Z414">
        <v>8837.9500000000007</v>
      </c>
      <c r="AA414">
        <v>6157.27</v>
      </c>
      <c r="AB414">
        <v>2680.68</v>
      </c>
      <c r="AC414" t="s">
        <v>33</v>
      </c>
      <c r="AD414" t="s">
        <v>34</v>
      </c>
      <c r="AE414">
        <f>ROUND((U414*V414)-(U414*V414*Y414),2)</f>
        <v>8837.9500000000007</v>
      </c>
      <c r="AF414">
        <f>AE414-AA414</f>
        <v>2680.6800000000003</v>
      </c>
      <c r="AG414" s="7">
        <f>ROUND((AF414/AE414),4)</f>
        <v>0.30330000000000001</v>
      </c>
      <c r="AH414" t="str">
        <f>IF(AND(C414&lt;&gt;"",E414&lt;&gt;""),E414 - C414,"")</f>
        <v/>
      </c>
      <c r="AI414" t="str">
        <f>IF(C414="","",TEXT(C414, "mmmm"))</f>
        <v/>
      </c>
      <c r="AJ414" t="str">
        <f>IF(C414="","",YEAR(C414))</f>
        <v/>
      </c>
      <c r="AM414" t="s">
        <v>4144</v>
      </c>
      <c r="AN414" t="s">
        <v>4123</v>
      </c>
    </row>
    <row r="415" spans="1:40">
      <c r="A415" t="s">
        <v>2993</v>
      </c>
      <c r="B415" t="s">
        <v>4029</v>
      </c>
      <c r="C415" s="6">
        <v>45515</v>
      </c>
      <c r="D415" t="s">
        <v>2512</v>
      </c>
      <c r="E415" s="6">
        <v>45523</v>
      </c>
      <c r="F415" t="s">
        <v>2994</v>
      </c>
      <c r="G415" t="s">
        <v>39</v>
      </c>
      <c r="H415" t="s">
        <v>39</v>
      </c>
      <c r="I415" t="s">
        <v>25</v>
      </c>
      <c r="J415" t="s">
        <v>25</v>
      </c>
      <c r="K415" t="s">
        <v>71</v>
      </c>
      <c r="L415" t="str">
        <f>IF(TRIM(K415)="","Unknown",PROPER(TRIM(K415)))</f>
        <v>West</v>
      </c>
      <c r="M415" t="s">
        <v>72</v>
      </c>
      <c r="N415" t="s">
        <v>73</v>
      </c>
      <c r="O415" t="s">
        <v>44</v>
      </c>
      <c r="P415" t="str">
        <f>IF(TRIM(O415)="","Unknown",PROPER(TRIM(O415)))</f>
        <v>Furniture</v>
      </c>
      <c r="Q415" t="s">
        <v>45</v>
      </c>
      <c r="R415" t="s">
        <v>2995</v>
      </c>
      <c r="S415" t="s">
        <v>65</v>
      </c>
      <c r="T415" t="str">
        <f>IF(TRIM(S415)="","Unknown",PROPER(TRIM(S415)))</f>
        <v>Standard Class</v>
      </c>
      <c r="U415">
        <v>6</v>
      </c>
      <c r="V415">
        <v>1515.79</v>
      </c>
      <c r="W415">
        <v>0.2</v>
      </c>
      <c r="Y415">
        <v>0.2</v>
      </c>
      <c r="Z415">
        <v>7275.79</v>
      </c>
      <c r="AA415">
        <v>6152.87</v>
      </c>
      <c r="AB415">
        <v>1122.92</v>
      </c>
      <c r="AC415" t="s">
        <v>33</v>
      </c>
      <c r="AD415" t="s">
        <v>34</v>
      </c>
      <c r="AE415">
        <f>ROUND((U415*V415)-(U415*V415*Y415),2)</f>
        <v>7275.79</v>
      </c>
      <c r="AF415">
        <f>AE415-AA415</f>
        <v>1122.92</v>
      </c>
      <c r="AG415" s="7">
        <f>ROUND((AF415/AE415),4)</f>
        <v>0.15429999999999999</v>
      </c>
      <c r="AH415">
        <f>IF(AND(C415&lt;&gt;"",E415&lt;&gt;""),E415 - C415,"")</f>
        <v>8</v>
      </c>
      <c r="AI415" t="str">
        <f>IF(C415="","",TEXT(C415, "mmmm"))</f>
        <v>August</v>
      </c>
      <c r="AJ415">
        <f>IF(C415="","",YEAR(C415))</f>
        <v>2024</v>
      </c>
      <c r="AM415" t="str">
        <f>IF(AN415="","clean","")</f>
        <v>clean</v>
      </c>
      <c r="AN415" t="s">
        <v>3595</v>
      </c>
    </row>
    <row r="416" spans="1:40">
      <c r="A416" t="s">
        <v>2996</v>
      </c>
      <c r="B416" t="s">
        <v>2474</v>
      </c>
      <c r="C416" s="6">
        <v>45632</v>
      </c>
      <c r="D416" t="s">
        <v>2997</v>
      </c>
      <c r="E416" s="6">
        <v>45635</v>
      </c>
      <c r="F416" t="s">
        <v>2998</v>
      </c>
      <c r="G416" t="s">
        <v>103</v>
      </c>
      <c r="H416" t="s">
        <v>103</v>
      </c>
      <c r="I416" t="s">
        <v>25</v>
      </c>
      <c r="J416" t="s">
        <v>25</v>
      </c>
      <c r="K416" t="s">
        <v>71</v>
      </c>
      <c r="L416" t="str">
        <f>IF(TRIM(K416)="","Unknown",PROPER(TRIM(K416)))</f>
        <v>West</v>
      </c>
      <c r="M416" t="s">
        <v>72</v>
      </c>
      <c r="N416" t="s">
        <v>73</v>
      </c>
      <c r="O416" t="s">
        <v>44</v>
      </c>
      <c r="P416" t="str">
        <f>IF(TRIM(O416)="","Unknown",PROPER(TRIM(O416)))</f>
        <v>Furniture</v>
      </c>
      <c r="Q416" t="s">
        <v>74</v>
      </c>
      <c r="R416" t="s">
        <v>2999</v>
      </c>
      <c r="S416" t="s">
        <v>32</v>
      </c>
      <c r="T416" t="str">
        <f>IF(TRIM(S416)="","Unknown",PROPER(TRIM(S416)))</f>
        <v>Second Class</v>
      </c>
      <c r="U416">
        <v>9</v>
      </c>
      <c r="V416">
        <v>290.75</v>
      </c>
      <c r="W416">
        <v>0.1</v>
      </c>
      <c r="Y416">
        <v>0.1</v>
      </c>
      <c r="Z416">
        <v>2355.08</v>
      </c>
      <c r="AA416">
        <v>1350.03</v>
      </c>
      <c r="AB416">
        <v>1005.05</v>
      </c>
      <c r="AC416" t="s">
        <v>33</v>
      </c>
      <c r="AD416" t="s">
        <v>34</v>
      </c>
      <c r="AE416">
        <f>ROUND((U416*V416)-(U416*V416*Y416),2)</f>
        <v>2355.08</v>
      </c>
      <c r="AF416">
        <f>AE416-AA416</f>
        <v>1005.05</v>
      </c>
      <c r="AG416" s="7">
        <f>ROUND((AF416/AE416),4)</f>
        <v>0.42680000000000001</v>
      </c>
      <c r="AH416">
        <f>IF(AND(C416&lt;&gt;"",E416&lt;&gt;""),E416 - C416,"")</f>
        <v>3</v>
      </c>
      <c r="AI416" t="str">
        <f>IF(C416="","",TEXT(C416, "mmmm"))</f>
        <v>December</v>
      </c>
      <c r="AJ416">
        <f>IF(C416="","",YEAR(C416))</f>
        <v>2024</v>
      </c>
      <c r="AM416" t="str">
        <f>IF(AN416="","clean","")</f>
        <v>clean</v>
      </c>
      <c r="AN416" t="s">
        <v>3595</v>
      </c>
    </row>
    <row r="417" spans="1:40">
      <c r="A417" t="s">
        <v>3000</v>
      </c>
      <c r="B417" t="s">
        <v>3875</v>
      </c>
      <c r="C417" s="6">
        <v>45332</v>
      </c>
      <c r="D417" t="s">
        <v>1873</v>
      </c>
      <c r="E417" s="6">
        <v>45332</v>
      </c>
      <c r="F417" t="s">
        <v>3001</v>
      </c>
      <c r="G417" t="s">
        <v>52</v>
      </c>
      <c r="H417" t="s">
        <v>52</v>
      </c>
      <c r="I417" t="s">
        <v>110</v>
      </c>
      <c r="J417" t="s">
        <v>110</v>
      </c>
      <c r="K417" t="s">
        <v>71</v>
      </c>
      <c r="L417" t="str">
        <f>IF(TRIM(K417)="","Unknown",PROPER(TRIM(K417)))</f>
        <v>West</v>
      </c>
      <c r="M417" t="s">
        <v>72</v>
      </c>
      <c r="N417" t="s">
        <v>73</v>
      </c>
      <c r="O417" t="s">
        <v>44</v>
      </c>
      <c r="P417" t="str">
        <f>IF(TRIM(O417)="","Unknown",PROPER(TRIM(O417)))</f>
        <v>Furniture</v>
      </c>
      <c r="Q417" t="s">
        <v>74</v>
      </c>
      <c r="R417" t="s">
        <v>3002</v>
      </c>
      <c r="S417" t="s">
        <v>47</v>
      </c>
      <c r="T417" t="str">
        <f>IF(TRIM(S417)="","Unknown",PROPER(TRIM(S417)))</f>
        <v>Same Day</v>
      </c>
      <c r="U417">
        <v>6</v>
      </c>
      <c r="V417">
        <v>601.52</v>
      </c>
      <c r="W417">
        <v>0</v>
      </c>
      <c r="Y417">
        <v>0</v>
      </c>
      <c r="Z417">
        <v>3609.12</v>
      </c>
      <c r="AA417">
        <v>2645.5</v>
      </c>
      <c r="AB417">
        <v>963.62</v>
      </c>
      <c r="AC417" t="s">
        <v>33</v>
      </c>
      <c r="AD417" t="s">
        <v>34</v>
      </c>
      <c r="AE417">
        <f>ROUND((U417*V417)-(U417*V417*Y417),2)</f>
        <v>3609.12</v>
      </c>
      <c r="AF417">
        <f>AE417-AA417</f>
        <v>963.61999999999989</v>
      </c>
      <c r="AG417" s="7">
        <f>ROUND((AF417/AE417),4)</f>
        <v>0.26700000000000002</v>
      </c>
      <c r="AH417">
        <f>IF(AND(C417&lt;&gt;"",E417&lt;&gt;""),E417 - C417,"")</f>
        <v>0</v>
      </c>
      <c r="AI417" t="str">
        <f>IF(C417="","",TEXT(C417, "mmmm"))</f>
        <v>February</v>
      </c>
      <c r="AJ417">
        <f>IF(C417="","",YEAR(C417))</f>
        <v>2024</v>
      </c>
      <c r="AM417" t="str">
        <f>IF(AN417="","clean","")</f>
        <v>clean</v>
      </c>
      <c r="AN417" t="s">
        <v>3595</v>
      </c>
    </row>
    <row r="418" spans="1:40">
      <c r="A418" t="s">
        <v>3007</v>
      </c>
      <c r="B418" t="s">
        <v>4030</v>
      </c>
      <c r="C418" s="6">
        <v>45629</v>
      </c>
      <c r="D418" t="s">
        <v>3008</v>
      </c>
      <c r="E418" s="6">
        <v>45636</v>
      </c>
      <c r="F418" t="s">
        <v>3009</v>
      </c>
      <c r="G418" t="s">
        <v>90</v>
      </c>
      <c r="H418" t="s">
        <v>90</v>
      </c>
      <c r="I418" t="s">
        <v>104</v>
      </c>
      <c r="J418" t="s">
        <v>104</v>
      </c>
      <c r="K418" t="s">
        <v>26</v>
      </c>
      <c r="L418" t="str">
        <f>IF(TRIM(K418)="","Unknown",PROPER(TRIM(K418)))</f>
        <v>North</v>
      </c>
      <c r="M418" t="s">
        <v>27</v>
      </c>
      <c r="N418" t="s">
        <v>28</v>
      </c>
      <c r="O418" t="s">
        <v>83</v>
      </c>
      <c r="P418" t="str">
        <f>IF(TRIM(O418)="","Unknown",PROPER(TRIM(O418)))</f>
        <v>Technology</v>
      </c>
      <c r="Q418" t="s">
        <v>207</v>
      </c>
      <c r="R418" t="s">
        <v>3010</v>
      </c>
      <c r="S418" t="s">
        <v>65</v>
      </c>
      <c r="T418" t="str">
        <f>IF(TRIM(S418)="","Unknown",PROPER(TRIM(S418)))</f>
        <v>Standard Class</v>
      </c>
      <c r="U418">
        <v>5</v>
      </c>
      <c r="V418">
        <v>2393.86</v>
      </c>
      <c r="W418">
        <v>0.05</v>
      </c>
      <c r="Y418">
        <v>0.05</v>
      </c>
      <c r="Z418">
        <v>11370.84</v>
      </c>
      <c r="AA418">
        <v>7469.58</v>
      </c>
      <c r="AB418">
        <v>3901.26</v>
      </c>
      <c r="AC418" t="s">
        <v>33</v>
      </c>
      <c r="AD418" t="s">
        <v>34</v>
      </c>
      <c r="AE418">
        <f>ROUND((U418*V418)-(U418*V418*Y418),2)</f>
        <v>11370.84</v>
      </c>
      <c r="AF418">
        <f>AE418-AA418</f>
        <v>3901.26</v>
      </c>
      <c r="AG418" s="7">
        <f>ROUND((AF418/AE418),4)</f>
        <v>0.34310000000000002</v>
      </c>
      <c r="AH418">
        <f>IF(AND(C418&lt;&gt;"",E418&lt;&gt;""),E418 - C418,"")</f>
        <v>7</v>
      </c>
      <c r="AI418" t="str">
        <f>IF(C418="","",TEXT(C418, "mmmm"))</f>
        <v>December</v>
      </c>
      <c r="AJ418">
        <f>IF(C418="","",YEAR(C418))</f>
        <v>2024</v>
      </c>
      <c r="AM418" t="str">
        <f>IF(AN418="","clean","")</f>
        <v>clean</v>
      </c>
      <c r="AN418" t="s">
        <v>3595</v>
      </c>
    </row>
    <row r="419" spans="1:40">
      <c r="A419" t="s">
        <v>3011</v>
      </c>
      <c r="B419" t="s">
        <v>4031</v>
      </c>
      <c r="C419" s="6">
        <v>45384</v>
      </c>
      <c r="D419" t="s">
        <v>1908</v>
      </c>
      <c r="E419" s="6">
        <v>45384</v>
      </c>
      <c r="F419" t="s">
        <v>694</v>
      </c>
      <c r="G419" t="s">
        <v>158</v>
      </c>
      <c r="H419" t="s">
        <v>158</v>
      </c>
      <c r="I419" t="s">
        <v>40</v>
      </c>
      <c r="J419" t="s">
        <v>40</v>
      </c>
      <c r="K419" t="s">
        <v>71</v>
      </c>
      <c r="L419" t="str">
        <f>IF(TRIM(K419)="","Unknown",PROPER(TRIM(K419)))</f>
        <v>West</v>
      </c>
      <c r="M419" t="s">
        <v>72</v>
      </c>
      <c r="N419" t="s">
        <v>73</v>
      </c>
      <c r="O419" t="s">
        <v>44</v>
      </c>
      <c r="P419" t="str">
        <f>IF(TRIM(O419)="","Unknown",PROPER(TRIM(O419)))</f>
        <v>Furniture</v>
      </c>
      <c r="Q419" t="s">
        <v>74</v>
      </c>
      <c r="R419" t="s">
        <v>3012</v>
      </c>
      <c r="S419" t="s">
        <v>55</v>
      </c>
      <c r="T419" t="str">
        <f>IF(TRIM(S419)="","Unknown",PROPER(TRIM(S419)))</f>
        <v>First Class</v>
      </c>
      <c r="U419">
        <v>4</v>
      </c>
      <c r="V419">
        <v>2583</v>
      </c>
      <c r="W419">
        <v>0.1</v>
      </c>
      <c r="Y419">
        <v>0.1</v>
      </c>
      <c r="Z419">
        <v>9298.7999999999993</v>
      </c>
      <c r="AA419">
        <v>6548.5</v>
      </c>
      <c r="AB419">
        <v>2750.3</v>
      </c>
      <c r="AC419" t="s">
        <v>33</v>
      </c>
      <c r="AD419" t="s">
        <v>34</v>
      </c>
      <c r="AE419">
        <f>ROUND((U419*V419)-(U419*V419*Y419),2)</f>
        <v>9298.7999999999993</v>
      </c>
      <c r="AF419">
        <f>AE419-AA419</f>
        <v>2750.2999999999993</v>
      </c>
      <c r="AG419" s="7">
        <f>ROUND((AF419/AE419),4)</f>
        <v>0.29580000000000001</v>
      </c>
      <c r="AH419">
        <f>IF(AND(C419&lt;&gt;"",E419&lt;&gt;""),E419 - C419,"")</f>
        <v>0</v>
      </c>
      <c r="AI419" t="str">
        <f>IF(C419="","",TEXT(C419, "mmmm"))</f>
        <v>April</v>
      </c>
      <c r="AJ419">
        <f>IF(C419="","",YEAR(C419))</f>
        <v>2024</v>
      </c>
      <c r="AM419" t="str">
        <f>IF(AN419="","clean","")</f>
        <v>clean</v>
      </c>
      <c r="AN419" t="s">
        <v>3595</v>
      </c>
    </row>
    <row r="420" spans="1:40">
      <c r="A420" t="s">
        <v>3017</v>
      </c>
      <c r="B420" t="s">
        <v>4033</v>
      </c>
      <c r="C420" s="6">
        <v>45580</v>
      </c>
      <c r="D420" t="s">
        <v>3018</v>
      </c>
      <c r="E420" s="6">
        <v>45587</v>
      </c>
      <c r="F420" t="s">
        <v>3019</v>
      </c>
      <c r="G420" t="s">
        <v>24</v>
      </c>
      <c r="H420" t="s">
        <v>24</v>
      </c>
      <c r="I420" t="s">
        <v>104</v>
      </c>
      <c r="J420" t="s">
        <v>104</v>
      </c>
      <c r="K420" t="s">
        <v>3020</v>
      </c>
      <c r="L420" t="str">
        <f>IF(TRIM(K420)="","Unknown",PROPER(TRIM(K420)))</f>
        <v>East</v>
      </c>
      <c r="M420" t="s">
        <v>42</v>
      </c>
      <c r="N420" t="s">
        <v>43</v>
      </c>
      <c r="O420" t="s">
        <v>29</v>
      </c>
      <c r="P420" t="str">
        <f>IF(TRIM(O420)="","Unknown",PROPER(TRIM(O420)))</f>
        <v>Office Supplies</v>
      </c>
      <c r="Q420" t="s">
        <v>30</v>
      </c>
      <c r="R420" t="s">
        <v>3021</v>
      </c>
      <c r="S420" t="s">
        <v>65</v>
      </c>
      <c r="T420" t="str">
        <f>IF(TRIM(S420)="","Unknown",PROPER(TRIM(S420)))</f>
        <v>Standard Class</v>
      </c>
      <c r="U420">
        <v>4</v>
      </c>
      <c r="V420">
        <v>2260.9499999999998</v>
      </c>
      <c r="W420">
        <v>0</v>
      </c>
      <c r="Y420">
        <v>0</v>
      </c>
      <c r="Z420">
        <v>9043.7999999999993</v>
      </c>
      <c r="AA420">
        <v>5913.38</v>
      </c>
      <c r="AB420">
        <v>3130.42</v>
      </c>
      <c r="AC420" t="s">
        <v>33</v>
      </c>
      <c r="AD420" t="s">
        <v>34</v>
      </c>
      <c r="AE420">
        <f>ROUND((U420*V420)-(U420*V420*Y420),2)</f>
        <v>9043.7999999999993</v>
      </c>
      <c r="AF420">
        <f>AE420-AA420</f>
        <v>3130.4199999999992</v>
      </c>
      <c r="AG420" s="7">
        <f>ROUND((AF420/AE420),4)</f>
        <v>0.34610000000000002</v>
      </c>
      <c r="AH420">
        <f>IF(AND(C420&lt;&gt;"",E420&lt;&gt;""),E420 - C420,"")</f>
        <v>7</v>
      </c>
      <c r="AI420" t="str">
        <f>IF(C420="","",TEXT(C420, "mmmm"))</f>
        <v>October</v>
      </c>
      <c r="AJ420">
        <f>IF(C420="","",YEAR(C420))</f>
        <v>2024</v>
      </c>
      <c r="AM420" t="str">
        <f>IF(AN420="","clean","")</f>
        <v>clean</v>
      </c>
      <c r="AN420" t="s">
        <v>3595</v>
      </c>
    </row>
    <row r="421" spans="1:40">
      <c r="A421" t="s">
        <v>3028</v>
      </c>
      <c r="B421" t="s">
        <v>4035</v>
      </c>
      <c r="C421" s="6">
        <v>45589</v>
      </c>
      <c r="D421" t="s">
        <v>3029</v>
      </c>
      <c r="F421" t="s">
        <v>3030</v>
      </c>
      <c r="G421" t="s">
        <v>39</v>
      </c>
      <c r="H421" t="s">
        <v>39</v>
      </c>
      <c r="I421" t="s">
        <v>40</v>
      </c>
      <c r="J421" t="s">
        <v>40</v>
      </c>
      <c r="K421" t="s">
        <v>41</v>
      </c>
      <c r="L421" t="str">
        <f>IF(TRIM(K421)="","Unknown",PROPER(TRIM(K421)))</f>
        <v>East</v>
      </c>
      <c r="M421" t="s">
        <v>201</v>
      </c>
      <c r="N421" t="s">
        <v>202</v>
      </c>
      <c r="O421" t="s">
        <v>83</v>
      </c>
      <c r="P421" t="str">
        <f>IF(TRIM(O421)="","Unknown",PROPER(TRIM(O421)))</f>
        <v>Technology</v>
      </c>
      <c r="Q421" t="s">
        <v>91</v>
      </c>
      <c r="R421" t="s">
        <v>3031</v>
      </c>
      <c r="S421" t="s">
        <v>65</v>
      </c>
      <c r="T421" t="str">
        <f>IF(TRIM(S421)="","Unknown",PROPER(TRIM(S421)))</f>
        <v>Standard Class</v>
      </c>
      <c r="U421">
        <v>3</v>
      </c>
      <c r="V421">
        <v>723.59</v>
      </c>
      <c r="W421">
        <v>0.2</v>
      </c>
      <c r="Y421">
        <v>0.2</v>
      </c>
      <c r="Z421">
        <v>1736.62</v>
      </c>
      <c r="AA421">
        <v>1059.52</v>
      </c>
      <c r="AB421">
        <v>677.1</v>
      </c>
      <c r="AC421" t="s">
        <v>33</v>
      </c>
      <c r="AD421" t="s">
        <v>34</v>
      </c>
      <c r="AE421">
        <f>ROUND((U421*V421)-(U421*V421*Y421),2)</f>
        <v>1736.62</v>
      </c>
      <c r="AF421">
        <f>AE421-AA421</f>
        <v>677.09999999999991</v>
      </c>
      <c r="AG421" s="7">
        <f>ROUND((AF421/AE421),4)</f>
        <v>0.38990000000000002</v>
      </c>
      <c r="AH421" t="str">
        <f>IF(AND(C421&lt;&gt;"",E421&lt;&gt;""),E421 - C421,"")</f>
        <v/>
      </c>
      <c r="AI421" t="str">
        <f>IF(C421="","",TEXT(C421, "mmmm"))</f>
        <v>October</v>
      </c>
      <c r="AJ421">
        <f>IF(C421="","",YEAR(C421))</f>
        <v>2024</v>
      </c>
      <c r="AM421" t="s">
        <v>4144</v>
      </c>
      <c r="AN421" t="s">
        <v>4136</v>
      </c>
    </row>
    <row r="422" spans="1:40">
      <c r="A422" t="s">
        <v>3035</v>
      </c>
      <c r="B422" t="s">
        <v>4036</v>
      </c>
      <c r="C422" s="6">
        <v>45413</v>
      </c>
      <c r="D422" t="s">
        <v>3036</v>
      </c>
      <c r="E422" s="6">
        <v>45419</v>
      </c>
      <c r="F422" t="s">
        <v>3037</v>
      </c>
      <c r="G422" t="s">
        <v>52</v>
      </c>
      <c r="H422" t="s">
        <v>52</v>
      </c>
      <c r="I422" t="s">
        <v>110</v>
      </c>
      <c r="J422" t="s">
        <v>110</v>
      </c>
      <c r="K422" t="s">
        <v>41</v>
      </c>
      <c r="L422" t="str">
        <f>IF(TRIM(K422)="","Unknown",PROPER(TRIM(K422)))</f>
        <v>East</v>
      </c>
      <c r="M422" t="s">
        <v>42</v>
      </c>
      <c r="N422" t="s">
        <v>43</v>
      </c>
      <c r="O422" t="s">
        <v>29</v>
      </c>
      <c r="P422" t="str">
        <f>IF(TRIM(O422)="","Unknown",PROPER(TRIM(O422)))</f>
        <v>Office Supplies</v>
      </c>
      <c r="Q422" t="s">
        <v>30</v>
      </c>
      <c r="R422" t="s">
        <v>3038</v>
      </c>
      <c r="S422" t="s">
        <v>47</v>
      </c>
      <c r="T422" t="str">
        <f>IF(TRIM(S422)="","Unknown",PROPER(TRIM(S422)))</f>
        <v>Same Day</v>
      </c>
      <c r="U422">
        <v>8</v>
      </c>
      <c r="V422">
        <v>1473.83</v>
      </c>
      <c r="W422">
        <v>0.15</v>
      </c>
      <c r="Y422">
        <v>0.15</v>
      </c>
      <c r="Z422">
        <v>10022.040000000001</v>
      </c>
      <c r="AA422">
        <v>5576.98</v>
      </c>
      <c r="AB422">
        <v>4445.0600000000004</v>
      </c>
      <c r="AC422" t="s">
        <v>33</v>
      </c>
      <c r="AD422" t="s">
        <v>34</v>
      </c>
      <c r="AE422">
        <f>ROUND((U422*V422)-(U422*V422*Y422),2)</f>
        <v>10022.040000000001</v>
      </c>
      <c r="AF422">
        <f>AE422-AA422</f>
        <v>4445.0600000000013</v>
      </c>
      <c r="AG422" s="7">
        <f>ROUND((AF422/AE422),4)</f>
        <v>0.44350000000000001</v>
      </c>
      <c r="AH422">
        <f>IF(AND(C422&lt;&gt;"",E422&lt;&gt;""),E422 - C422,"")</f>
        <v>6</v>
      </c>
      <c r="AI422" t="str">
        <f>IF(C422="","",TEXT(C422, "mmmm"))</f>
        <v>May</v>
      </c>
      <c r="AJ422">
        <f>IF(C422="","",YEAR(C422))</f>
        <v>2024</v>
      </c>
      <c r="AM422" t="str">
        <f>IF(AN422="","clean","")</f>
        <v>clean</v>
      </c>
      <c r="AN422" t="s">
        <v>3595</v>
      </c>
    </row>
    <row r="423" spans="1:40">
      <c r="A423" t="s">
        <v>3039</v>
      </c>
      <c r="B423" t="s">
        <v>4037</v>
      </c>
      <c r="D423" t="s">
        <v>3040</v>
      </c>
      <c r="E423" s="6">
        <v>45442</v>
      </c>
      <c r="F423" t="s">
        <v>3041</v>
      </c>
      <c r="G423" t="s">
        <v>196</v>
      </c>
      <c r="H423" t="s">
        <v>196</v>
      </c>
      <c r="I423" t="s">
        <v>110</v>
      </c>
      <c r="J423" t="s">
        <v>110</v>
      </c>
      <c r="K423" t="s">
        <v>26</v>
      </c>
      <c r="L423" t="str">
        <f>IF(TRIM(K423)="","Unknown",PROPER(TRIM(K423)))</f>
        <v>North</v>
      </c>
      <c r="M423" t="s">
        <v>294</v>
      </c>
      <c r="N423" t="s">
        <v>295</v>
      </c>
      <c r="O423" t="s">
        <v>83</v>
      </c>
      <c r="P423" t="str">
        <f>IF(TRIM(O423)="","Unknown",PROPER(TRIM(O423)))</f>
        <v>Technology</v>
      </c>
      <c r="Q423" t="s">
        <v>207</v>
      </c>
      <c r="R423" t="s">
        <v>3042</v>
      </c>
      <c r="S423" t="s">
        <v>32</v>
      </c>
      <c r="T423" t="str">
        <f>IF(TRIM(S423)="","Unknown",PROPER(TRIM(S423)))</f>
        <v>Second Class</v>
      </c>
      <c r="U423">
        <v>1</v>
      </c>
      <c r="V423">
        <v>3848.04</v>
      </c>
      <c r="W423">
        <v>0.25</v>
      </c>
      <c r="Y423">
        <v>0.25</v>
      </c>
      <c r="Z423">
        <v>2886.03</v>
      </c>
      <c r="AA423">
        <v>2064.83</v>
      </c>
      <c r="AB423">
        <v>821.2</v>
      </c>
      <c r="AC423" t="s">
        <v>33</v>
      </c>
      <c r="AD423" t="s">
        <v>34</v>
      </c>
      <c r="AE423">
        <f>ROUND((U423*V423)-(U423*V423*Y423),2)</f>
        <v>2886.03</v>
      </c>
      <c r="AF423">
        <f>AE423-AA423</f>
        <v>821.20000000000027</v>
      </c>
      <c r="AG423" s="7">
        <f>ROUND((AF423/AE423),4)</f>
        <v>0.28449999999999998</v>
      </c>
      <c r="AH423" t="str">
        <f>IF(AND(C423&lt;&gt;"",E423&lt;&gt;""),E423 - C423,"")</f>
        <v/>
      </c>
      <c r="AI423" t="str">
        <f>IF(C423="","",TEXT(C423, "mmmm"))</f>
        <v/>
      </c>
      <c r="AJ423" t="str">
        <f>IF(C423="","",YEAR(C423))</f>
        <v/>
      </c>
      <c r="AM423" t="s">
        <v>4144</v>
      </c>
      <c r="AN423" t="s">
        <v>4127</v>
      </c>
    </row>
    <row r="424" spans="1:40">
      <c r="A424" t="s">
        <v>3043</v>
      </c>
      <c r="B424" t="s">
        <v>4038</v>
      </c>
      <c r="C424" s="6">
        <v>45372</v>
      </c>
      <c r="D424" t="s">
        <v>3044</v>
      </c>
      <c r="E424" s="6">
        <v>45376</v>
      </c>
      <c r="F424" t="s">
        <v>3045</v>
      </c>
      <c r="G424" t="s">
        <v>103</v>
      </c>
      <c r="H424" t="s">
        <v>103</v>
      </c>
      <c r="I424" t="s">
        <v>110</v>
      </c>
      <c r="J424" t="s">
        <v>110</v>
      </c>
      <c r="K424" t="s">
        <v>41</v>
      </c>
      <c r="L424" t="str">
        <f>IF(TRIM(K424)="","Unknown",PROPER(TRIM(K424)))</f>
        <v>East</v>
      </c>
      <c r="M424" t="s">
        <v>201</v>
      </c>
      <c r="N424" t="s">
        <v>202</v>
      </c>
      <c r="O424" t="s">
        <v>83</v>
      </c>
      <c r="P424" t="str">
        <f>IF(TRIM(O424)="","Unknown",PROPER(TRIM(O424)))</f>
        <v>Technology</v>
      </c>
      <c r="Q424" t="s">
        <v>347</v>
      </c>
      <c r="R424" t="s">
        <v>3046</v>
      </c>
      <c r="S424" t="s">
        <v>65</v>
      </c>
      <c r="T424" t="str">
        <f>IF(TRIM(S424)="","Unknown",PROPER(TRIM(S424)))</f>
        <v>Standard Class</v>
      </c>
      <c r="U424">
        <v>1</v>
      </c>
      <c r="V424">
        <v>1716.7</v>
      </c>
      <c r="W424">
        <v>0.15</v>
      </c>
      <c r="Y424">
        <v>0.15</v>
      </c>
      <c r="Z424">
        <v>1459.19</v>
      </c>
      <c r="AA424">
        <v>1055.79</v>
      </c>
      <c r="AB424">
        <v>403.4</v>
      </c>
      <c r="AC424" t="s">
        <v>33</v>
      </c>
      <c r="AD424" t="s">
        <v>34</v>
      </c>
      <c r="AE424">
        <f>ROUND((U424*V424)-(U424*V424*Y424),2)</f>
        <v>1459.2</v>
      </c>
      <c r="AF424">
        <f>AE424-AA424</f>
        <v>403.41000000000008</v>
      </c>
      <c r="AG424" s="7">
        <f>ROUND((AF424/AE424),4)</f>
        <v>0.27650000000000002</v>
      </c>
      <c r="AH424">
        <f>IF(AND(C424&lt;&gt;"",E424&lt;&gt;""),E424 - C424,"")</f>
        <v>4</v>
      </c>
      <c r="AI424" t="str">
        <f>IF(C424="","",TEXT(C424, "mmmm"))</f>
        <v>March</v>
      </c>
      <c r="AJ424">
        <f>IF(C424="","",YEAR(C424))</f>
        <v>2024</v>
      </c>
      <c r="AM424" t="str">
        <f>IF(AN424="","clean","")</f>
        <v>clean</v>
      </c>
    </row>
    <row r="425" spans="1:40">
      <c r="A425" t="s">
        <v>3054</v>
      </c>
      <c r="B425" t="s">
        <v>3870</v>
      </c>
      <c r="D425" t="s">
        <v>2770</v>
      </c>
      <c r="F425" t="s">
        <v>3055</v>
      </c>
      <c r="G425" t="s">
        <v>103</v>
      </c>
      <c r="H425" t="s">
        <v>103</v>
      </c>
      <c r="I425" t="s">
        <v>104</v>
      </c>
      <c r="J425" t="s">
        <v>104</v>
      </c>
      <c r="K425" t="s">
        <v>71</v>
      </c>
      <c r="L425" t="str">
        <f>IF(TRIM(K425)="","Unknown",PROPER(TRIM(K425)))</f>
        <v>West</v>
      </c>
      <c r="M425" t="s">
        <v>218</v>
      </c>
      <c r="N425" t="s">
        <v>219</v>
      </c>
      <c r="O425" t="s">
        <v>29</v>
      </c>
      <c r="P425" t="str">
        <f>IF(TRIM(O425)="","Unknown",PROPER(TRIM(O425)))</f>
        <v>Office Supplies</v>
      </c>
      <c r="Q425" t="s">
        <v>148</v>
      </c>
      <c r="R425" t="s">
        <v>3056</v>
      </c>
      <c r="S425" t="s">
        <v>55</v>
      </c>
      <c r="T425" t="str">
        <f>IF(TRIM(S425)="","Unknown",PROPER(TRIM(S425)))</f>
        <v>First Class</v>
      </c>
      <c r="U425">
        <v>5</v>
      </c>
      <c r="V425">
        <v>2465.2199999999998</v>
      </c>
      <c r="W425">
        <v>0.05</v>
      </c>
      <c r="Y425">
        <v>0.05</v>
      </c>
      <c r="Z425">
        <v>11709.79</v>
      </c>
      <c r="AA425">
        <v>8372.2900000000009</v>
      </c>
      <c r="AB425">
        <v>3337.5</v>
      </c>
      <c r="AC425" t="s">
        <v>33</v>
      </c>
      <c r="AD425" t="s">
        <v>34</v>
      </c>
      <c r="AE425">
        <f>ROUND((U425*V425)-(U425*V425*Y425),2)</f>
        <v>11709.8</v>
      </c>
      <c r="AF425">
        <f>AE425-AA425</f>
        <v>3337.5099999999984</v>
      </c>
      <c r="AG425" s="7">
        <f>ROUND((AF425/AE425),4)</f>
        <v>0.28499999999999998</v>
      </c>
      <c r="AH425" t="str">
        <f>IF(AND(C425&lt;&gt;"",E425&lt;&gt;""),E425 - C425,"")</f>
        <v/>
      </c>
      <c r="AI425" t="str">
        <f>IF(C425="","",TEXT(C425, "mmmm"))</f>
        <v/>
      </c>
      <c r="AJ425" t="str">
        <f>IF(C425="","",YEAR(C425))</f>
        <v/>
      </c>
      <c r="AM425" t="s">
        <v>4144</v>
      </c>
      <c r="AN425" t="s">
        <v>4123</v>
      </c>
    </row>
    <row r="426" spans="1:40">
      <c r="A426" t="s">
        <v>3057</v>
      </c>
      <c r="B426" t="s">
        <v>3901</v>
      </c>
      <c r="C426" s="6">
        <v>45515</v>
      </c>
      <c r="D426" t="s">
        <v>2454</v>
      </c>
      <c r="E426" s="6">
        <v>45514</v>
      </c>
      <c r="F426" t="s">
        <v>3058</v>
      </c>
      <c r="G426" t="s">
        <v>103</v>
      </c>
      <c r="H426" t="s">
        <v>103</v>
      </c>
      <c r="I426" t="s">
        <v>104</v>
      </c>
      <c r="J426" t="s">
        <v>104</v>
      </c>
      <c r="K426" t="s">
        <v>26</v>
      </c>
      <c r="L426" t="str">
        <f>IF(TRIM(K426)="","Unknown",PROPER(TRIM(K426)))</f>
        <v>North</v>
      </c>
      <c r="M426" t="s">
        <v>454</v>
      </c>
      <c r="N426" t="s">
        <v>455</v>
      </c>
      <c r="O426" t="s">
        <v>44</v>
      </c>
      <c r="P426" t="str">
        <f>IF(TRIM(O426)="","Unknown",PROPER(TRIM(O426)))</f>
        <v>Furniture</v>
      </c>
      <c r="Q426" t="s">
        <v>63</v>
      </c>
      <c r="R426" t="s">
        <v>3059</v>
      </c>
      <c r="S426" t="s">
        <v>32</v>
      </c>
      <c r="T426" t="str">
        <f>IF(TRIM(S426)="","Unknown",PROPER(TRIM(S426)))</f>
        <v>Second Class</v>
      </c>
      <c r="U426">
        <v>3</v>
      </c>
      <c r="V426">
        <v>1017.22</v>
      </c>
      <c r="W426">
        <v>0.15</v>
      </c>
      <c r="Y426">
        <v>0.15</v>
      </c>
      <c r="Z426">
        <v>2593.91</v>
      </c>
      <c r="AA426">
        <v>1848.48</v>
      </c>
      <c r="AB426">
        <v>745.43</v>
      </c>
      <c r="AC426" t="s">
        <v>186</v>
      </c>
      <c r="AD426" t="s">
        <v>120</v>
      </c>
      <c r="AE426">
        <f>ROUND((U426*V426)-(U426*V426*Y426),2)</f>
        <v>2593.91</v>
      </c>
      <c r="AF426">
        <f>AE426-AA426</f>
        <v>745.42999999999984</v>
      </c>
      <c r="AG426" s="7">
        <f>ROUND((AF426/AE426),4)</f>
        <v>0.28739999999999999</v>
      </c>
      <c r="AH426">
        <f>IF(AND(C426&lt;&gt;"",E426&lt;&gt;""),E426 - C426,"")</f>
        <v>-1</v>
      </c>
      <c r="AI426" t="str">
        <f>IF(C426="","",TEXT(C426, "mmmm"))</f>
        <v>August</v>
      </c>
      <c r="AJ426">
        <f>IF(C426="","",YEAR(C426))</f>
        <v>2024</v>
      </c>
      <c r="AM426" t="s">
        <v>4145</v>
      </c>
      <c r="AN426" t="s">
        <v>4140</v>
      </c>
    </row>
    <row r="427" spans="1:40">
      <c r="A427" t="s">
        <v>3067</v>
      </c>
      <c r="B427" t="s">
        <v>4040</v>
      </c>
      <c r="C427" s="6">
        <v>45592</v>
      </c>
      <c r="D427" t="s">
        <v>3068</v>
      </c>
      <c r="E427" s="6">
        <v>45597</v>
      </c>
      <c r="F427" t="s">
        <v>3069</v>
      </c>
      <c r="G427" t="s">
        <v>169</v>
      </c>
      <c r="H427" t="s">
        <v>169</v>
      </c>
      <c r="I427" t="s">
        <v>25</v>
      </c>
      <c r="J427" t="s">
        <v>25</v>
      </c>
      <c r="K427" t="s">
        <v>26</v>
      </c>
      <c r="L427" t="str">
        <f>IF(TRIM(K427)="","Unknown",PROPER(TRIM(K427)))</f>
        <v>North</v>
      </c>
      <c r="M427" t="s">
        <v>27</v>
      </c>
      <c r="N427" t="s">
        <v>28</v>
      </c>
      <c r="O427" t="s">
        <v>83</v>
      </c>
      <c r="P427" t="str">
        <f>IF(TRIM(O427)="","Unknown",PROPER(TRIM(O427)))</f>
        <v>Technology</v>
      </c>
      <c r="Q427" t="s">
        <v>84</v>
      </c>
      <c r="R427" t="s">
        <v>3070</v>
      </c>
      <c r="S427" t="s">
        <v>47</v>
      </c>
      <c r="T427" t="str">
        <f>IF(TRIM(S427)="","Unknown",PROPER(TRIM(S427)))</f>
        <v>Same Day</v>
      </c>
      <c r="U427">
        <v>7</v>
      </c>
      <c r="V427">
        <v>2177.1</v>
      </c>
      <c r="W427">
        <v>0.2</v>
      </c>
      <c r="Y427">
        <v>0.2</v>
      </c>
      <c r="Z427">
        <v>12191.76</v>
      </c>
      <c r="AA427">
        <v>10457.49</v>
      </c>
      <c r="AB427">
        <v>1734.27</v>
      </c>
      <c r="AC427" t="s">
        <v>33</v>
      </c>
      <c r="AD427" t="s">
        <v>120</v>
      </c>
      <c r="AE427">
        <f>ROUND((U427*V427)-(U427*V427*Y427),2)</f>
        <v>12191.76</v>
      </c>
      <c r="AF427">
        <f>AE427-AA427</f>
        <v>1734.2700000000004</v>
      </c>
      <c r="AG427" s="7">
        <f>ROUND((AF427/AE427),4)</f>
        <v>0.14219999999999999</v>
      </c>
      <c r="AH427">
        <f>IF(AND(C427&lt;&gt;"",E427&lt;&gt;""),E427 - C427,"")</f>
        <v>5</v>
      </c>
      <c r="AI427" t="str">
        <f>IF(C427="","",TEXT(C427, "mmmm"))</f>
        <v>October</v>
      </c>
      <c r="AJ427">
        <f>IF(C427="","",YEAR(C427))</f>
        <v>2024</v>
      </c>
      <c r="AM427" t="str">
        <f>IF(AN427="","clean","")</f>
        <v>clean</v>
      </c>
      <c r="AN427" t="s">
        <v>3595</v>
      </c>
    </row>
    <row r="428" spans="1:40">
      <c r="A428" t="s">
        <v>3075</v>
      </c>
      <c r="B428" t="s">
        <v>4042</v>
      </c>
      <c r="C428" s="6">
        <v>45414</v>
      </c>
      <c r="D428" t="s">
        <v>2371</v>
      </c>
      <c r="E428" s="6">
        <v>45422</v>
      </c>
      <c r="F428" t="s">
        <v>3076</v>
      </c>
      <c r="G428" t="s">
        <v>153</v>
      </c>
      <c r="H428" t="s">
        <v>153</v>
      </c>
      <c r="I428" t="s">
        <v>40</v>
      </c>
      <c r="J428" t="s">
        <v>40</v>
      </c>
      <c r="K428" t="s">
        <v>60</v>
      </c>
      <c r="L428" t="str">
        <f>IF(TRIM(K428)="","Unknown",PROPER(TRIM(K428)))</f>
        <v>South</v>
      </c>
      <c r="M428" t="s">
        <v>212</v>
      </c>
      <c r="N428" t="s">
        <v>213</v>
      </c>
      <c r="O428" t="s">
        <v>44</v>
      </c>
      <c r="P428" t="str">
        <f>IF(TRIM(O428)="","Unknown",PROPER(TRIM(O428)))</f>
        <v>Furniture</v>
      </c>
      <c r="Q428" t="s">
        <v>74</v>
      </c>
      <c r="R428" t="s">
        <v>3077</v>
      </c>
      <c r="S428" t="s">
        <v>65</v>
      </c>
      <c r="T428" t="str">
        <f>IF(TRIM(S428)="","Unknown",PROPER(TRIM(S428)))</f>
        <v>Standard Class</v>
      </c>
      <c r="U428">
        <v>1</v>
      </c>
      <c r="V428">
        <v>4166.91</v>
      </c>
      <c r="W428">
        <v>0</v>
      </c>
      <c r="Y428">
        <v>0</v>
      </c>
      <c r="Z428">
        <v>4166.91</v>
      </c>
      <c r="AA428">
        <v>3412.63</v>
      </c>
      <c r="AB428">
        <v>754.28</v>
      </c>
      <c r="AC428" t="s">
        <v>33</v>
      </c>
      <c r="AD428" t="s">
        <v>34</v>
      </c>
      <c r="AE428">
        <f>ROUND((U428*V428)-(U428*V428*Y428),2)</f>
        <v>4166.91</v>
      </c>
      <c r="AF428">
        <f>AE428-AA428</f>
        <v>754.27999999999975</v>
      </c>
      <c r="AG428" s="7">
        <f>ROUND((AF428/AE428),4)</f>
        <v>0.18099999999999999</v>
      </c>
      <c r="AH428">
        <f>IF(AND(C428&lt;&gt;"",E428&lt;&gt;""),E428 - C428,"")</f>
        <v>8</v>
      </c>
      <c r="AI428" t="str">
        <f>IF(C428="","",TEXT(C428, "mmmm"))</f>
        <v>May</v>
      </c>
      <c r="AJ428">
        <f>IF(C428="","",YEAR(C428))</f>
        <v>2024</v>
      </c>
      <c r="AM428" t="str">
        <f>IF(AN428="","clean","")</f>
        <v>clean</v>
      </c>
      <c r="AN428" t="s">
        <v>3595</v>
      </c>
    </row>
    <row r="429" spans="1:40">
      <c r="A429" t="s">
        <v>3078</v>
      </c>
      <c r="B429" t="s">
        <v>368</v>
      </c>
      <c r="C429" s="6">
        <v>45492</v>
      </c>
      <c r="D429" t="s">
        <v>3079</v>
      </c>
      <c r="F429" t="s">
        <v>3080</v>
      </c>
      <c r="G429" t="s">
        <v>59</v>
      </c>
      <c r="H429" t="s">
        <v>59</v>
      </c>
      <c r="I429" t="s">
        <v>110</v>
      </c>
      <c r="J429" t="s">
        <v>110</v>
      </c>
      <c r="K429" t="s">
        <v>60</v>
      </c>
      <c r="L429" t="str">
        <f>IF(TRIM(K429)="","Unknown",PROPER(TRIM(K429)))</f>
        <v>South</v>
      </c>
      <c r="M429" t="s">
        <v>212</v>
      </c>
      <c r="N429" t="s">
        <v>213</v>
      </c>
      <c r="O429" t="s">
        <v>44</v>
      </c>
      <c r="P429" t="str">
        <f>IF(TRIM(O429)="","Unknown",PROPER(TRIM(O429)))</f>
        <v>Furniture</v>
      </c>
      <c r="Q429" t="s">
        <v>45</v>
      </c>
      <c r="R429" t="s">
        <v>3081</v>
      </c>
      <c r="S429" t="s">
        <v>32</v>
      </c>
      <c r="T429" t="str">
        <f>IF(TRIM(S429)="","Unknown",PROPER(TRIM(S429)))</f>
        <v>Second Class</v>
      </c>
      <c r="U429">
        <v>5</v>
      </c>
      <c r="V429">
        <v>3986.01</v>
      </c>
      <c r="W429">
        <v>0.25</v>
      </c>
      <c r="Y429">
        <v>0.25</v>
      </c>
      <c r="Z429">
        <v>14947.54</v>
      </c>
      <c r="AA429">
        <v>9438.4599999999991</v>
      </c>
      <c r="AB429">
        <v>5509.08</v>
      </c>
      <c r="AC429" t="s">
        <v>33</v>
      </c>
      <c r="AD429" t="s">
        <v>34</v>
      </c>
      <c r="AE429">
        <f>ROUND((U429*V429)-(U429*V429*Y429),2)</f>
        <v>14947.54</v>
      </c>
      <c r="AF429">
        <f>AE429-AA429</f>
        <v>5509.0800000000017</v>
      </c>
      <c r="AG429" s="7">
        <f>ROUND((AF429/AE429),4)</f>
        <v>0.36859999999999998</v>
      </c>
      <c r="AH429" t="str">
        <f>IF(AND(C429&lt;&gt;"",E429&lt;&gt;""),E429 - C429,"")</f>
        <v/>
      </c>
      <c r="AI429" t="str">
        <f>IF(C429="","",TEXT(C429, "mmmm"))</f>
        <v>July</v>
      </c>
      <c r="AJ429">
        <f>IF(C429="","",YEAR(C429))</f>
        <v>2024</v>
      </c>
      <c r="AM429" t="s">
        <v>4144</v>
      </c>
      <c r="AN429" t="s">
        <v>4136</v>
      </c>
    </row>
    <row r="430" spans="1:40">
      <c r="A430" t="s">
        <v>3082</v>
      </c>
      <c r="B430" t="s">
        <v>4043</v>
      </c>
      <c r="D430" t="s">
        <v>1054</v>
      </c>
      <c r="E430" s="6">
        <v>45537</v>
      </c>
      <c r="F430" t="s">
        <v>3083</v>
      </c>
      <c r="G430" t="s">
        <v>103</v>
      </c>
      <c r="H430" t="s">
        <v>103</v>
      </c>
      <c r="I430" t="s">
        <v>110</v>
      </c>
      <c r="J430" t="s">
        <v>110</v>
      </c>
      <c r="K430" t="s">
        <v>41</v>
      </c>
      <c r="L430" t="str">
        <f>IF(TRIM(K430)="","Unknown",PROPER(TRIM(K430)))</f>
        <v>East</v>
      </c>
      <c r="M430" t="s">
        <v>201</v>
      </c>
      <c r="N430" t="s">
        <v>202</v>
      </c>
      <c r="O430" t="s">
        <v>29</v>
      </c>
      <c r="P430" t="str">
        <f>IF(TRIM(O430)="","Unknown",PROPER(TRIM(O430)))</f>
        <v>Office Supplies</v>
      </c>
      <c r="Q430" t="s">
        <v>53</v>
      </c>
      <c r="R430" t="s">
        <v>3084</v>
      </c>
      <c r="S430" t="s">
        <v>32</v>
      </c>
      <c r="T430" t="str">
        <f>IF(TRIM(S430)="","Unknown",PROPER(TRIM(S430)))</f>
        <v>Second Class</v>
      </c>
      <c r="U430">
        <v>4</v>
      </c>
      <c r="V430">
        <v>3365.53</v>
      </c>
      <c r="W430">
        <v>0</v>
      </c>
      <c r="Y430">
        <v>0</v>
      </c>
      <c r="Z430">
        <v>13462.12</v>
      </c>
      <c r="AA430">
        <v>7600.63</v>
      </c>
      <c r="AB430">
        <v>5861.49</v>
      </c>
      <c r="AC430" t="s">
        <v>131</v>
      </c>
      <c r="AD430" t="s">
        <v>120</v>
      </c>
      <c r="AE430">
        <f>ROUND((U430*V430)-(U430*V430*Y430),2)</f>
        <v>13462.12</v>
      </c>
      <c r="AF430">
        <f>AE430-AA430</f>
        <v>5861.4900000000007</v>
      </c>
      <c r="AG430" s="7">
        <f>ROUND((AF430/AE430),4)</f>
        <v>0.43540000000000001</v>
      </c>
      <c r="AH430" t="str">
        <f>IF(AND(C430&lt;&gt;"",E430&lt;&gt;""),E430 - C430,"")</f>
        <v/>
      </c>
      <c r="AI430" t="str">
        <f>IF(C430="","",TEXT(C430, "mmmm"))</f>
        <v/>
      </c>
      <c r="AJ430" t="str">
        <f>IF(C430="","",YEAR(C430))</f>
        <v/>
      </c>
      <c r="AM430" t="s">
        <v>4144</v>
      </c>
      <c r="AN430" t="s">
        <v>4127</v>
      </c>
    </row>
    <row r="431" spans="1:40">
      <c r="A431" t="s">
        <v>3089</v>
      </c>
      <c r="B431" t="s">
        <v>4044</v>
      </c>
      <c r="C431" s="6">
        <v>45292</v>
      </c>
      <c r="D431" t="s">
        <v>3090</v>
      </c>
      <c r="E431" s="6">
        <v>45296</v>
      </c>
      <c r="F431" t="s">
        <v>3091</v>
      </c>
      <c r="G431" t="s">
        <v>196</v>
      </c>
      <c r="H431" t="s">
        <v>196</v>
      </c>
      <c r="I431" t="s">
        <v>104</v>
      </c>
      <c r="J431" t="s">
        <v>104</v>
      </c>
      <c r="K431" t="s">
        <v>71</v>
      </c>
      <c r="L431" t="str">
        <f>IF(TRIM(K431)="","Unknown",PROPER(TRIM(K431)))</f>
        <v>West</v>
      </c>
      <c r="M431" t="s">
        <v>81</v>
      </c>
      <c r="N431" t="s">
        <v>82</v>
      </c>
      <c r="O431" t="s">
        <v>83</v>
      </c>
      <c r="P431" t="str">
        <f>IF(TRIM(O431)="","Unknown",PROPER(TRIM(O431)))</f>
        <v>Technology</v>
      </c>
      <c r="Q431" t="s">
        <v>347</v>
      </c>
      <c r="R431" t="s">
        <v>3092</v>
      </c>
      <c r="S431" t="s">
        <v>32</v>
      </c>
      <c r="T431" t="str">
        <f>IF(TRIM(S431)="","Unknown",PROPER(TRIM(S431)))</f>
        <v>Second Class</v>
      </c>
      <c r="U431">
        <v>2</v>
      </c>
      <c r="V431">
        <v>3694.12</v>
      </c>
      <c r="W431">
        <v>0.2</v>
      </c>
      <c r="Y431">
        <v>0.2</v>
      </c>
      <c r="Z431">
        <v>5910.59</v>
      </c>
      <c r="AA431">
        <v>4775.4399999999996</v>
      </c>
      <c r="AB431">
        <v>1135.1500000000001</v>
      </c>
      <c r="AC431" t="s">
        <v>119</v>
      </c>
      <c r="AD431" t="s">
        <v>120</v>
      </c>
      <c r="AE431">
        <f>ROUND((U431*V431)-(U431*V431*Y431),2)</f>
        <v>5910.59</v>
      </c>
      <c r="AF431">
        <f>AE431-AA431</f>
        <v>1135.1500000000005</v>
      </c>
      <c r="AG431" s="7">
        <f>ROUND((AF431/AE431),4)</f>
        <v>0.19209999999999999</v>
      </c>
      <c r="AH431">
        <f>IF(AND(C431&lt;&gt;"",E431&lt;&gt;""),E431 - C431,"")</f>
        <v>4</v>
      </c>
      <c r="AI431" t="str">
        <f>IF(C431="","",TEXT(C431, "mmmm"))</f>
        <v>January</v>
      </c>
      <c r="AJ431">
        <f>IF(C431="","",YEAR(C431))</f>
        <v>2024</v>
      </c>
      <c r="AM431" t="str">
        <f>IF(AN431="","clean","")</f>
        <v>clean</v>
      </c>
      <c r="AN431" t="s">
        <v>3595</v>
      </c>
    </row>
    <row r="432" spans="1:40">
      <c r="A432" t="s">
        <v>3103</v>
      </c>
      <c r="B432" t="s">
        <v>4047</v>
      </c>
      <c r="C432" s="6">
        <v>45552</v>
      </c>
      <c r="D432" t="s">
        <v>1767</v>
      </c>
      <c r="E432" s="6">
        <v>45559</v>
      </c>
      <c r="F432" t="s">
        <v>3104</v>
      </c>
      <c r="G432" t="s">
        <v>39</v>
      </c>
      <c r="H432" t="s">
        <v>39</v>
      </c>
      <c r="I432" t="s">
        <v>104</v>
      </c>
      <c r="J432" t="s">
        <v>104</v>
      </c>
      <c r="K432" t="s">
        <v>71</v>
      </c>
      <c r="L432" t="str">
        <f>IF(TRIM(K432)="","Unknown",PROPER(TRIM(K432)))</f>
        <v>West</v>
      </c>
      <c r="M432" t="s">
        <v>218</v>
      </c>
      <c r="N432" t="s">
        <v>219</v>
      </c>
      <c r="O432" t="s">
        <v>29</v>
      </c>
      <c r="P432" t="str">
        <f>IF(TRIM(O432)="","Unknown",PROPER(TRIM(O432)))</f>
        <v>Office Supplies</v>
      </c>
      <c r="Q432" t="s">
        <v>53</v>
      </c>
      <c r="R432" t="s">
        <v>3105</v>
      </c>
      <c r="S432" t="s">
        <v>32</v>
      </c>
      <c r="T432" t="str">
        <f>IF(TRIM(S432)="","Unknown",PROPER(TRIM(S432)))</f>
        <v>Second Class</v>
      </c>
      <c r="U432">
        <v>9</v>
      </c>
      <c r="V432">
        <v>2307.96</v>
      </c>
      <c r="W432">
        <v>0.2</v>
      </c>
      <c r="Y432">
        <v>0.2</v>
      </c>
      <c r="Z432">
        <v>16617.310000000001</v>
      </c>
      <c r="AA432">
        <v>9195.73</v>
      </c>
      <c r="AB432">
        <v>7421.58</v>
      </c>
      <c r="AC432" t="s">
        <v>33</v>
      </c>
      <c r="AD432" t="s">
        <v>76</v>
      </c>
      <c r="AE432">
        <f>ROUND((U432*V432)-(U432*V432*Y432),2)</f>
        <v>16617.310000000001</v>
      </c>
      <c r="AF432">
        <f>AE432-AA432</f>
        <v>7421.5800000000017</v>
      </c>
      <c r="AG432" s="7">
        <f>ROUND((AF432/AE432),4)</f>
        <v>0.4466</v>
      </c>
      <c r="AH432">
        <f>IF(AND(C432&lt;&gt;"",E432&lt;&gt;""),E432 - C432,"")</f>
        <v>7</v>
      </c>
      <c r="AI432" t="str">
        <f>IF(C432="","",TEXT(C432, "mmmm"))</f>
        <v>September</v>
      </c>
      <c r="AJ432">
        <f>IF(C432="","",YEAR(C432))</f>
        <v>2024</v>
      </c>
      <c r="AM432" t="str">
        <f>IF(AN432="","clean","")</f>
        <v>clean</v>
      </c>
      <c r="AN432" t="s">
        <v>3595</v>
      </c>
    </row>
    <row r="433" spans="1:40">
      <c r="A433" t="s">
        <v>3106</v>
      </c>
      <c r="B433" t="s">
        <v>4048</v>
      </c>
      <c r="C433" s="6">
        <v>45415</v>
      </c>
      <c r="D433" t="s">
        <v>2375</v>
      </c>
      <c r="E433" s="6">
        <v>45418</v>
      </c>
      <c r="F433" t="s">
        <v>3107</v>
      </c>
      <c r="G433" t="s">
        <v>70</v>
      </c>
      <c r="H433" t="s">
        <v>70</v>
      </c>
      <c r="I433" t="s">
        <v>110</v>
      </c>
      <c r="J433" t="s">
        <v>110</v>
      </c>
      <c r="K433" t="s">
        <v>26</v>
      </c>
      <c r="L433" t="str">
        <f>IF(TRIM(K433)="","Unknown",PROPER(TRIM(K433)))</f>
        <v>North</v>
      </c>
      <c r="M433" t="s">
        <v>163</v>
      </c>
      <c r="N433" t="s">
        <v>164</v>
      </c>
      <c r="O433" t="s">
        <v>813</v>
      </c>
      <c r="P433" t="str">
        <f>IF(TRIM(O433)="","Unknown",PROPER(TRIM(O433)))</f>
        <v>Office Supplies</v>
      </c>
      <c r="Q433" t="s">
        <v>184</v>
      </c>
      <c r="R433" t="s">
        <v>3108</v>
      </c>
      <c r="S433" t="s">
        <v>65</v>
      </c>
      <c r="T433" t="str">
        <f>IF(TRIM(S433)="","Unknown",PROPER(TRIM(S433)))</f>
        <v>Standard Class</v>
      </c>
      <c r="U433">
        <v>1</v>
      </c>
      <c r="V433">
        <v>1244.58</v>
      </c>
      <c r="W433">
        <v>0.25</v>
      </c>
      <c r="Y433">
        <v>0.25</v>
      </c>
      <c r="Z433">
        <v>933.43</v>
      </c>
      <c r="AA433">
        <v>583.09</v>
      </c>
      <c r="AB433">
        <v>350.34</v>
      </c>
      <c r="AC433" t="s">
        <v>33</v>
      </c>
      <c r="AD433" t="s">
        <v>34</v>
      </c>
      <c r="AE433">
        <f>ROUND((U433*V433)-(U433*V433*Y433),2)</f>
        <v>933.44</v>
      </c>
      <c r="AF433">
        <f>AE433-AA433</f>
        <v>350.35</v>
      </c>
      <c r="AG433" s="7">
        <f>ROUND((AF433/AE433),4)</f>
        <v>0.37530000000000002</v>
      </c>
      <c r="AH433">
        <f>IF(AND(C433&lt;&gt;"",E433&lt;&gt;""),E433 - C433,"")</f>
        <v>3</v>
      </c>
      <c r="AI433" t="str">
        <f>IF(C433="","",TEXT(C433, "mmmm"))</f>
        <v>May</v>
      </c>
      <c r="AJ433">
        <f>IF(C433="","",YEAR(C433))</f>
        <v>2024</v>
      </c>
      <c r="AM433" t="str">
        <f>IF(AN433="","clean","")</f>
        <v>clean</v>
      </c>
    </row>
    <row r="434" spans="1:40">
      <c r="A434" t="s">
        <v>3113</v>
      </c>
      <c r="B434" t="s">
        <v>4049</v>
      </c>
      <c r="C434" s="6">
        <v>45423</v>
      </c>
      <c r="D434" t="s">
        <v>1775</v>
      </c>
      <c r="E434" s="6">
        <v>45425</v>
      </c>
      <c r="F434" t="s">
        <v>3114</v>
      </c>
      <c r="G434" t="s">
        <v>136</v>
      </c>
      <c r="H434" t="s">
        <v>136</v>
      </c>
      <c r="I434" t="s">
        <v>110</v>
      </c>
      <c r="J434" t="s">
        <v>110</v>
      </c>
      <c r="K434" t="s">
        <v>71</v>
      </c>
      <c r="L434" t="str">
        <f>IF(TRIM(K434)="","Unknown",PROPER(TRIM(K434)))</f>
        <v>West</v>
      </c>
      <c r="M434" t="s">
        <v>230</v>
      </c>
      <c r="N434" t="s">
        <v>231</v>
      </c>
      <c r="O434" t="s">
        <v>44</v>
      </c>
      <c r="P434" t="str">
        <f>IF(TRIM(O434)="","Unknown",PROPER(TRIM(O434)))</f>
        <v>Furniture</v>
      </c>
      <c r="Q434" t="s">
        <v>190</v>
      </c>
      <c r="R434" t="s">
        <v>3115</v>
      </c>
      <c r="S434" t="s">
        <v>47</v>
      </c>
      <c r="T434" t="str">
        <f>IF(TRIM(S434)="","Unknown",PROPER(TRIM(S434)))</f>
        <v>Same Day</v>
      </c>
      <c r="U434">
        <v>3</v>
      </c>
      <c r="V434">
        <v>3612.75</v>
      </c>
      <c r="W434">
        <v>0.25</v>
      </c>
      <c r="Y434">
        <v>0.25</v>
      </c>
      <c r="Z434">
        <v>8128.69</v>
      </c>
      <c r="AA434">
        <v>5071.66</v>
      </c>
      <c r="AB434">
        <v>3057.03</v>
      </c>
      <c r="AC434" t="s">
        <v>33</v>
      </c>
      <c r="AD434" t="s">
        <v>34</v>
      </c>
      <c r="AE434">
        <f>ROUND((U434*V434)-(U434*V434*Y434),2)</f>
        <v>8128.69</v>
      </c>
      <c r="AF434">
        <f>AE434-AA434</f>
        <v>3057.0299999999997</v>
      </c>
      <c r="AG434" s="7">
        <f>ROUND((AF434/AE434),4)</f>
        <v>0.37609999999999999</v>
      </c>
      <c r="AH434">
        <f>IF(AND(C434&lt;&gt;"",E434&lt;&gt;""),E434 - C434,"")</f>
        <v>2</v>
      </c>
      <c r="AI434" t="str">
        <f>IF(C434="","",TEXT(C434, "mmmm"))</f>
        <v>May</v>
      </c>
      <c r="AJ434">
        <f>IF(C434="","",YEAR(C434))</f>
        <v>2024</v>
      </c>
      <c r="AM434" t="str">
        <f>IF(AN434="","clean","")</f>
        <v>clean</v>
      </c>
      <c r="AN434" t="s">
        <v>3595</v>
      </c>
    </row>
    <row r="435" spans="1:40">
      <c r="A435" t="s">
        <v>3116</v>
      </c>
      <c r="B435" t="s">
        <v>2024</v>
      </c>
      <c r="C435" s="6">
        <v>45337</v>
      </c>
      <c r="D435" t="s">
        <v>2423</v>
      </c>
      <c r="E435" s="6">
        <v>45339</v>
      </c>
      <c r="F435" t="s">
        <v>3117</v>
      </c>
      <c r="G435" t="s">
        <v>90</v>
      </c>
      <c r="H435" t="s">
        <v>90</v>
      </c>
      <c r="I435" t="s">
        <v>25</v>
      </c>
      <c r="J435" t="s">
        <v>25</v>
      </c>
      <c r="K435" t="s">
        <v>26</v>
      </c>
      <c r="L435" t="str">
        <f>IF(TRIM(K435)="","Unknown",PROPER(TRIM(K435)))</f>
        <v>North</v>
      </c>
      <c r="M435" t="s">
        <v>163</v>
      </c>
      <c r="N435" t="s">
        <v>164</v>
      </c>
      <c r="O435" t="s">
        <v>83</v>
      </c>
      <c r="P435" t="str">
        <f>IF(TRIM(O435)="","Unknown",PROPER(TRIM(O435)))</f>
        <v>Technology</v>
      </c>
      <c r="Q435" t="s">
        <v>91</v>
      </c>
      <c r="R435" t="s">
        <v>3118</v>
      </c>
      <c r="S435" t="s">
        <v>55</v>
      </c>
      <c r="T435" t="str">
        <f>IF(TRIM(S435)="","Unknown",PROPER(TRIM(S435)))</f>
        <v>First Class</v>
      </c>
      <c r="U435">
        <v>4</v>
      </c>
      <c r="V435">
        <v>863</v>
      </c>
      <c r="Y435">
        <v>0.1</v>
      </c>
      <c r="Z435">
        <v>3106.8</v>
      </c>
      <c r="AA435">
        <v>2376.62</v>
      </c>
      <c r="AB435">
        <v>730.18</v>
      </c>
      <c r="AC435" t="s">
        <v>33</v>
      </c>
      <c r="AD435" t="s">
        <v>34</v>
      </c>
      <c r="AE435">
        <f>ROUND((U435*V435)-(U435*V435*Y435),2)</f>
        <v>3106.8</v>
      </c>
      <c r="AF435">
        <f>AE435-AA435</f>
        <v>730.18000000000029</v>
      </c>
      <c r="AG435" s="7">
        <f>ROUND((AF435/AE435),4)</f>
        <v>0.23499999999999999</v>
      </c>
      <c r="AH435">
        <f>IF(AND(C435&lt;&gt;"",E435&lt;&gt;""),E435 - C435,"")</f>
        <v>2</v>
      </c>
      <c r="AI435" t="str">
        <f>IF(C435="","",TEXT(C435, "mmmm"))</f>
        <v>February</v>
      </c>
      <c r="AJ435">
        <f>IF(C435="","",YEAR(C435))</f>
        <v>2024</v>
      </c>
      <c r="AM435" t="s">
        <v>4145</v>
      </c>
      <c r="AN435" t="s">
        <v>3596</v>
      </c>
    </row>
    <row r="436" spans="1:40">
      <c r="A436" t="s">
        <v>3119</v>
      </c>
      <c r="B436" t="s">
        <v>4050</v>
      </c>
      <c r="C436" s="6">
        <v>45485</v>
      </c>
      <c r="D436" t="s">
        <v>2298</v>
      </c>
      <c r="E436" s="6">
        <v>45487</v>
      </c>
      <c r="F436" t="s">
        <v>615</v>
      </c>
      <c r="G436" t="s">
        <v>70</v>
      </c>
      <c r="H436" t="s">
        <v>70</v>
      </c>
      <c r="I436" t="s">
        <v>25</v>
      </c>
      <c r="J436" t="s">
        <v>25</v>
      </c>
      <c r="K436" t="s">
        <v>26</v>
      </c>
      <c r="L436" t="str">
        <f>IF(TRIM(K436)="","Unknown",PROPER(TRIM(K436)))</f>
        <v>North</v>
      </c>
      <c r="M436" t="s">
        <v>294</v>
      </c>
      <c r="N436" t="s">
        <v>295</v>
      </c>
      <c r="O436" t="s">
        <v>83</v>
      </c>
      <c r="P436" t="str">
        <f>IF(TRIM(O436)="","Unknown",PROPER(TRIM(O436)))</f>
        <v>Technology</v>
      </c>
      <c r="Q436" t="s">
        <v>347</v>
      </c>
      <c r="R436" t="s">
        <v>3120</v>
      </c>
      <c r="S436" t="s">
        <v>32</v>
      </c>
      <c r="T436" t="str">
        <f>IF(TRIM(S436)="","Unknown",PROPER(TRIM(S436)))</f>
        <v>Second Class</v>
      </c>
      <c r="U436">
        <v>4</v>
      </c>
      <c r="V436">
        <v>2131.41</v>
      </c>
      <c r="Y436">
        <v>0.25</v>
      </c>
      <c r="Z436">
        <v>6394.23</v>
      </c>
      <c r="AA436">
        <v>3520.69</v>
      </c>
      <c r="AB436">
        <v>2873.54</v>
      </c>
      <c r="AC436" t="s">
        <v>33</v>
      </c>
      <c r="AD436" t="s">
        <v>34</v>
      </c>
      <c r="AE436">
        <f>ROUND((U436*V436)-(U436*V436*Y436),2)</f>
        <v>6394.23</v>
      </c>
      <c r="AF436">
        <f>AE436-AA436</f>
        <v>2873.5399999999995</v>
      </c>
      <c r="AG436" s="7">
        <f>ROUND((AF436/AE436),4)</f>
        <v>0.44940000000000002</v>
      </c>
      <c r="AH436">
        <f>IF(AND(C436&lt;&gt;"",E436&lt;&gt;""),E436 - C436,"")</f>
        <v>2</v>
      </c>
      <c r="AI436" t="str">
        <f>IF(C436="","",TEXT(C436, "mmmm"))</f>
        <v>July</v>
      </c>
      <c r="AJ436">
        <f>IF(C436="","",YEAR(C436))</f>
        <v>2024</v>
      </c>
      <c r="AM436" t="s">
        <v>4145</v>
      </c>
      <c r="AN436" t="s">
        <v>3596</v>
      </c>
    </row>
    <row r="437" spans="1:40">
      <c r="A437" t="s">
        <v>3132</v>
      </c>
      <c r="B437" t="s">
        <v>4052</v>
      </c>
      <c r="C437" s="6">
        <v>45396</v>
      </c>
      <c r="D437" t="s">
        <v>3133</v>
      </c>
      <c r="F437" t="s">
        <v>3134</v>
      </c>
      <c r="G437" t="s">
        <v>59</v>
      </c>
      <c r="H437" t="s">
        <v>59</v>
      </c>
      <c r="I437" t="s">
        <v>25</v>
      </c>
      <c r="J437" t="s">
        <v>25</v>
      </c>
      <c r="K437" t="s">
        <v>26</v>
      </c>
      <c r="L437" t="str">
        <f>IF(TRIM(K437)="","Unknown",PROPER(TRIM(K437)))</f>
        <v>North</v>
      </c>
      <c r="M437" t="s">
        <v>294</v>
      </c>
      <c r="N437" t="s">
        <v>295</v>
      </c>
      <c r="O437" t="s">
        <v>83</v>
      </c>
      <c r="P437" t="str">
        <f>IF(TRIM(O437)="","Unknown",PROPER(TRIM(O437)))</f>
        <v>Technology</v>
      </c>
      <c r="Q437" t="s">
        <v>84</v>
      </c>
      <c r="R437" t="s">
        <v>3135</v>
      </c>
      <c r="S437" t="s">
        <v>65</v>
      </c>
      <c r="T437" t="str">
        <f>IF(TRIM(S437)="","Unknown",PROPER(TRIM(S437)))</f>
        <v>Standard Class</v>
      </c>
      <c r="U437">
        <v>8</v>
      </c>
      <c r="V437">
        <v>3956.12</v>
      </c>
      <c r="W437">
        <v>0.25</v>
      </c>
      <c r="Y437">
        <v>0.25</v>
      </c>
      <c r="Z437">
        <v>23736.720000000001</v>
      </c>
      <c r="AA437">
        <v>13890.9</v>
      </c>
      <c r="AB437">
        <v>9845.82</v>
      </c>
      <c r="AC437" t="s">
        <v>33</v>
      </c>
      <c r="AD437" t="s">
        <v>34</v>
      </c>
      <c r="AE437">
        <f>ROUND((U437*V437)-(U437*V437*Y437),2)</f>
        <v>23736.720000000001</v>
      </c>
      <c r="AF437">
        <f>AE437-AA437</f>
        <v>9845.8200000000015</v>
      </c>
      <c r="AG437" s="7">
        <f>ROUND((AF437/AE437),4)</f>
        <v>0.4148</v>
      </c>
      <c r="AH437" t="str">
        <f>IF(AND(C437&lt;&gt;"",E437&lt;&gt;""),E437 - C437,"")</f>
        <v/>
      </c>
      <c r="AI437" t="str">
        <f>IF(C437="","",TEXT(C437, "mmmm"))</f>
        <v>April</v>
      </c>
      <c r="AJ437">
        <f>IF(C437="","",YEAR(C437))</f>
        <v>2024</v>
      </c>
      <c r="AM437" t="s">
        <v>4144</v>
      </c>
      <c r="AN437" t="s">
        <v>4136</v>
      </c>
    </row>
    <row r="438" spans="1:40">
      <c r="A438" t="s">
        <v>3139</v>
      </c>
      <c r="B438" t="s">
        <v>4054</v>
      </c>
      <c r="C438" s="6">
        <v>45326</v>
      </c>
      <c r="D438" t="s">
        <v>2002</v>
      </c>
      <c r="E438" s="6">
        <v>45328</v>
      </c>
      <c r="F438" t="s">
        <v>3140</v>
      </c>
      <c r="G438" t="s">
        <v>334</v>
      </c>
      <c r="H438" t="s">
        <v>334</v>
      </c>
      <c r="I438" t="s">
        <v>40</v>
      </c>
      <c r="J438" t="s">
        <v>40</v>
      </c>
      <c r="K438" t="s">
        <v>71</v>
      </c>
      <c r="L438" t="str">
        <f>IF(TRIM(K438)="","Unknown",PROPER(TRIM(K438)))</f>
        <v>West</v>
      </c>
      <c r="M438" t="s">
        <v>81</v>
      </c>
      <c r="N438" t="s">
        <v>82</v>
      </c>
      <c r="O438" t="s">
        <v>83</v>
      </c>
      <c r="P438" t="str">
        <f>IF(TRIM(O438)="","Unknown",PROPER(TRIM(O438)))</f>
        <v>Technology</v>
      </c>
      <c r="Q438" t="s">
        <v>84</v>
      </c>
      <c r="R438" t="s">
        <v>3141</v>
      </c>
      <c r="S438" t="s">
        <v>32</v>
      </c>
      <c r="T438" t="str">
        <f>IF(TRIM(S438)="","Unknown",PROPER(TRIM(S438)))</f>
        <v>Second Class</v>
      </c>
      <c r="U438">
        <v>4</v>
      </c>
      <c r="V438">
        <v>1489.74</v>
      </c>
      <c r="W438">
        <v>0.15</v>
      </c>
      <c r="Y438">
        <v>0.15</v>
      </c>
      <c r="Z438">
        <v>5065.12</v>
      </c>
      <c r="AA438">
        <v>3530.12</v>
      </c>
      <c r="AB438">
        <v>1535</v>
      </c>
      <c r="AC438" t="s">
        <v>186</v>
      </c>
      <c r="AD438" t="s">
        <v>76</v>
      </c>
      <c r="AE438">
        <f>ROUND((U438*V438)-(U438*V438*Y438),2)</f>
        <v>5065.12</v>
      </c>
      <c r="AF438">
        <f>AE438-AA438</f>
        <v>1535</v>
      </c>
      <c r="AG438" s="7">
        <f>ROUND((AF438/AE438),4)</f>
        <v>0.30309999999999998</v>
      </c>
      <c r="AH438">
        <f>IF(AND(C438&lt;&gt;"",E438&lt;&gt;""),E438 - C438,"")</f>
        <v>2</v>
      </c>
      <c r="AI438" t="str">
        <f>IF(C438="","",TEXT(C438, "mmmm"))</f>
        <v>February</v>
      </c>
      <c r="AJ438">
        <f>IF(C438="","",YEAR(C438))</f>
        <v>2024</v>
      </c>
      <c r="AM438" t="str">
        <f>IF(AN438="","clean","")</f>
        <v>clean</v>
      </c>
      <c r="AN438" t="s">
        <v>3595</v>
      </c>
    </row>
    <row r="439" spans="1:40">
      <c r="A439" t="s">
        <v>3142</v>
      </c>
      <c r="B439" t="s">
        <v>638</v>
      </c>
      <c r="C439" s="6">
        <v>45497</v>
      </c>
      <c r="D439" t="s">
        <v>3143</v>
      </c>
      <c r="F439" t="s">
        <v>3144</v>
      </c>
      <c r="G439" t="s">
        <v>24</v>
      </c>
      <c r="H439" t="s">
        <v>24</v>
      </c>
      <c r="I439" t="s">
        <v>40</v>
      </c>
      <c r="J439" t="s">
        <v>40</v>
      </c>
      <c r="K439" t="s">
        <v>26</v>
      </c>
      <c r="L439" t="str">
        <f>IF(TRIM(K439)="","Unknown",PROPER(TRIM(K439)))</f>
        <v>North</v>
      </c>
      <c r="M439" t="s">
        <v>294</v>
      </c>
      <c r="N439" t="s">
        <v>295</v>
      </c>
      <c r="O439" t="s">
        <v>83</v>
      </c>
      <c r="P439" t="str">
        <f>IF(TRIM(O439)="","Unknown",PROPER(TRIM(O439)))</f>
        <v>Technology</v>
      </c>
      <c r="Q439" t="s">
        <v>91</v>
      </c>
      <c r="R439" t="s">
        <v>3145</v>
      </c>
      <c r="S439" t="s">
        <v>32</v>
      </c>
      <c r="T439" t="str">
        <f>IF(TRIM(S439)="","Unknown",PROPER(TRIM(S439)))</f>
        <v>Second Class</v>
      </c>
      <c r="U439">
        <v>4</v>
      </c>
      <c r="V439">
        <v>1676.88</v>
      </c>
      <c r="W439">
        <v>0</v>
      </c>
      <c r="Y439">
        <v>0</v>
      </c>
      <c r="Z439">
        <v>6707.52</v>
      </c>
      <c r="AA439">
        <v>5672.57</v>
      </c>
      <c r="AB439">
        <v>1034.95</v>
      </c>
      <c r="AC439" t="s">
        <v>33</v>
      </c>
      <c r="AD439" t="s">
        <v>34</v>
      </c>
      <c r="AE439">
        <f>ROUND((U439*V439)-(U439*V439*Y439),2)</f>
        <v>6707.52</v>
      </c>
      <c r="AF439">
        <f>AE439-AA439</f>
        <v>1034.9500000000007</v>
      </c>
      <c r="AG439" s="7">
        <f>ROUND((AF439/AE439),4)</f>
        <v>0.15429999999999999</v>
      </c>
      <c r="AH439" t="str">
        <f>IF(AND(C439&lt;&gt;"",E439&lt;&gt;""),E439 - C439,"")</f>
        <v/>
      </c>
      <c r="AI439" t="str">
        <f>IF(C439="","",TEXT(C439, "mmmm"))</f>
        <v>July</v>
      </c>
      <c r="AJ439">
        <f>IF(C439="","",YEAR(C439))</f>
        <v>2024</v>
      </c>
      <c r="AM439" t="s">
        <v>4144</v>
      </c>
      <c r="AN439" t="s">
        <v>4136</v>
      </c>
    </row>
    <row r="440" spans="1:40">
      <c r="A440" t="s">
        <v>3146</v>
      </c>
      <c r="B440" t="s">
        <v>3868</v>
      </c>
      <c r="C440" s="6">
        <v>45306</v>
      </c>
      <c r="D440" t="s">
        <v>3147</v>
      </c>
      <c r="F440" t="s">
        <v>3148</v>
      </c>
      <c r="G440" t="s">
        <v>136</v>
      </c>
      <c r="H440" t="s">
        <v>136</v>
      </c>
      <c r="I440" t="s">
        <v>40</v>
      </c>
      <c r="J440" t="s">
        <v>40</v>
      </c>
      <c r="K440" t="s">
        <v>60</v>
      </c>
      <c r="L440" t="str">
        <f>IF(TRIM(K440)="","Unknown",PROPER(TRIM(K440)))</f>
        <v>South</v>
      </c>
      <c r="M440" t="s">
        <v>97</v>
      </c>
      <c r="N440" t="s">
        <v>98</v>
      </c>
      <c r="O440" t="s">
        <v>44</v>
      </c>
      <c r="P440" t="str">
        <f>IF(TRIM(O440)="","Unknown",PROPER(TRIM(O440)))</f>
        <v>Furniture</v>
      </c>
      <c r="Q440" t="s">
        <v>74</v>
      </c>
      <c r="R440" t="s">
        <v>3149</v>
      </c>
      <c r="S440" t="s">
        <v>65</v>
      </c>
      <c r="T440" t="str">
        <f>IF(TRIM(S440)="","Unknown",PROPER(TRIM(S440)))</f>
        <v>Standard Class</v>
      </c>
      <c r="U440">
        <v>4</v>
      </c>
      <c r="V440">
        <v>3153.54</v>
      </c>
      <c r="W440">
        <v>0.05</v>
      </c>
      <c r="Y440">
        <v>0.05</v>
      </c>
      <c r="Z440">
        <v>11983.45</v>
      </c>
      <c r="AA440">
        <v>8572.9</v>
      </c>
      <c r="AB440">
        <v>3410.55</v>
      </c>
      <c r="AC440" t="s">
        <v>33</v>
      </c>
      <c r="AD440" t="s">
        <v>34</v>
      </c>
      <c r="AE440">
        <f>ROUND((U440*V440)-(U440*V440*Y440),2)</f>
        <v>11983.45</v>
      </c>
      <c r="AF440">
        <f>AE440-AA440</f>
        <v>3410.5500000000011</v>
      </c>
      <c r="AG440" s="7">
        <f>ROUND((AF440/AE440),4)</f>
        <v>0.28460000000000002</v>
      </c>
      <c r="AH440" t="str">
        <f>IF(AND(C440&lt;&gt;"",E440&lt;&gt;""),E440 - C440,"")</f>
        <v/>
      </c>
      <c r="AI440" t="str">
        <f>IF(C440="","",TEXT(C440, "mmmm"))</f>
        <v>January</v>
      </c>
      <c r="AJ440">
        <f>IF(C440="","",YEAR(C440))</f>
        <v>2024</v>
      </c>
      <c r="AM440" t="s">
        <v>4144</v>
      </c>
      <c r="AN440" t="s">
        <v>4136</v>
      </c>
    </row>
    <row r="441" spans="1:40">
      <c r="A441" t="s">
        <v>3150</v>
      </c>
      <c r="B441" t="s">
        <v>4055</v>
      </c>
      <c r="C441" s="6">
        <v>45508</v>
      </c>
      <c r="D441" t="s">
        <v>2325</v>
      </c>
      <c r="E441" s="6">
        <v>45514</v>
      </c>
      <c r="F441" t="s">
        <v>3151</v>
      </c>
      <c r="G441" t="s">
        <v>196</v>
      </c>
      <c r="H441" t="s">
        <v>196</v>
      </c>
      <c r="I441" t="s">
        <v>40</v>
      </c>
      <c r="J441" t="s">
        <v>40</v>
      </c>
      <c r="K441" t="s">
        <v>71</v>
      </c>
      <c r="L441" t="str">
        <f>IF(TRIM(K441)="","Unknown",PROPER(TRIM(K441)))</f>
        <v>West</v>
      </c>
      <c r="M441" t="s">
        <v>27</v>
      </c>
      <c r="N441" t="s">
        <v>129</v>
      </c>
      <c r="O441" t="s">
        <v>44</v>
      </c>
      <c r="P441" t="str">
        <f>IF(TRIM(O441)="","Unknown",PROPER(TRIM(O441)))</f>
        <v>Furniture</v>
      </c>
      <c r="Q441" t="s">
        <v>74</v>
      </c>
      <c r="R441" t="s">
        <v>3152</v>
      </c>
      <c r="S441" t="s">
        <v>47</v>
      </c>
      <c r="T441" t="str">
        <f>IF(TRIM(S441)="","Unknown",PROPER(TRIM(S441)))</f>
        <v>Same Day</v>
      </c>
      <c r="U441">
        <v>4</v>
      </c>
      <c r="V441">
        <v>426.43</v>
      </c>
      <c r="W441">
        <v>0.2</v>
      </c>
      <c r="Y441">
        <v>0.2</v>
      </c>
      <c r="Z441">
        <v>1364.58</v>
      </c>
      <c r="AA441">
        <v>978.16</v>
      </c>
      <c r="AB441">
        <v>386.42</v>
      </c>
      <c r="AC441" t="s">
        <v>33</v>
      </c>
      <c r="AD441" t="s">
        <v>34</v>
      </c>
      <c r="AE441">
        <f>ROUND((U441*V441)-(U441*V441*Y441),2)</f>
        <v>1364.58</v>
      </c>
      <c r="AF441">
        <f>AE441-AA441</f>
        <v>386.41999999999996</v>
      </c>
      <c r="AG441" s="7">
        <f>ROUND((AF441/AE441),4)</f>
        <v>0.28320000000000001</v>
      </c>
      <c r="AH441">
        <f>IF(AND(C441&lt;&gt;"",E441&lt;&gt;""),E441 - C441,"")</f>
        <v>6</v>
      </c>
      <c r="AI441" t="str">
        <f>IF(C441="","",TEXT(C441, "mmmm"))</f>
        <v>August</v>
      </c>
      <c r="AJ441">
        <f>IF(C441="","",YEAR(C441))</f>
        <v>2024</v>
      </c>
      <c r="AM441" t="str">
        <f>IF(AN441="","clean","")</f>
        <v>clean</v>
      </c>
      <c r="AN441" t="s">
        <v>3595</v>
      </c>
    </row>
    <row r="442" spans="1:40">
      <c r="A442" t="s">
        <v>3153</v>
      </c>
      <c r="B442" t="s">
        <v>4056</v>
      </c>
      <c r="C442" s="6">
        <v>45324</v>
      </c>
      <c r="D442" t="s">
        <v>1873</v>
      </c>
      <c r="E442" s="6">
        <v>45332</v>
      </c>
      <c r="F442" t="s">
        <v>3154</v>
      </c>
      <c r="G442" t="s">
        <v>24</v>
      </c>
      <c r="H442" t="s">
        <v>24</v>
      </c>
      <c r="I442" t="s">
        <v>110</v>
      </c>
      <c r="J442" t="s">
        <v>110</v>
      </c>
      <c r="K442" t="s">
        <v>71</v>
      </c>
      <c r="L442" t="str">
        <f>IF(TRIM(K442)="","Unknown",PROPER(TRIM(K442)))</f>
        <v>West</v>
      </c>
      <c r="M442" t="s">
        <v>27</v>
      </c>
      <c r="N442" t="s">
        <v>129</v>
      </c>
      <c r="O442" t="s">
        <v>29</v>
      </c>
      <c r="P442" t="str">
        <f>IF(TRIM(O442)="","Unknown",PROPER(TRIM(O442)))</f>
        <v>Office Supplies</v>
      </c>
      <c r="Q442" t="s">
        <v>105</v>
      </c>
      <c r="R442" t="s">
        <v>3155</v>
      </c>
      <c r="S442" t="s">
        <v>55</v>
      </c>
      <c r="T442" t="str">
        <f>IF(TRIM(S442)="","Unknown",PROPER(TRIM(S442)))</f>
        <v>First Class</v>
      </c>
      <c r="U442">
        <v>3</v>
      </c>
      <c r="V442">
        <v>383.4</v>
      </c>
      <c r="W442">
        <v>0.25</v>
      </c>
      <c r="Y442">
        <v>0.25</v>
      </c>
      <c r="Z442">
        <v>862.65</v>
      </c>
      <c r="AA442">
        <v>603.73</v>
      </c>
      <c r="AB442">
        <v>258.92</v>
      </c>
      <c r="AC442" t="s">
        <v>131</v>
      </c>
      <c r="AD442" t="s">
        <v>120</v>
      </c>
      <c r="AE442">
        <f>ROUND((U442*V442)-(U442*V442*Y442),2)</f>
        <v>862.65</v>
      </c>
      <c r="AF442">
        <f>AE442-AA442</f>
        <v>258.91999999999996</v>
      </c>
      <c r="AG442" s="7">
        <f>ROUND((AF442/AE442),4)</f>
        <v>0.30009999999999998</v>
      </c>
      <c r="AH442">
        <f>IF(AND(C442&lt;&gt;"",E442&lt;&gt;""),E442 - C442,"")</f>
        <v>8</v>
      </c>
      <c r="AI442" t="str">
        <f>IF(C442="","",TEXT(C442, "mmmm"))</f>
        <v>February</v>
      </c>
      <c r="AJ442">
        <f>IF(C442="","",YEAR(C442))</f>
        <v>2024</v>
      </c>
      <c r="AM442" t="str">
        <f>IF(AN442="","clean","")</f>
        <v>clean</v>
      </c>
      <c r="AN442" t="s">
        <v>3595</v>
      </c>
    </row>
    <row r="443" spans="1:40">
      <c r="A443" t="s">
        <v>3160</v>
      </c>
      <c r="B443" t="s">
        <v>4057</v>
      </c>
      <c r="C443" s="6">
        <v>45450</v>
      </c>
      <c r="D443" t="s">
        <v>3161</v>
      </c>
      <c r="E443" s="6">
        <v>45450</v>
      </c>
      <c r="F443" t="s">
        <v>3162</v>
      </c>
      <c r="G443" t="s">
        <v>153</v>
      </c>
      <c r="H443" t="s">
        <v>153</v>
      </c>
      <c r="I443" t="s">
        <v>40</v>
      </c>
      <c r="J443" t="s">
        <v>40</v>
      </c>
      <c r="K443" t="s">
        <v>41</v>
      </c>
      <c r="L443" t="str">
        <f>IF(TRIM(K443)="","Unknown",PROPER(TRIM(K443)))</f>
        <v>East</v>
      </c>
      <c r="M443" t="s">
        <v>174</v>
      </c>
      <c r="N443" t="s">
        <v>175</v>
      </c>
      <c r="O443" t="s">
        <v>29</v>
      </c>
      <c r="P443" t="str">
        <f>IF(TRIM(O443)="","Unknown",PROPER(TRIM(O443)))</f>
        <v>Office Supplies</v>
      </c>
      <c r="Q443" t="s">
        <v>53</v>
      </c>
      <c r="R443" t="s">
        <v>3163</v>
      </c>
      <c r="S443" t="s">
        <v>32</v>
      </c>
      <c r="T443" t="str">
        <f>IF(TRIM(S443)="","Unknown",PROPER(TRIM(S443)))</f>
        <v>Second Class</v>
      </c>
      <c r="U443">
        <v>1</v>
      </c>
      <c r="V443">
        <v>2581.9299999999998</v>
      </c>
      <c r="W443">
        <v>0.05</v>
      </c>
      <c r="Y443">
        <v>0.05</v>
      </c>
      <c r="Z443">
        <v>2452.83</v>
      </c>
      <c r="AA443">
        <v>1906.7</v>
      </c>
      <c r="AB443">
        <v>546.13</v>
      </c>
      <c r="AC443" t="s">
        <v>33</v>
      </c>
      <c r="AD443" t="s">
        <v>34</v>
      </c>
      <c r="AE443">
        <f>ROUND((U443*V443)-(U443*V443*Y443),2)</f>
        <v>2452.83</v>
      </c>
      <c r="AF443">
        <f>AE443-AA443</f>
        <v>546.12999999999988</v>
      </c>
      <c r="AG443" s="7">
        <f>ROUND((AF443/AE443),4)</f>
        <v>0.22270000000000001</v>
      </c>
      <c r="AH443">
        <f>IF(AND(C443&lt;&gt;"",E443&lt;&gt;""),E443 - C443,"")</f>
        <v>0</v>
      </c>
      <c r="AI443" t="str">
        <f>IF(C443="","",TEXT(C443, "mmmm"))</f>
        <v>June</v>
      </c>
      <c r="AJ443">
        <f>IF(C443="","",YEAR(C443))</f>
        <v>2024</v>
      </c>
      <c r="AM443" t="str">
        <f>IF(AN443="","clean","")</f>
        <v>clean</v>
      </c>
      <c r="AN443" t="s">
        <v>3595</v>
      </c>
    </row>
    <row r="444" spans="1:40">
      <c r="A444" t="s">
        <v>3168</v>
      </c>
      <c r="B444" t="s">
        <v>4059</v>
      </c>
      <c r="D444" t="s">
        <v>251</v>
      </c>
      <c r="F444" t="s">
        <v>3169</v>
      </c>
      <c r="G444" t="s">
        <v>196</v>
      </c>
      <c r="H444" t="s">
        <v>196</v>
      </c>
      <c r="I444" t="s">
        <v>40</v>
      </c>
      <c r="J444" t="s">
        <v>40</v>
      </c>
      <c r="K444" t="s">
        <v>26</v>
      </c>
      <c r="L444" t="str">
        <f>IF(TRIM(K444)="","Unknown",PROPER(TRIM(K444)))</f>
        <v>North</v>
      </c>
      <c r="M444" t="s">
        <v>294</v>
      </c>
      <c r="N444" t="s">
        <v>295</v>
      </c>
      <c r="O444" t="s">
        <v>29</v>
      </c>
      <c r="P444" t="str">
        <f>IF(TRIM(O444)="","Unknown",PROPER(TRIM(O444)))</f>
        <v>Office Supplies</v>
      </c>
      <c r="Q444" t="s">
        <v>148</v>
      </c>
      <c r="R444" t="s">
        <v>3170</v>
      </c>
      <c r="S444" t="s">
        <v>47</v>
      </c>
      <c r="T444" t="str">
        <f>IF(TRIM(S444)="","Unknown",PROPER(TRIM(S444)))</f>
        <v>Same Day</v>
      </c>
      <c r="U444">
        <v>2</v>
      </c>
      <c r="V444">
        <v>3012.94</v>
      </c>
      <c r="W444">
        <v>0.25</v>
      </c>
      <c r="Y444">
        <v>0.25</v>
      </c>
      <c r="Z444">
        <v>4519.41</v>
      </c>
      <c r="AA444">
        <v>3504.16</v>
      </c>
      <c r="AB444">
        <v>1275.55</v>
      </c>
      <c r="AC444" t="s">
        <v>186</v>
      </c>
      <c r="AD444" t="s">
        <v>76</v>
      </c>
      <c r="AE444">
        <f>ROUND((U444*V444)-(U444*V444*Y444),2)</f>
        <v>4519.41</v>
      </c>
      <c r="AF444">
        <f>AE444-AA444</f>
        <v>1015.25</v>
      </c>
      <c r="AG444" s="7">
        <f>ROUND((AF444/AE444),4)</f>
        <v>0.22459999999999999</v>
      </c>
      <c r="AH444" t="str">
        <f>IF(AND(C444&lt;&gt;"",E444&lt;&gt;""),E444 - C444,"")</f>
        <v/>
      </c>
      <c r="AI444" t="str">
        <f>IF(C444="","",TEXT(C444, "mmmm"))</f>
        <v/>
      </c>
      <c r="AJ444" t="str">
        <f>IF(C444="","",YEAR(C444))</f>
        <v/>
      </c>
      <c r="AM444" t="s">
        <v>4144</v>
      </c>
      <c r="AN444" t="s">
        <v>4123</v>
      </c>
    </row>
    <row r="445" spans="1:40">
      <c r="A445" t="s">
        <v>3174</v>
      </c>
      <c r="B445" t="s">
        <v>3762</v>
      </c>
      <c r="C445" s="6">
        <v>45547</v>
      </c>
      <c r="D445" t="s">
        <v>3175</v>
      </c>
      <c r="E445" s="6">
        <v>45553</v>
      </c>
      <c r="F445" t="s">
        <v>3176</v>
      </c>
      <c r="G445" t="s">
        <v>70</v>
      </c>
      <c r="H445" t="s">
        <v>70</v>
      </c>
      <c r="I445" t="s">
        <v>110</v>
      </c>
      <c r="J445" t="s">
        <v>110</v>
      </c>
      <c r="K445" t="s">
        <v>41</v>
      </c>
      <c r="L445" t="str">
        <f>IF(TRIM(K445)="","Unknown",PROPER(TRIM(K445)))</f>
        <v>East</v>
      </c>
      <c r="M445" t="s">
        <v>174</v>
      </c>
      <c r="N445" t="s">
        <v>175</v>
      </c>
      <c r="O445" t="s">
        <v>29</v>
      </c>
      <c r="P445" t="str">
        <f>IF(TRIM(O445)="","Unknown",PROPER(TRIM(O445)))</f>
        <v>Office Supplies</v>
      </c>
      <c r="Q445" t="s">
        <v>30</v>
      </c>
      <c r="R445" t="s">
        <v>3177</v>
      </c>
      <c r="S445" t="s">
        <v>32</v>
      </c>
      <c r="T445" t="str">
        <f>IF(TRIM(S445)="","Unknown",PROPER(TRIM(S445)))</f>
        <v>Second Class</v>
      </c>
      <c r="U445">
        <v>2</v>
      </c>
      <c r="V445">
        <v>3718.77</v>
      </c>
      <c r="W445">
        <v>0.05</v>
      </c>
      <c r="Y445">
        <v>0.05</v>
      </c>
      <c r="Z445">
        <v>7065.66</v>
      </c>
      <c r="AA445">
        <v>4915.2700000000004</v>
      </c>
      <c r="AB445">
        <v>2150.39</v>
      </c>
      <c r="AC445" t="s">
        <v>33</v>
      </c>
      <c r="AD445" t="s">
        <v>34</v>
      </c>
      <c r="AE445">
        <f>ROUND((U445*V445)-(U445*V445*Y445),2)</f>
        <v>7065.66</v>
      </c>
      <c r="AF445">
        <f>AE445-AA445</f>
        <v>2150.3899999999994</v>
      </c>
      <c r="AG445" s="7">
        <f>ROUND((AF445/AE445),4)</f>
        <v>0.30430000000000001</v>
      </c>
      <c r="AH445">
        <f>IF(AND(C445&lt;&gt;"",E445&lt;&gt;""),E445 - C445,"")</f>
        <v>6</v>
      </c>
      <c r="AI445" t="str">
        <f>IF(C445="","",TEXT(C445, "mmmm"))</f>
        <v>September</v>
      </c>
      <c r="AJ445">
        <f>IF(C445="","",YEAR(C445))</f>
        <v>2024</v>
      </c>
      <c r="AM445" t="str">
        <f>IF(AN445="","clean","")</f>
        <v>clean</v>
      </c>
      <c r="AN445" t="s">
        <v>3595</v>
      </c>
    </row>
    <row r="446" spans="1:40">
      <c r="A446" t="s">
        <v>3178</v>
      </c>
      <c r="B446" t="s">
        <v>1144</v>
      </c>
      <c r="C446" s="6">
        <v>45505</v>
      </c>
      <c r="D446" t="s">
        <v>484</v>
      </c>
      <c r="E446" s="6">
        <v>45506</v>
      </c>
      <c r="F446" t="s">
        <v>3179</v>
      </c>
      <c r="G446" t="s">
        <v>52</v>
      </c>
      <c r="H446" t="s">
        <v>52</v>
      </c>
      <c r="I446" t="s">
        <v>104</v>
      </c>
      <c r="J446" t="s">
        <v>104</v>
      </c>
      <c r="K446" t="s">
        <v>26</v>
      </c>
      <c r="L446" t="str">
        <f>IF(TRIM(K446)="","Unknown",PROPER(TRIM(K446)))</f>
        <v>North</v>
      </c>
      <c r="M446" t="s">
        <v>163</v>
      </c>
      <c r="N446" t="s">
        <v>164</v>
      </c>
      <c r="O446" t="s">
        <v>44</v>
      </c>
      <c r="P446" t="str">
        <f>IF(TRIM(O446)="","Unknown",PROPER(TRIM(O446)))</f>
        <v>Furniture</v>
      </c>
      <c r="Q446" t="s">
        <v>74</v>
      </c>
      <c r="R446" t="s">
        <v>3180</v>
      </c>
      <c r="S446" t="s">
        <v>65</v>
      </c>
      <c r="T446" t="str">
        <f>IF(TRIM(S446)="","Unknown",PROPER(TRIM(S446)))</f>
        <v>Standard Class</v>
      </c>
      <c r="U446">
        <v>8</v>
      </c>
      <c r="V446">
        <v>2487.64</v>
      </c>
      <c r="W446">
        <v>0.1</v>
      </c>
      <c r="Y446">
        <v>0.1</v>
      </c>
      <c r="Z446">
        <v>17911.009999999998</v>
      </c>
      <c r="AA446">
        <v>11546.05</v>
      </c>
      <c r="AB446">
        <v>6364.96</v>
      </c>
      <c r="AC446" t="s">
        <v>186</v>
      </c>
      <c r="AD446" t="s">
        <v>120</v>
      </c>
      <c r="AE446">
        <f>ROUND((U446*V446)-(U446*V446*Y446),2)</f>
        <v>17911.009999999998</v>
      </c>
      <c r="AF446">
        <f>AE446-AA446</f>
        <v>6364.9599999999991</v>
      </c>
      <c r="AG446" s="7">
        <f>ROUND((AF446/AE446),4)</f>
        <v>0.35539999999999999</v>
      </c>
      <c r="AH446">
        <f>IF(AND(C446&lt;&gt;"",E446&lt;&gt;""),E446 - C446,"")</f>
        <v>1</v>
      </c>
      <c r="AI446" t="str">
        <f>IF(C446="","",TEXT(C446, "mmmm"))</f>
        <v>August</v>
      </c>
      <c r="AJ446">
        <f>IF(C446="","",YEAR(C446))</f>
        <v>2024</v>
      </c>
      <c r="AM446" t="str">
        <f>IF(AN446="","clean","")</f>
        <v>clean</v>
      </c>
      <c r="AN446" t="s">
        <v>3595</v>
      </c>
    </row>
    <row r="447" spans="1:40">
      <c r="A447" t="s">
        <v>3184</v>
      </c>
      <c r="B447" t="s">
        <v>4061</v>
      </c>
      <c r="C447" s="6">
        <v>45443</v>
      </c>
      <c r="D447" t="s">
        <v>3185</v>
      </c>
      <c r="E447" s="6">
        <v>45445</v>
      </c>
      <c r="F447" t="s">
        <v>3186</v>
      </c>
      <c r="G447" t="s">
        <v>141</v>
      </c>
      <c r="H447" t="s">
        <v>141</v>
      </c>
      <c r="I447" t="s">
        <v>104</v>
      </c>
      <c r="J447" t="s">
        <v>104</v>
      </c>
      <c r="K447" t="s">
        <v>60</v>
      </c>
      <c r="L447" t="str">
        <f>IF(TRIM(K447)="","Unknown",PROPER(TRIM(K447)))</f>
        <v>South</v>
      </c>
      <c r="M447" t="s">
        <v>97</v>
      </c>
      <c r="N447" t="s">
        <v>98</v>
      </c>
      <c r="O447" t="s">
        <v>29</v>
      </c>
      <c r="P447" t="str">
        <f>IF(TRIM(O447)="","Unknown",PROPER(TRIM(O447)))</f>
        <v>Office Supplies</v>
      </c>
      <c r="Q447" t="s">
        <v>53</v>
      </c>
      <c r="R447" t="s">
        <v>3187</v>
      </c>
      <c r="S447" t="s">
        <v>65</v>
      </c>
      <c r="T447" t="str">
        <f>IF(TRIM(S447)="","Unknown",PROPER(TRIM(S447)))</f>
        <v>Standard Class</v>
      </c>
      <c r="U447">
        <v>8</v>
      </c>
      <c r="V447">
        <v>667.59</v>
      </c>
      <c r="W447">
        <v>0.2</v>
      </c>
      <c r="Y447">
        <v>0.2</v>
      </c>
      <c r="Z447">
        <v>4272.58</v>
      </c>
      <c r="AA447">
        <v>3328.92</v>
      </c>
      <c r="AB447">
        <v>943.66</v>
      </c>
      <c r="AC447" t="s">
        <v>33</v>
      </c>
      <c r="AD447" t="s">
        <v>34</v>
      </c>
      <c r="AE447">
        <f>ROUND((U447*V447)-(U447*V447*Y447),2)</f>
        <v>4272.58</v>
      </c>
      <c r="AF447">
        <f>AE447-AA447</f>
        <v>943.65999999999985</v>
      </c>
      <c r="AG447" s="7">
        <f>ROUND((AF447/AE447),4)</f>
        <v>0.22090000000000001</v>
      </c>
      <c r="AH447">
        <f>IF(AND(C447&lt;&gt;"",E447&lt;&gt;""),E447 - C447,"")</f>
        <v>2</v>
      </c>
      <c r="AI447" t="str">
        <f>IF(C447="","",TEXT(C447, "mmmm"))</f>
        <v>May</v>
      </c>
      <c r="AJ447">
        <f>IF(C447="","",YEAR(C447))</f>
        <v>2024</v>
      </c>
      <c r="AM447" t="str">
        <f>IF(AN447="","clean","")</f>
        <v>clean</v>
      </c>
      <c r="AN447" t="s">
        <v>3595</v>
      </c>
    </row>
    <row r="448" spans="1:40">
      <c r="A448" t="s">
        <v>3188</v>
      </c>
      <c r="B448" t="s">
        <v>3969</v>
      </c>
      <c r="C448" s="6">
        <v>45567</v>
      </c>
      <c r="D448" t="s">
        <v>3189</v>
      </c>
      <c r="E448" s="6">
        <v>45571</v>
      </c>
      <c r="F448" t="s">
        <v>3190</v>
      </c>
      <c r="G448" t="s">
        <v>141</v>
      </c>
      <c r="H448" t="s">
        <v>141</v>
      </c>
      <c r="I448" t="s">
        <v>110</v>
      </c>
      <c r="J448" t="s">
        <v>110</v>
      </c>
      <c r="K448" t="s">
        <v>60</v>
      </c>
      <c r="L448" t="str">
        <f>IF(TRIM(K448)="","Unknown",PROPER(TRIM(K448)))</f>
        <v>South</v>
      </c>
      <c r="M448" t="s">
        <v>212</v>
      </c>
      <c r="N448" t="s">
        <v>213</v>
      </c>
      <c r="O448" t="s">
        <v>44</v>
      </c>
      <c r="P448" t="str">
        <f>IF(TRIM(O448)="","Unknown",PROPER(TRIM(O448)))</f>
        <v>Furniture</v>
      </c>
      <c r="Q448" t="s">
        <v>190</v>
      </c>
      <c r="R448" t="s">
        <v>3191</v>
      </c>
      <c r="S448" t="s">
        <v>47</v>
      </c>
      <c r="T448" t="str">
        <f>IF(TRIM(S448)="","Unknown",PROPER(TRIM(S448)))</f>
        <v>Same Day</v>
      </c>
      <c r="U448">
        <v>8</v>
      </c>
      <c r="V448">
        <v>1558.77</v>
      </c>
      <c r="W448">
        <v>0.25</v>
      </c>
      <c r="Y448">
        <v>0.25</v>
      </c>
      <c r="Z448">
        <v>9352.6200000000008</v>
      </c>
      <c r="AA448">
        <v>5269.41</v>
      </c>
      <c r="AB448">
        <v>4083.21</v>
      </c>
      <c r="AC448" t="s">
        <v>33</v>
      </c>
      <c r="AD448" t="s">
        <v>34</v>
      </c>
      <c r="AE448">
        <f>ROUND((U448*V448)-(U448*V448*Y448),2)</f>
        <v>9352.6200000000008</v>
      </c>
      <c r="AF448">
        <f>AE448-AA448</f>
        <v>4083.2100000000009</v>
      </c>
      <c r="AG448" s="7">
        <f>ROUND((AF448/AE448),4)</f>
        <v>0.43659999999999999</v>
      </c>
      <c r="AH448">
        <f>IF(AND(C448&lt;&gt;"",E448&lt;&gt;""),E448 - C448,"")</f>
        <v>4</v>
      </c>
      <c r="AI448" t="str">
        <f>IF(C448="","",TEXT(C448, "mmmm"))</f>
        <v>October</v>
      </c>
      <c r="AJ448">
        <f>IF(C448="","",YEAR(C448))</f>
        <v>2024</v>
      </c>
      <c r="AM448" t="str">
        <f>IF(AN448="","clean","")</f>
        <v>clean</v>
      </c>
      <c r="AN448" t="s">
        <v>3595</v>
      </c>
    </row>
    <row r="449" spans="1:40">
      <c r="A449" t="s">
        <v>3196</v>
      </c>
      <c r="B449" t="s">
        <v>78</v>
      </c>
      <c r="D449" t="s">
        <v>3197</v>
      </c>
      <c r="E449" s="6">
        <v>45446</v>
      </c>
      <c r="F449" t="s">
        <v>3198</v>
      </c>
      <c r="G449" t="s">
        <v>80</v>
      </c>
      <c r="H449" t="s">
        <v>80</v>
      </c>
      <c r="I449" t="s">
        <v>104</v>
      </c>
      <c r="J449" t="s">
        <v>104</v>
      </c>
      <c r="K449" t="s">
        <v>26</v>
      </c>
      <c r="L449" t="str">
        <f>IF(TRIM(K449)="","Unknown",PROPER(TRIM(K449)))</f>
        <v>North</v>
      </c>
      <c r="M449" t="s">
        <v>27</v>
      </c>
      <c r="N449" t="s">
        <v>28</v>
      </c>
      <c r="O449" t="s">
        <v>83</v>
      </c>
      <c r="P449" t="str">
        <f>IF(TRIM(O449)="","Unknown",PROPER(TRIM(O449)))</f>
        <v>Technology</v>
      </c>
      <c r="Q449" t="s">
        <v>91</v>
      </c>
      <c r="R449" t="s">
        <v>3199</v>
      </c>
      <c r="S449" t="s">
        <v>32</v>
      </c>
      <c r="T449" t="str">
        <f>IF(TRIM(S449)="","Unknown",PROPER(TRIM(S449)))</f>
        <v>Second Class</v>
      </c>
      <c r="U449">
        <v>5</v>
      </c>
      <c r="V449">
        <v>4302.32</v>
      </c>
      <c r="W449">
        <v>0</v>
      </c>
      <c r="Y449">
        <v>0</v>
      </c>
      <c r="Z449">
        <v>21511.599999999999</v>
      </c>
      <c r="AA449">
        <v>15408.47</v>
      </c>
      <c r="AB449">
        <v>6103.13</v>
      </c>
      <c r="AC449" t="s">
        <v>33</v>
      </c>
      <c r="AD449" t="s">
        <v>34</v>
      </c>
      <c r="AE449">
        <f>ROUND((U449*V449)-(U449*V449*Y449),2)</f>
        <v>21511.599999999999</v>
      </c>
      <c r="AF449">
        <f>AE449-AA449</f>
        <v>6103.1299999999992</v>
      </c>
      <c r="AG449" s="7">
        <f>ROUND((AF449/AE449),4)</f>
        <v>0.28370000000000001</v>
      </c>
      <c r="AH449" t="str">
        <f>IF(AND(C449&lt;&gt;"",E449&lt;&gt;""),E449 - C449,"")</f>
        <v/>
      </c>
      <c r="AI449" t="str">
        <f>IF(C449="","",TEXT(C449, "mmmm"))</f>
        <v/>
      </c>
      <c r="AJ449" t="str">
        <f>IF(C449="","",YEAR(C449))</f>
        <v/>
      </c>
      <c r="AM449" t="s">
        <v>4144</v>
      </c>
      <c r="AN449" t="s">
        <v>4127</v>
      </c>
    </row>
    <row r="450" spans="1:40">
      <c r="A450" t="s">
        <v>3203</v>
      </c>
      <c r="B450" t="s">
        <v>4063</v>
      </c>
      <c r="D450" t="s">
        <v>475</v>
      </c>
      <c r="E450" s="6">
        <v>45503</v>
      </c>
      <c r="F450" t="s">
        <v>3204</v>
      </c>
      <c r="G450" t="s">
        <v>196</v>
      </c>
      <c r="H450" t="s">
        <v>196</v>
      </c>
      <c r="I450" t="s">
        <v>110</v>
      </c>
      <c r="J450" t="s">
        <v>110</v>
      </c>
      <c r="K450" t="s">
        <v>41</v>
      </c>
      <c r="L450" t="str">
        <f>IF(TRIM(K450)="","Unknown",PROPER(TRIM(K450)))</f>
        <v>East</v>
      </c>
      <c r="M450" t="s">
        <v>42</v>
      </c>
      <c r="N450" t="s">
        <v>43</v>
      </c>
      <c r="O450" t="s">
        <v>83</v>
      </c>
      <c r="P450" t="str">
        <f>IF(TRIM(O450)="","Unknown",PROPER(TRIM(O450)))</f>
        <v>Technology</v>
      </c>
      <c r="Q450" t="s">
        <v>91</v>
      </c>
      <c r="R450" t="s">
        <v>3205</v>
      </c>
      <c r="S450" t="s">
        <v>47</v>
      </c>
      <c r="T450" t="str">
        <f>IF(TRIM(S450)="","Unknown",PROPER(TRIM(S450)))</f>
        <v>Same Day</v>
      </c>
      <c r="U450">
        <v>9</v>
      </c>
      <c r="V450">
        <v>2894.66</v>
      </c>
      <c r="W450">
        <v>0</v>
      </c>
      <c r="Y450">
        <v>0</v>
      </c>
      <c r="Z450">
        <v>26051.94</v>
      </c>
      <c r="AA450">
        <v>16883.59</v>
      </c>
      <c r="AB450">
        <v>9168.35</v>
      </c>
      <c r="AC450" t="s">
        <v>119</v>
      </c>
      <c r="AD450" t="s">
        <v>76</v>
      </c>
      <c r="AE450">
        <f>ROUND((U450*V450)-(U450*V450*Y450),2)</f>
        <v>26051.94</v>
      </c>
      <c r="AF450">
        <f>AE450-AA450</f>
        <v>9168.3499999999985</v>
      </c>
      <c r="AG450" s="7">
        <f>ROUND((AF450/AE450),4)</f>
        <v>0.35189999999999999</v>
      </c>
      <c r="AH450" t="str">
        <f>IF(AND(C450&lt;&gt;"",E450&lt;&gt;""),E450 - C450,"")</f>
        <v/>
      </c>
      <c r="AI450" t="str">
        <f>IF(C450="","",TEXT(C450, "mmmm"))</f>
        <v/>
      </c>
      <c r="AJ450" t="str">
        <f>IF(C450="","",YEAR(C450))</f>
        <v/>
      </c>
      <c r="AM450" t="s">
        <v>4144</v>
      </c>
      <c r="AN450" t="s">
        <v>4127</v>
      </c>
    </row>
    <row r="451" spans="1:40">
      <c r="A451" t="s">
        <v>3206</v>
      </c>
      <c r="B451" t="s">
        <v>3690</v>
      </c>
      <c r="C451" s="6">
        <v>45374</v>
      </c>
      <c r="D451" t="s">
        <v>3207</v>
      </c>
      <c r="F451" t="s">
        <v>3208</v>
      </c>
      <c r="G451" t="s">
        <v>169</v>
      </c>
      <c r="H451" t="s">
        <v>169</v>
      </c>
      <c r="I451" t="s">
        <v>40</v>
      </c>
      <c r="J451" t="s">
        <v>40</v>
      </c>
      <c r="K451" t="s">
        <v>60</v>
      </c>
      <c r="L451" t="str">
        <f>IF(TRIM(K451)="","Unknown",PROPER(TRIM(K451)))</f>
        <v>South</v>
      </c>
      <c r="M451" t="s">
        <v>97</v>
      </c>
      <c r="N451" t="s">
        <v>98</v>
      </c>
      <c r="O451" t="s">
        <v>83</v>
      </c>
      <c r="P451" t="str">
        <f>IF(TRIM(O451)="","Unknown",PROPER(TRIM(O451)))</f>
        <v>Technology</v>
      </c>
      <c r="Q451" t="s">
        <v>347</v>
      </c>
      <c r="R451" t="s">
        <v>3209</v>
      </c>
      <c r="S451" t="s">
        <v>55</v>
      </c>
      <c r="T451" t="str">
        <f>IF(TRIM(S451)="","Unknown",PROPER(TRIM(S451)))</f>
        <v>First Class</v>
      </c>
      <c r="U451">
        <v>6</v>
      </c>
      <c r="V451">
        <v>1894.44</v>
      </c>
      <c r="W451">
        <v>0.15</v>
      </c>
      <c r="Y451">
        <v>0.15</v>
      </c>
      <c r="Z451">
        <v>9661.64</v>
      </c>
      <c r="AA451">
        <v>6303.77</v>
      </c>
      <c r="AB451">
        <v>3357.87</v>
      </c>
      <c r="AC451" t="s">
        <v>33</v>
      </c>
      <c r="AD451" t="s">
        <v>34</v>
      </c>
      <c r="AE451">
        <f>ROUND((U451*V451)-(U451*V451*Y451),2)</f>
        <v>9661.64</v>
      </c>
      <c r="AF451">
        <f>AE451-AA451</f>
        <v>3357.869999999999</v>
      </c>
      <c r="AG451" s="7">
        <f>ROUND((AF451/AE451),4)</f>
        <v>0.34749999999999998</v>
      </c>
      <c r="AH451" t="str">
        <f>IF(AND(C451&lt;&gt;"",E451&lt;&gt;""),E451 - C451,"")</f>
        <v/>
      </c>
      <c r="AI451" t="str">
        <f>IF(C451="","",TEXT(C451, "mmmm"))</f>
        <v>March</v>
      </c>
      <c r="AJ451">
        <f>IF(C451="","",YEAR(C451))</f>
        <v>2024</v>
      </c>
      <c r="AM451" t="s">
        <v>4144</v>
      </c>
      <c r="AN451" t="s">
        <v>4136</v>
      </c>
    </row>
    <row r="452" spans="1:40">
      <c r="A452" t="s">
        <v>3210</v>
      </c>
      <c r="B452" t="s">
        <v>4064</v>
      </c>
      <c r="C452" s="6">
        <v>45400</v>
      </c>
      <c r="D452" t="s">
        <v>3133</v>
      </c>
      <c r="F452" t="s">
        <v>3211</v>
      </c>
      <c r="G452" t="s">
        <v>153</v>
      </c>
      <c r="H452" t="s">
        <v>153</v>
      </c>
      <c r="I452" t="s">
        <v>25</v>
      </c>
      <c r="J452" t="s">
        <v>25</v>
      </c>
      <c r="K452" t="s">
        <v>41</v>
      </c>
      <c r="L452" t="str">
        <f>IF(TRIM(K452)="","Unknown",PROPER(TRIM(K452)))</f>
        <v>East</v>
      </c>
      <c r="M452" t="s">
        <v>42</v>
      </c>
      <c r="N452" t="s">
        <v>43</v>
      </c>
      <c r="O452" t="s">
        <v>29</v>
      </c>
      <c r="P452" t="str">
        <f>IF(TRIM(O452)="","Unknown",PROPER(TRIM(O452)))</f>
        <v>Office Supplies</v>
      </c>
      <c r="Q452" t="s">
        <v>184</v>
      </c>
      <c r="R452" t="s">
        <v>3212</v>
      </c>
      <c r="S452" t="s">
        <v>55</v>
      </c>
      <c r="T452" t="str">
        <f>IF(TRIM(S452)="","Unknown",PROPER(TRIM(S452)))</f>
        <v>First Class</v>
      </c>
      <c r="U452">
        <v>8</v>
      </c>
      <c r="V452">
        <v>1714.37</v>
      </c>
      <c r="W452">
        <v>0</v>
      </c>
      <c r="Y452">
        <v>0</v>
      </c>
      <c r="Z452">
        <v>13714.96</v>
      </c>
      <c r="AA452">
        <v>10550.47</v>
      </c>
      <c r="AB452">
        <v>3164.49</v>
      </c>
      <c r="AC452" t="s">
        <v>186</v>
      </c>
      <c r="AD452" t="s">
        <v>76</v>
      </c>
      <c r="AE452">
        <f>ROUND((U452*V452)-(U452*V452*Y452),2)</f>
        <v>13714.96</v>
      </c>
      <c r="AF452">
        <f>AE452-AA452</f>
        <v>3164.49</v>
      </c>
      <c r="AG452" s="7">
        <f>ROUND((AF452/AE452),4)</f>
        <v>0.23069999999999999</v>
      </c>
      <c r="AH452" t="str">
        <f>IF(AND(C452&lt;&gt;"",E452&lt;&gt;""),E452 - C452,"")</f>
        <v/>
      </c>
      <c r="AI452" t="str">
        <f>IF(C452="","",TEXT(C452, "mmmm"))</f>
        <v>April</v>
      </c>
      <c r="AJ452">
        <f>IF(C452="","",YEAR(C452))</f>
        <v>2024</v>
      </c>
      <c r="AM452" t="s">
        <v>4144</v>
      </c>
      <c r="AN452" t="s">
        <v>4136</v>
      </c>
    </row>
    <row r="453" spans="1:40">
      <c r="A453" t="s">
        <v>3217</v>
      </c>
      <c r="B453" t="s">
        <v>2947</v>
      </c>
      <c r="C453" s="6">
        <v>45575</v>
      </c>
      <c r="D453" t="s">
        <v>2229</v>
      </c>
      <c r="E453" s="6">
        <v>45582</v>
      </c>
      <c r="F453" t="s">
        <v>3218</v>
      </c>
      <c r="G453" t="s">
        <v>52</v>
      </c>
      <c r="H453" t="s">
        <v>52</v>
      </c>
      <c r="I453" t="s">
        <v>110</v>
      </c>
      <c r="J453" t="s">
        <v>110</v>
      </c>
      <c r="K453" t="s">
        <v>26</v>
      </c>
      <c r="L453" t="str">
        <f>IF(TRIM(K453)="","Unknown",PROPER(TRIM(K453)))</f>
        <v>North</v>
      </c>
      <c r="M453" t="s">
        <v>294</v>
      </c>
      <c r="N453" t="s">
        <v>295</v>
      </c>
      <c r="O453" t="s">
        <v>83</v>
      </c>
      <c r="P453" t="str">
        <f>IF(TRIM(O453)="","Unknown",PROPER(TRIM(O453)))</f>
        <v>Technology</v>
      </c>
      <c r="Q453" t="s">
        <v>84</v>
      </c>
      <c r="R453" t="s">
        <v>3219</v>
      </c>
      <c r="T453" t="str">
        <f>IF(TRIM(S453)="","Unknown",PROPER(TRIM(S453)))</f>
        <v>Unknown</v>
      </c>
      <c r="U453">
        <v>5</v>
      </c>
      <c r="V453">
        <v>967.41</v>
      </c>
      <c r="W453">
        <v>0.05</v>
      </c>
      <c r="Y453">
        <v>0.05</v>
      </c>
      <c r="Z453">
        <v>4595.2</v>
      </c>
      <c r="AA453">
        <v>3887.41</v>
      </c>
      <c r="AB453">
        <v>707.79</v>
      </c>
      <c r="AC453" t="s">
        <v>33</v>
      </c>
      <c r="AD453" t="s">
        <v>120</v>
      </c>
      <c r="AE453">
        <f>ROUND((U453*V453)-(U453*V453*Y453),2)</f>
        <v>4595.2</v>
      </c>
      <c r="AF453">
        <f>AE453-AA453</f>
        <v>707.79</v>
      </c>
      <c r="AG453" s="7">
        <f>ROUND((AF453/AE453),4)</f>
        <v>0.154</v>
      </c>
      <c r="AH453">
        <f>IF(AND(C453&lt;&gt;"",E453&lt;&gt;""),E453 - C453,"")</f>
        <v>7</v>
      </c>
      <c r="AI453" t="str">
        <f>IF(C453="","",TEXT(C453, "mmmm"))</f>
        <v>October</v>
      </c>
      <c r="AJ453">
        <f>IF(C453="","",YEAR(C453))</f>
        <v>2024</v>
      </c>
      <c r="AM453" t="s">
        <v>4145</v>
      </c>
      <c r="AN453" t="s">
        <v>3600</v>
      </c>
    </row>
    <row r="454" spans="1:40">
      <c r="A454" t="s">
        <v>3220</v>
      </c>
      <c r="B454" t="s">
        <v>4066</v>
      </c>
      <c r="C454" s="6">
        <v>45352</v>
      </c>
      <c r="D454" t="s">
        <v>3221</v>
      </c>
      <c r="E454" s="6">
        <v>45358</v>
      </c>
      <c r="F454" t="s">
        <v>3222</v>
      </c>
      <c r="G454" t="s">
        <v>80</v>
      </c>
      <c r="H454" t="s">
        <v>80</v>
      </c>
      <c r="I454" t="s">
        <v>40</v>
      </c>
      <c r="J454" t="s">
        <v>40</v>
      </c>
      <c r="K454" t="s">
        <v>71</v>
      </c>
      <c r="L454" t="str">
        <f>IF(TRIM(K454)="","Unknown",PROPER(TRIM(K454)))</f>
        <v>West</v>
      </c>
      <c r="M454" t="s">
        <v>72</v>
      </c>
      <c r="N454" t="s">
        <v>73</v>
      </c>
      <c r="O454" t="s">
        <v>29</v>
      </c>
      <c r="P454" t="str">
        <f>IF(TRIM(O454)="","Unknown",PROPER(TRIM(O454)))</f>
        <v>Office Supplies</v>
      </c>
      <c r="Q454" t="s">
        <v>148</v>
      </c>
      <c r="R454" t="s">
        <v>3223</v>
      </c>
      <c r="S454" t="s">
        <v>32</v>
      </c>
      <c r="T454" t="str">
        <f>IF(TRIM(S454)="","Unknown",PROPER(TRIM(S454)))</f>
        <v>Second Class</v>
      </c>
      <c r="U454">
        <v>6</v>
      </c>
      <c r="V454">
        <v>4163.72</v>
      </c>
      <c r="W454">
        <v>0.15</v>
      </c>
      <c r="Y454">
        <v>0.15</v>
      </c>
      <c r="Z454">
        <v>21234.97</v>
      </c>
      <c r="AA454">
        <v>16736.09</v>
      </c>
      <c r="AB454">
        <v>4498.88</v>
      </c>
      <c r="AC454" t="s">
        <v>33</v>
      </c>
      <c r="AD454" t="s">
        <v>34</v>
      </c>
      <c r="AE454">
        <f>ROUND((U454*V454)-(U454*V454*Y454),2)</f>
        <v>21234.97</v>
      </c>
      <c r="AF454">
        <f>AE454-AA454</f>
        <v>4498.880000000001</v>
      </c>
      <c r="AG454" s="7">
        <f>ROUND((AF454/AE454),4)</f>
        <v>0.21190000000000001</v>
      </c>
      <c r="AH454">
        <f>IF(AND(C454&lt;&gt;"",E454&lt;&gt;""),E454 - C454,"")</f>
        <v>6</v>
      </c>
      <c r="AI454" t="str">
        <f>IF(C454="","",TEXT(C454, "mmmm"))</f>
        <v>March</v>
      </c>
      <c r="AJ454">
        <f>IF(C454="","",YEAR(C454))</f>
        <v>2024</v>
      </c>
      <c r="AM454" t="str">
        <f>IF(AN454="","clean","")</f>
        <v>clean</v>
      </c>
      <c r="AN454" t="s">
        <v>3595</v>
      </c>
    </row>
    <row r="455" spans="1:40">
      <c r="A455" t="s">
        <v>3232</v>
      </c>
      <c r="B455" t="s">
        <v>4068</v>
      </c>
      <c r="C455" s="6">
        <v>45635</v>
      </c>
      <c r="D455" t="s">
        <v>654</v>
      </c>
      <c r="E455" s="6">
        <v>45639</v>
      </c>
      <c r="F455" t="s">
        <v>3233</v>
      </c>
      <c r="G455" t="s">
        <v>169</v>
      </c>
      <c r="H455" t="s">
        <v>169</v>
      </c>
      <c r="I455" t="s">
        <v>25</v>
      </c>
      <c r="J455" t="s">
        <v>25</v>
      </c>
      <c r="L455" t="str">
        <f>IF(TRIM(K455)="","Unknown",PROPER(TRIM(K455)))</f>
        <v>Unknown</v>
      </c>
      <c r="M455" t="s">
        <v>284</v>
      </c>
      <c r="N455" t="s">
        <v>285</v>
      </c>
      <c r="O455" t="s">
        <v>29</v>
      </c>
      <c r="P455" t="str">
        <f>IF(TRIM(O455)="","Unknown",PROPER(TRIM(O455)))</f>
        <v>Office Supplies</v>
      </c>
      <c r="Q455" t="s">
        <v>105</v>
      </c>
      <c r="R455" t="s">
        <v>3234</v>
      </c>
      <c r="S455" t="s">
        <v>55</v>
      </c>
      <c r="T455" t="str">
        <f>IF(TRIM(S455)="","Unknown",PROPER(TRIM(S455)))</f>
        <v>First Class</v>
      </c>
      <c r="U455">
        <v>1</v>
      </c>
      <c r="V455">
        <v>4306.6499999999996</v>
      </c>
      <c r="W455">
        <v>0</v>
      </c>
      <c r="Y455">
        <v>0</v>
      </c>
      <c r="Z455">
        <v>4306.6499999999996</v>
      </c>
      <c r="AA455">
        <v>2568.8200000000002</v>
      </c>
      <c r="AB455">
        <v>1737.83</v>
      </c>
      <c r="AC455" t="s">
        <v>33</v>
      </c>
      <c r="AD455" t="s">
        <v>34</v>
      </c>
      <c r="AE455">
        <f>ROUND((U455*V455)-(U455*V455*Y455),2)</f>
        <v>4306.6499999999996</v>
      </c>
      <c r="AF455">
        <f>AE455-AA455</f>
        <v>1737.8299999999995</v>
      </c>
      <c r="AG455" s="7">
        <f>ROUND((AF455/AE455),4)</f>
        <v>0.40350000000000003</v>
      </c>
      <c r="AH455">
        <f>IF(AND(C455&lt;&gt;"",E455&lt;&gt;""),E455 - C455,"")</f>
        <v>4</v>
      </c>
      <c r="AI455" t="str">
        <f>IF(C455="","",TEXT(C455, "mmmm"))</f>
        <v>December</v>
      </c>
      <c r="AJ455">
        <f>IF(C455="","",YEAR(C455))</f>
        <v>2024</v>
      </c>
      <c r="AM455" t="s">
        <v>4145</v>
      </c>
      <c r="AN455" t="s">
        <v>3597</v>
      </c>
    </row>
    <row r="456" spans="1:40">
      <c r="A456" t="s">
        <v>3240</v>
      </c>
      <c r="B456" t="s">
        <v>4069</v>
      </c>
      <c r="C456" s="6">
        <v>45605</v>
      </c>
      <c r="D456" t="s">
        <v>3241</v>
      </c>
      <c r="E456" s="6">
        <v>45611</v>
      </c>
      <c r="F456" t="s">
        <v>3242</v>
      </c>
      <c r="G456" t="s">
        <v>52</v>
      </c>
      <c r="H456" t="s">
        <v>52</v>
      </c>
      <c r="I456" t="s">
        <v>110</v>
      </c>
      <c r="J456" t="s">
        <v>110</v>
      </c>
      <c r="K456" t="s">
        <v>26</v>
      </c>
      <c r="L456" t="str">
        <f>IF(TRIM(K456)="","Unknown",PROPER(TRIM(K456)))</f>
        <v>North</v>
      </c>
      <c r="M456" t="s">
        <v>27</v>
      </c>
      <c r="N456" t="s">
        <v>28</v>
      </c>
      <c r="O456" t="s">
        <v>83</v>
      </c>
      <c r="P456" t="str">
        <f>IF(TRIM(O456)="","Unknown",PROPER(TRIM(O456)))</f>
        <v>Technology</v>
      </c>
      <c r="Q456" t="s">
        <v>91</v>
      </c>
      <c r="R456" t="s">
        <v>3243</v>
      </c>
      <c r="S456" t="s">
        <v>65</v>
      </c>
      <c r="T456" t="str">
        <f>IF(TRIM(S456)="","Unknown",PROPER(TRIM(S456)))</f>
        <v>Standard Class</v>
      </c>
      <c r="U456">
        <v>1</v>
      </c>
      <c r="V456">
        <v>3665.97</v>
      </c>
      <c r="W456">
        <v>0.2</v>
      </c>
      <c r="Y456">
        <v>0.2</v>
      </c>
      <c r="Z456">
        <v>2932.78</v>
      </c>
      <c r="AA456">
        <v>1900.35</v>
      </c>
      <c r="AB456">
        <v>1032.43</v>
      </c>
      <c r="AC456" t="s">
        <v>186</v>
      </c>
      <c r="AD456" t="s">
        <v>76</v>
      </c>
      <c r="AE456">
        <f>ROUND((U456*V456)-(U456*V456*Y456),2)</f>
        <v>2932.78</v>
      </c>
      <c r="AF456">
        <f>AE456-AA456</f>
        <v>1032.4300000000003</v>
      </c>
      <c r="AG456" s="7">
        <f>ROUND((AF456/AE456),4)</f>
        <v>0.35199999999999998</v>
      </c>
      <c r="AH456">
        <f>IF(AND(C456&lt;&gt;"",E456&lt;&gt;""),E456 - C456,"")</f>
        <v>6</v>
      </c>
      <c r="AI456" t="str">
        <f>IF(C456="","",TEXT(C456, "mmmm"))</f>
        <v>November</v>
      </c>
      <c r="AJ456">
        <f>IF(C456="","",YEAR(C456))</f>
        <v>2024</v>
      </c>
      <c r="AM456" t="str">
        <f>IF(AN456="","clean","")</f>
        <v>clean</v>
      </c>
      <c r="AN456" t="s">
        <v>3595</v>
      </c>
    </row>
    <row r="457" spans="1:40">
      <c r="A457" t="s">
        <v>3254</v>
      </c>
      <c r="B457" t="s">
        <v>4071</v>
      </c>
      <c r="C457" s="6">
        <v>45385</v>
      </c>
      <c r="D457" t="s">
        <v>3255</v>
      </c>
      <c r="E457" s="6">
        <v>45390</v>
      </c>
      <c r="F457" t="s">
        <v>2222</v>
      </c>
      <c r="G457" t="s">
        <v>334</v>
      </c>
      <c r="H457" t="s">
        <v>334</v>
      </c>
      <c r="I457" t="s">
        <v>110</v>
      </c>
      <c r="J457" t="s">
        <v>110</v>
      </c>
      <c r="K457" t="s">
        <v>71</v>
      </c>
      <c r="L457" t="str">
        <f>IF(TRIM(K457)="","Unknown",PROPER(TRIM(K457)))</f>
        <v>West</v>
      </c>
      <c r="M457" t="s">
        <v>218</v>
      </c>
      <c r="N457" t="s">
        <v>219</v>
      </c>
      <c r="O457" t="s">
        <v>83</v>
      </c>
      <c r="P457" t="str">
        <f>IF(TRIM(O457)="","Unknown",PROPER(TRIM(O457)))</f>
        <v>Technology</v>
      </c>
      <c r="Q457" t="s">
        <v>91</v>
      </c>
      <c r="R457" t="s">
        <v>3256</v>
      </c>
      <c r="S457" t="s">
        <v>55</v>
      </c>
      <c r="T457" t="str">
        <f>IF(TRIM(S457)="","Unknown",PROPER(TRIM(S457)))</f>
        <v>First Class</v>
      </c>
      <c r="U457">
        <v>1</v>
      </c>
      <c r="V457">
        <v>3151.85</v>
      </c>
      <c r="W457">
        <v>0.25</v>
      </c>
      <c r="Y457">
        <v>0.25</v>
      </c>
      <c r="Z457">
        <v>2363.89</v>
      </c>
      <c r="AA457">
        <v>1471.51</v>
      </c>
      <c r="AB457">
        <v>892.38</v>
      </c>
      <c r="AC457" t="s">
        <v>33</v>
      </c>
      <c r="AD457" t="s">
        <v>34</v>
      </c>
      <c r="AE457">
        <f>ROUND((U457*V457)-(U457*V457*Y457),2)</f>
        <v>2363.89</v>
      </c>
      <c r="AF457">
        <f>AE457-AA457</f>
        <v>892.37999999999988</v>
      </c>
      <c r="AG457" s="7">
        <f>ROUND((AF457/AE457),4)</f>
        <v>0.3775</v>
      </c>
      <c r="AH457">
        <f>IF(AND(C457&lt;&gt;"",E457&lt;&gt;""),E457 - C457,"")</f>
        <v>5</v>
      </c>
      <c r="AI457" t="str">
        <f>IF(C457="","",TEXT(C457, "mmmm"))</f>
        <v>April</v>
      </c>
      <c r="AJ457">
        <f>IF(C457="","",YEAR(C457))</f>
        <v>2024</v>
      </c>
      <c r="AM457" t="str">
        <f>IF(AN457="","clean","")</f>
        <v>clean</v>
      </c>
      <c r="AN457" t="s">
        <v>3595</v>
      </c>
    </row>
    <row r="458" spans="1:40">
      <c r="A458" t="s">
        <v>3257</v>
      </c>
      <c r="B458" t="s">
        <v>4072</v>
      </c>
      <c r="C458" s="6">
        <v>45638</v>
      </c>
      <c r="D458" t="s">
        <v>3258</v>
      </c>
      <c r="E458" s="6">
        <v>45645</v>
      </c>
      <c r="F458" t="s">
        <v>3259</v>
      </c>
      <c r="G458" t="s">
        <v>169</v>
      </c>
      <c r="H458" t="s">
        <v>169</v>
      </c>
      <c r="I458" t="s">
        <v>110</v>
      </c>
      <c r="J458" t="s">
        <v>110</v>
      </c>
      <c r="K458" t="s">
        <v>26</v>
      </c>
      <c r="L458" t="str">
        <f>IF(TRIM(K458)="","Unknown",PROPER(TRIM(K458)))</f>
        <v>North</v>
      </c>
      <c r="M458" t="s">
        <v>294</v>
      </c>
      <c r="N458" t="s">
        <v>295</v>
      </c>
      <c r="O458" t="s">
        <v>83</v>
      </c>
      <c r="P458" t="str">
        <f>IF(TRIM(O458)="","Unknown",PROPER(TRIM(O458)))</f>
        <v>Technology</v>
      </c>
      <c r="Q458" t="s">
        <v>84</v>
      </c>
      <c r="R458" t="s">
        <v>3260</v>
      </c>
      <c r="S458" t="s">
        <v>55</v>
      </c>
      <c r="T458" t="str">
        <f>IF(TRIM(S458)="","Unknown",PROPER(TRIM(S458)))</f>
        <v>First Class</v>
      </c>
      <c r="U458">
        <v>2</v>
      </c>
      <c r="V458">
        <v>1610.75</v>
      </c>
      <c r="W458">
        <v>0.2</v>
      </c>
      <c r="Y458">
        <v>0.2</v>
      </c>
      <c r="Z458">
        <v>2577.1999999999998</v>
      </c>
      <c r="AA458">
        <v>1475.87</v>
      </c>
      <c r="AB458">
        <v>1101.33</v>
      </c>
      <c r="AC458" t="s">
        <v>33</v>
      </c>
      <c r="AD458" t="s">
        <v>34</v>
      </c>
      <c r="AE458">
        <f>ROUND((U458*V458)-(U458*V458*Y458),2)</f>
        <v>2577.1999999999998</v>
      </c>
      <c r="AF458">
        <f>AE458-AA458</f>
        <v>1101.33</v>
      </c>
      <c r="AG458" s="7">
        <f>ROUND((AF458/AE458),4)</f>
        <v>0.42730000000000001</v>
      </c>
      <c r="AH458">
        <f>IF(AND(C458&lt;&gt;"",E458&lt;&gt;""),E458 - C458,"")</f>
        <v>7</v>
      </c>
      <c r="AI458" t="str">
        <f>IF(C458="","",TEXT(C458, "mmmm"))</f>
        <v>December</v>
      </c>
      <c r="AJ458">
        <f>IF(C458="","",YEAR(C458))</f>
        <v>2024</v>
      </c>
      <c r="AM458" t="str">
        <f>IF(AN458="","clean","")</f>
        <v>clean</v>
      </c>
      <c r="AN458" t="s">
        <v>3595</v>
      </c>
    </row>
    <row r="459" spans="1:40">
      <c r="A459" t="s">
        <v>3261</v>
      </c>
      <c r="B459" t="s">
        <v>721</v>
      </c>
      <c r="C459" s="6">
        <v>45458</v>
      </c>
      <c r="D459" t="s">
        <v>3262</v>
      </c>
      <c r="F459" t="s">
        <v>3263</v>
      </c>
      <c r="G459" t="s">
        <v>158</v>
      </c>
      <c r="H459" t="s">
        <v>158</v>
      </c>
      <c r="I459" t="s">
        <v>40</v>
      </c>
      <c r="J459" t="s">
        <v>40</v>
      </c>
      <c r="K459" t="s">
        <v>41</v>
      </c>
      <c r="L459" t="str">
        <f>IF(TRIM(K459)="","Unknown",PROPER(TRIM(K459)))</f>
        <v>East</v>
      </c>
      <c r="M459" t="s">
        <v>284</v>
      </c>
      <c r="N459" t="s">
        <v>285</v>
      </c>
      <c r="O459" t="s">
        <v>44</v>
      </c>
      <c r="P459" t="str">
        <f>IF(TRIM(O459)="","Unknown",PROPER(TRIM(O459)))</f>
        <v>Furniture</v>
      </c>
      <c r="Q459" t="s">
        <v>45</v>
      </c>
      <c r="R459" t="s">
        <v>3264</v>
      </c>
      <c r="S459" t="s">
        <v>55</v>
      </c>
      <c r="T459" t="str">
        <f>IF(TRIM(S459)="","Unknown",PROPER(TRIM(S459)))</f>
        <v>First Class</v>
      </c>
      <c r="U459">
        <v>8</v>
      </c>
      <c r="V459">
        <v>2228.4699999999998</v>
      </c>
      <c r="W459">
        <v>0</v>
      </c>
      <c r="Y459">
        <v>0</v>
      </c>
      <c r="Z459">
        <v>17827.759999999998</v>
      </c>
      <c r="AA459">
        <v>14122.13</v>
      </c>
      <c r="AB459">
        <v>3705.63</v>
      </c>
      <c r="AC459" t="s">
        <v>33</v>
      </c>
      <c r="AD459" t="s">
        <v>34</v>
      </c>
      <c r="AE459">
        <f>ROUND((U459*V459)-(U459*V459*Y459),2)</f>
        <v>17827.759999999998</v>
      </c>
      <c r="AF459">
        <f>AE459-AA459</f>
        <v>3705.6299999999992</v>
      </c>
      <c r="AG459" s="7">
        <f>ROUND((AF459/AE459),4)</f>
        <v>0.2079</v>
      </c>
      <c r="AH459" t="str">
        <f>IF(AND(C459&lt;&gt;"",E459&lt;&gt;""),E459 - C459,"")</f>
        <v/>
      </c>
      <c r="AI459" t="str">
        <f>IF(C459="","",TEXT(C459, "mmmm"))</f>
        <v>June</v>
      </c>
      <c r="AJ459">
        <f>IF(C459="","",YEAR(C459))</f>
        <v>2024</v>
      </c>
      <c r="AM459" t="s">
        <v>4144</v>
      </c>
      <c r="AN459" t="s">
        <v>4136</v>
      </c>
    </row>
    <row r="460" spans="1:40">
      <c r="A460" t="s">
        <v>3271</v>
      </c>
      <c r="B460" t="s">
        <v>3902</v>
      </c>
      <c r="C460" s="6">
        <v>45383</v>
      </c>
      <c r="D460" t="s">
        <v>3272</v>
      </c>
      <c r="E460" s="6">
        <v>45390</v>
      </c>
      <c r="F460" t="s">
        <v>3273</v>
      </c>
      <c r="G460" t="s">
        <v>196</v>
      </c>
      <c r="H460" t="s">
        <v>196</v>
      </c>
      <c r="I460" t="s">
        <v>25</v>
      </c>
      <c r="J460" t="s">
        <v>25</v>
      </c>
      <c r="K460" t="s">
        <v>41</v>
      </c>
      <c r="L460" t="str">
        <f>IF(TRIM(K460)="","Unknown",PROPER(TRIM(K460)))</f>
        <v>East</v>
      </c>
      <c r="M460" t="s">
        <v>42</v>
      </c>
      <c r="N460" t="s">
        <v>43</v>
      </c>
      <c r="O460" t="s">
        <v>83</v>
      </c>
      <c r="P460" t="str">
        <f>IF(TRIM(O460)="","Unknown",PROPER(TRIM(O460)))</f>
        <v>Technology</v>
      </c>
      <c r="Q460" t="s">
        <v>347</v>
      </c>
      <c r="R460" t="s">
        <v>3274</v>
      </c>
      <c r="S460" t="s">
        <v>65</v>
      </c>
      <c r="T460" t="str">
        <f>IF(TRIM(S460)="","Unknown",PROPER(TRIM(S460)))</f>
        <v>Standard Class</v>
      </c>
      <c r="U460">
        <v>7</v>
      </c>
      <c r="V460">
        <v>715.81</v>
      </c>
      <c r="W460">
        <v>0.15</v>
      </c>
      <c r="Y460">
        <v>0.15</v>
      </c>
      <c r="Z460">
        <v>4259.07</v>
      </c>
      <c r="AA460">
        <v>3130.32</v>
      </c>
      <c r="AB460">
        <v>1128.75</v>
      </c>
      <c r="AC460" t="s">
        <v>131</v>
      </c>
      <c r="AD460" t="s">
        <v>76</v>
      </c>
      <c r="AE460">
        <f>ROUND((U460*V460)-(U460*V460*Y460),2)</f>
        <v>4259.07</v>
      </c>
      <c r="AF460">
        <f>AE460-AA460</f>
        <v>1128.7499999999995</v>
      </c>
      <c r="AG460" s="7">
        <f>ROUND((AF460/AE460),4)</f>
        <v>0.26500000000000001</v>
      </c>
      <c r="AH460">
        <f>IF(AND(C460&lt;&gt;"",E460&lt;&gt;""),E460 - C460,"")</f>
        <v>7</v>
      </c>
      <c r="AI460" t="str">
        <f>IF(C460="","",TEXT(C460, "mmmm"))</f>
        <v>April</v>
      </c>
      <c r="AJ460">
        <f>IF(C460="","",YEAR(C460))</f>
        <v>2024</v>
      </c>
      <c r="AM460" t="str">
        <f>IF(AN460="","clean","")</f>
        <v>clean</v>
      </c>
      <c r="AN460" t="s">
        <v>3595</v>
      </c>
    </row>
    <row r="461" spans="1:40">
      <c r="A461" t="s">
        <v>3275</v>
      </c>
      <c r="B461" t="s">
        <v>4074</v>
      </c>
      <c r="C461" s="6">
        <v>45623</v>
      </c>
      <c r="D461" t="s">
        <v>3276</v>
      </c>
      <c r="E461" s="6">
        <v>45626</v>
      </c>
      <c r="F461" t="s">
        <v>3277</v>
      </c>
      <c r="G461" t="s">
        <v>141</v>
      </c>
      <c r="H461" t="s">
        <v>141</v>
      </c>
      <c r="I461" t="s">
        <v>40</v>
      </c>
      <c r="J461" t="s">
        <v>40</v>
      </c>
      <c r="K461" t="s">
        <v>41</v>
      </c>
      <c r="L461" t="str">
        <f>IF(TRIM(K461)="","Unknown",PROPER(TRIM(K461)))</f>
        <v>East</v>
      </c>
      <c r="M461" t="s">
        <v>284</v>
      </c>
      <c r="N461" t="s">
        <v>285</v>
      </c>
      <c r="O461" t="s">
        <v>44</v>
      </c>
      <c r="P461" t="str">
        <f>IF(TRIM(O461)="","Unknown",PROPER(TRIM(O461)))</f>
        <v>Furniture</v>
      </c>
      <c r="Q461" t="s">
        <v>63</v>
      </c>
      <c r="R461" t="s">
        <v>3278</v>
      </c>
      <c r="S461" t="s">
        <v>55</v>
      </c>
      <c r="T461" t="str">
        <f>IF(TRIM(S461)="","Unknown",PROPER(TRIM(S461)))</f>
        <v>First Class</v>
      </c>
      <c r="U461">
        <v>1</v>
      </c>
      <c r="V461">
        <v>874.3</v>
      </c>
      <c r="W461">
        <v>0.1</v>
      </c>
      <c r="Y461">
        <v>0.1</v>
      </c>
      <c r="Z461">
        <v>786.87</v>
      </c>
      <c r="AA461">
        <v>498.5</v>
      </c>
      <c r="AB461">
        <v>288.37</v>
      </c>
      <c r="AC461" t="s">
        <v>33</v>
      </c>
      <c r="AD461" t="s">
        <v>34</v>
      </c>
      <c r="AE461">
        <f>ROUND((U461*V461)-(U461*V461*Y461),2)</f>
        <v>786.87</v>
      </c>
      <c r="AF461">
        <f>AE461-AA461</f>
        <v>288.37</v>
      </c>
      <c r="AG461" s="7">
        <f>ROUND((AF461/AE461),4)</f>
        <v>0.36649999999999999</v>
      </c>
      <c r="AH461">
        <f>IF(AND(C461&lt;&gt;"",E461&lt;&gt;""),E461 - C461,"")</f>
        <v>3</v>
      </c>
      <c r="AI461" t="str">
        <f>IF(C461="","",TEXT(C461, "mmmm"))</f>
        <v>November</v>
      </c>
      <c r="AJ461">
        <f>IF(C461="","",YEAR(C461))</f>
        <v>2024</v>
      </c>
      <c r="AM461" t="str">
        <f>IF(AN461="","clean","")</f>
        <v>clean</v>
      </c>
      <c r="AN461" t="s">
        <v>3595</v>
      </c>
    </row>
    <row r="462" spans="1:40">
      <c r="A462" t="s">
        <v>3283</v>
      </c>
      <c r="B462" t="s">
        <v>4076</v>
      </c>
      <c r="C462" s="6">
        <v>45564</v>
      </c>
      <c r="D462" t="s">
        <v>2834</v>
      </c>
      <c r="E462" s="6">
        <v>45570</v>
      </c>
      <c r="F462" t="s">
        <v>3284</v>
      </c>
      <c r="G462" t="s">
        <v>136</v>
      </c>
      <c r="H462" t="s">
        <v>136</v>
      </c>
      <c r="I462" t="s">
        <v>40</v>
      </c>
      <c r="J462" t="s">
        <v>40</v>
      </c>
      <c r="K462" t="s">
        <v>71</v>
      </c>
      <c r="L462" t="str">
        <f>IF(TRIM(K462)="","Unknown",PROPER(TRIM(K462)))</f>
        <v>West</v>
      </c>
      <c r="M462" t="s">
        <v>72</v>
      </c>
      <c r="N462" t="s">
        <v>73</v>
      </c>
      <c r="O462" t="s">
        <v>29</v>
      </c>
      <c r="P462" t="str">
        <f>IF(TRIM(O462)="","Unknown",PROPER(TRIM(O462)))</f>
        <v>Office Supplies</v>
      </c>
      <c r="Q462" t="s">
        <v>105</v>
      </c>
      <c r="R462" t="s">
        <v>3285</v>
      </c>
      <c r="S462" t="s">
        <v>55</v>
      </c>
      <c r="T462" t="str">
        <f>IF(TRIM(S462)="","Unknown",PROPER(TRIM(S462)))</f>
        <v>First Class</v>
      </c>
      <c r="U462">
        <v>8</v>
      </c>
      <c r="V462">
        <v>1981.04</v>
      </c>
      <c r="W462">
        <v>-0.14000000000000001</v>
      </c>
      <c r="Y462">
        <v>0.2</v>
      </c>
      <c r="Z462">
        <v>12678.66</v>
      </c>
      <c r="AA462">
        <v>10088.65</v>
      </c>
      <c r="AB462">
        <v>2590.0100000000002</v>
      </c>
      <c r="AC462" t="s">
        <v>33</v>
      </c>
      <c r="AD462" t="s">
        <v>34</v>
      </c>
      <c r="AE462">
        <f>ROUND((U462*V462)-(U462*V462*Y462),2)</f>
        <v>12678.66</v>
      </c>
      <c r="AF462">
        <f>AE462-AA462</f>
        <v>2590.0100000000002</v>
      </c>
      <c r="AG462" s="7">
        <f>ROUND((AF462/AE462),4)</f>
        <v>0.20430000000000001</v>
      </c>
      <c r="AH462">
        <f>IF(AND(C462&lt;&gt;"",E462&lt;&gt;""),E462 - C462,"")</f>
        <v>6</v>
      </c>
      <c r="AI462" t="str">
        <f>IF(C462="","",TEXT(C462, "mmmm"))</f>
        <v>September</v>
      </c>
      <c r="AJ462">
        <f>IF(C462="","",YEAR(C462))</f>
        <v>2024</v>
      </c>
      <c r="AM462" t="s">
        <v>4145</v>
      </c>
      <c r="AN462" t="s">
        <v>3596</v>
      </c>
    </row>
    <row r="463" spans="1:40">
      <c r="A463" t="s">
        <v>3286</v>
      </c>
      <c r="B463" t="s">
        <v>1403</v>
      </c>
      <c r="C463" s="6">
        <v>45504</v>
      </c>
      <c r="D463" t="s">
        <v>3287</v>
      </c>
      <c r="F463" t="s">
        <v>3288</v>
      </c>
      <c r="G463" t="s">
        <v>24</v>
      </c>
      <c r="H463" t="s">
        <v>24</v>
      </c>
      <c r="I463" t="s">
        <v>110</v>
      </c>
      <c r="J463" t="s">
        <v>110</v>
      </c>
      <c r="K463" t="s">
        <v>60</v>
      </c>
      <c r="L463" t="str">
        <f>IF(TRIM(K463)="","Unknown",PROPER(TRIM(K463)))</f>
        <v>South</v>
      </c>
      <c r="M463" t="s">
        <v>224</v>
      </c>
      <c r="N463" t="s">
        <v>225</v>
      </c>
      <c r="O463" t="s">
        <v>83</v>
      </c>
      <c r="P463" t="str">
        <f>IF(TRIM(O463)="","Unknown",PROPER(TRIM(O463)))</f>
        <v>Technology</v>
      </c>
      <c r="Q463" t="s">
        <v>3289</v>
      </c>
      <c r="R463" t="s">
        <v>3290</v>
      </c>
      <c r="S463" t="s">
        <v>65</v>
      </c>
      <c r="T463" t="str">
        <f>IF(TRIM(S463)="","Unknown",PROPER(TRIM(S463)))</f>
        <v>Standard Class</v>
      </c>
      <c r="U463">
        <v>8</v>
      </c>
      <c r="V463">
        <v>4246.01</v>
      </c>
      <c r="W463">
        <v>0</v>
      </c>
      <c r="Y463">
        <v>0</v>
      </c>
      <c r="Z463">
        <v>33968.080000000002</v>
      </c>
      <c r="AA463">
        <v>26902.44</v>
      </c>
      <c r="AB463">
        <v>7065.64</v>
      </c>
      <c r="AC463" t="s">
        <v>186</v>
      </c>
      <c r="AD463" t="s">
        <v>76</v>
      </c>
      <c r="AE463">
        <f>ROUND((U463*V463)-(U463*V463*Y463),2)</f>
        <v>33968.080000000002</v>
      </c>
      <c r="AF463">
        <f>AE463-AA463</f>
        <v>7065.6400000000031</v>
      </c>
      <c r="AG463" s="7">
        <f>ROUND((AF463/AE463),4)</f>
        <v>0.20799999999999999</v>
      </c>
      <c r="AH463" t="str">
        <f>IF(AND(C463&lt;&gt;"",E463&lt;&gt;""),E463 - C463,"")</f>
        <v/>
      </c>
      <c r="AI463" t="str">
        <f>IF(C463="","",TEXT(C463, "mmmm"))</f>
        <v>July</v>
      </c>
      <c r="AJ463">
        <f>IF(C463="","",YEAR(C463))</f>
        <v>2024</v>
      </c>
      <c r="AM463" t="s">
        <v>4144</v>
      </c>
      <c r="AN463" t="s">
        <v>4136</v>
      </c>
    </row>
    <row r="464" spans="1:40">
      <c r="A464" t="s">
        <v>3295</v>
      </c>
      <c r="B464" t="s">
        <v>3296</v>
      </c>
      <c r="C464" s="6">
        <v>45476</v>
      </c>
      <c r="D464" t="s">
        <v>3297</v>
      </c>
      <c r="E464" s="6">
        <v>45479</v>
      </c>
      <c r="F464" t="s">
        <v>3298</v>
      </c>
      <c r="G464" t="s">
        <v>153</v>
      </c>
      <c r="H464" t="s">
        <v>153</v>
      </c>
      <c r="I464" t="s">
        <v>104</v>
      </c>
      <c r="J464" t="s">
        <v>104</v>
      </c>
      <c r="K464" t="s">
        <v>60</v>
      </c>
      <c r="L464" t="str">
        <f>IF(TRIM(K464)="","Unknown",PROPER(TRIM(K464)))</f>
        <v>South</v>
      </c>
      <c r="M464" t="s">
        <v>212</v>
      </c>
      <c r="N464" t="s">
        <v>213</v>
      </c>
      <c r="O464" t="s">
        <v>83</v>
      </c>
      <c r="P464" t="str">
        <f>IF(TRIM(O464)="","Unknown",PROPER(TRIM(O464)))</f>
        <v>Technology</v>
      </c>
      <c r="Q464" t="s">
        <v>84</v>
      </c>
      <c r="R464" t="s">
        <v>3299</v>
      </c>
      <c r="S464" t="s">
        <v>55</v>
      </c>
      <c r="T464" t="str">
        <f>IF(TRIM(S464)="","Unknown",PROPER(TRIM(S464)))</f>
        <v>First Class</v>
      </c>
      <c r="U464">
        <v>7</v>
      </c>
      <c r="V464">
        <v>1942.49</v>
      </c>
      <c r="W464">
        <v>0.2</v>
      </c>
      <c r="Y464">
        <v>0.2</v>
      </c>
      <c r="Z464">
        <v>10877.94</v>
      </c>
      <c r="AA464">
        <v>9110.14</v>
      </c>
      <c r="AB464">
        <v>1767.8</v>
      </c>
      <c r="AC464" t="s">
        <v>33</v>
      </c>
      <c r="AD464" t="s">
        <v>34</v>
      </c>
      <c r="AE464">
        <f>ROUND((U464*V464)-(U464*V464*Y464),2)</f>
        <v>10877.94</v>
      </c>
      <c r="AF464">
        <f>AE464-AA464</f>
        <v>1767.8000000000011</v>
      </c>
      <c r="AG464" s="7">
        <f>ROUND((AF464/AE464),4)</f>
        <v>0.16250000000000001</v>
      </c>
      <c r="AH464">
        <f>IF(AND(C464&lt;&gt;"",E464&lt;&gt;""),E464 - C464,"")</f>
        <v>3</v>
      </c>
      <c r="AI464" t="str">
        <f>IF(C464="","",TEXT(C464, "mmmm"))</f>
        <v>July</v>
      </c>
      <c r="AJ464">
        <f>IF(C464="","",YEAR(C464))</f>
        <v>2024</v>
      </c>
      <c r="AM464" t="str">
        <f>IF(AN464="","clean","")</f>
        <v>clean</v>
      </c>
      <c r="AN464" t="s">
        <v>3595</v>
      </c>
    </row>
    <row r="465" spans="1:40">
      <c r="A465" t="s">
        <v>3300</v>
      </c>
      <c r="B465" t="s">
        <v>4078</v>
      </c>
      <c r="C465" s="6">
        <v>45577</v>
      </c>
      <c r="D465" t="s">
        <v>3301</v>
      </c>
      <c r="E465" s="6">
        <v>45573</v>
      </c>
      <c r="F465" t="s">
        <v>3302</v>
      </c>
      <c r="G465" t="s">
        <v>39</v>
      </c>
      <c r="H465" t="s">
        <v>39</v>
      </c>
      <c r="I465" t="s">
        <v>104</v>
      </c>
      <c r="J465" t="s">
        <v>104</v>
      </c>
      <c r="K465" t="s">
        <v>41</v>
      </c>
      <c r="L465" t="str">
        <f>IF(TRIM(K465)="","Unknown",PROPER(TRIM(K465)))</f>
        <v>East</v>
      </c>
      <c r="M465" t="s">
        <v>201</v>
      </c>
      <c r="N465" t="s">
        <v>202</v>
      </c>
      <c r="O465" t="s">
        <v>44</v>
      </c>
      <c r="P465" t="str">
        <f>IF(TRIM(O465)="","Unknown",PROPER(TRIM(O465)))</f>
        <v>Furniture</v>
      </c>
      <c r="Q465" t="s">
        <v>63</v>
      </c>
      <c r="R465" t="s">
        <v>3303</v>
      </c>
      <c r="S465" t="s">
        <v>32</v>
      </c>
      <c r="T465" t="str">
        <f>IF(TRIM(S465)="","Unknown",PROPER(TRIM(S465)))</f>
        <v>Second Class</v>
      </c>
      <c r="U465">
        <v>4</v>
      </c>
      <c r="V465">
        <v>3202.04</v>
      </c>
      <c r="W465">
        <v>0.2</v>
      </c>
      <c r="Y465">
        <v>0.2</v>
      </c>
      <c r="Z465">
        <v>10246.530000000001</v>
      </c>
      <c r="AA465">
        <v>8634.42</v>
      </c>
      <c r="AB465">
        <v>1612.11</v>
      </c>
      <c r="AC465" t="s">
        <v>131</v>
      </c>
      <c r="AD465" t="s">
        <v>120</v>
      </c>
      <c r="AE465">
        <f>ROUND((U465*V465)-(U465*V465*Y465),2)</f>
        <v>10246.530000000001</v>
      </c>
      <c r="AF465">
        <f>AE465-AA465</f>
        <v>1612.1100000000006</v>
      </c>
      <c r="AG465" s="7">
        <f>ROUND((AF465/AE465),4)</f>
        <v>0.1573</v>
      </c>
      <c r="AH465">
        <f>IF(AND(C465&lt;&gt;"",E465&lt;&gt;""),E465 - C465,"")</f>
        <v>-4</v>
      </c>
      <c r="AI465" t="str">
        <f>IF(C465="","",TEXT(C465, "mmmm"))</f>
        <v>October</v>
      </c>
      <c r="AJ465">
        <f>IF(C465="","",YEAR(C465))</f>
        <v>2024</v>
      </c>
      <c r="AM465" t="s">
        <v>4145</v>
      </c>
      <c r="AN465" t="s">
        <v>4140</v>
      </c>
    </row>
    <row r="466" spans="1:40">
      <c r="A466" t="s">
        <v>3318</v>
      </c>
      <c r="B466" t="s">
        <v>4082</v>
      </c>
      <c r="C466" s="6">
        <v>45620</v>
      </c>
      <c r="D466" t="s">
        <v>1539</v>
      </c>
      <c r="E466" s="6">
        <v>45627</v>
      </c>
      <c r="F466" t="s">
        <v>3319</v>
      </c>
      <c r="G466" t="s">
        <v>136</v>
      </c>
      <c r="H466" t="s">
        <v>136</v>
      </c>
      <c r="I466" t="s">
        <v>110</v>
      </c>
      <c r="J466" t="s">
        <v>110</v>
      </c>
      <c r="K466" t="s">
        <v>60</v>
      </c>
      <c r="L466" t="str">
        <f>IF(TRIM(K466)="","Unknown",PROPER(TRIM(K466)))</f>
        <v>South</v>
      </c>
      <c r="M466" t="s">
        <v>309</v>
      </c>
      <c r="N466" t="s">
        <v>310</v>
      </c>
      <c r="O466" t="s">
        <v>29</v>
      </c>
      <c r="P466" t="str">
        <f>IF(TRIM(O466)="","Unknown",PROPER(TRIM(O466)))</f>
        <v>Office Supplies</v>
      </c>
      <c r="Q466" t="s">
        <v>30</v>
      </c>
      <c r="R466" t="s">
        <v>3320</v>
      </c>
      <c r="S466" t="s">
        <v>47</v>
      </c>
      <c r="T466" t="str">
        <f>IF(TRIM(S466)="","Unknown",PROPER(TRIM(S466)))</f>
        <v>Same Day</v>
      </c>
      <c r="U466">
        <v>1</v>
      </c>
      <c r="V466">
        <v>844.89</v>
      </c>
      <c r="W466">
        <v>0.25</v>
      </c>
      <c r="Y466">
        <v>0.25</v>
      </c>
      <c r="Z466">
        <v>633.66999999999996</v>
      </c>
      <c r="AA466">
        <v>520.47</v>
      </c>
      <c r="AB466">
        <v>113.2</v>
      </c>
      <c r="AC466" t="s">
        <v>33</v>
      </c>
      <c r="AD466" t="s">
        <v>76</v>
      </c>
      <c r="AE466">
        <f>ROUND((U466*V466)-(U466*V466*Y466),2)</f>
        <v>633.66999999999996</v>
      </c>
      <c r="AF466">
        <f>AE466-AA466</f>
        <v>113.19999999999993</v>
      </c>
      <c r="AG466" s="7">
        <f>ROUND((AF466/AE466),4)</f>
        <v>0.17860000000000001</v>
      </c>
      <c r="AH466">
        <f>IF(AND(C466&lt;&gt;"",E466&lt;&gt;""),E466 - C466,"")</f>
        <v>7</v>
      </c>
      <c r="AI466" t="str">
        <f>IF(C466="","",TEXT(C466, "mmmm"))</f>
        <v>November</v>
      </c>
      <c r="AJ466">
        <f>IF(C466="","",YEAR(C466))</f>
        <v>2024</v>
      </c>
      <c r="AM466" t="str">
        <f>IF(AN466="","clean","")</f>
        <v>clean</v>
      </c>
      <c r="AN466" t="s">
        <v>3595</v>
      </c>
    </row>
    <row r="467" spans="1:40">
      <c r="A467" t="s">
        <v>3325</v>
      </c>
      <c r="B467" t="s">
        <v>4084</v>
      </c>
      <c r="C467" s="6">
        <v>45348</v>
      </c>
      <c r="D467" t="s">
        <v>1297</v>
      </c>
      <c r="F467" t="s">
        <v>3326</v>
      </c>
      <c r="G467" t="s">
        <v>103</v>
      </c>
      <c r="H467" t="s">
        <v>103</v>
      </c>
      <c r="I467" t="s">
        <v>40</v>
      </c>
      <c r="J467" t="s">
        <v>40</v>
      </c>
      <c r="K467" t="s">
        <v>71</v>
      </c>
      <c r="L467" t="str">
        <f>IF(TRIM(K467)="","Unknown",PROPER(TRIM(K467)))</f>
        <v>West</v>
      </c>
      <c r="M467" t="s">
        <v>230</v>
      </c>
      <c r="N467" t="s">
        <v>231</v>
      </c>
      <c r="O467" t="s">
        <v>44</v>
      </c>
      <c r="P467" t="str">
        <f>IF(TRIM(O467)="","Unknown",PROPER(TRIM(O467)))</f>
        <v>Furniture</v>
      </c>
      <c r="Q467" t="s">
        <v>63</v>
      </c>
      <c r="R467" t="s">
        <v>3327</v>
      </c>
      <c r="S467" t="s">
        <v>32</v>
      </c>
      <c r="T467" t="str">
        <f>IF(TRIM(S467)="","Unknown",PROPER(TRIM(S467)))</f>
        <v>Second Class</v>
      </c>
      <c r="U467">
        <v>7</v>
      </c>
      <c r="V467">
        <v>1035.1400000000001</v>
      </c>
      <c r="W467">
        <v>0.1</v>
      </c>
      <c r="Y467">
        <v>0.1</v>
      </c>
      <c r="Z467">
        <v>6521.38</v>
      </c>
      <c r="AA467">
        <v>4511.1000000000004</v>
      </c>
      <c r="AB467">
        <v>2010.28</v>
      </c>
      <c r="AC467" t="s">
        <v>33</v>
      </c>
      <c r="AD467" t="s">
        <v>34</v>
      </c>
      <c r="AE467">
        <f>ROUND((U467*V467)-(U467*V467*Y467),2)</f>
        <v>6521.38</v>
      </c>
      <c r="AF467">
        <f>AE467-AA467</f>
        <v>2010.2799999999997</v>
      </c>
      <c r="AG467" s="7">
        <f>ROUND((AF467/AE467),4)</f>
        <v>0.30830000000000002</v>
      </c>
      <c r="AH467" t="str">
        <f>IF(AND(C467&lt;&gt;"",E467&lt;&gt;""),E467 - C467,"")</f>
        <v/>
      </c>
      <c r="AI467" t="str">
        <f>IF(C467="","",TEXT(C467, "mmmm"))</f>
        <v>February</v>
      </c>
      <c r="AJ467">
        <f>IF(C467="","",YEAR(C467))</f>
        <v>2024</v>
      </c>
      <c r="AM467" t="s">
        <v>4144</v>
      </c>
      <c r="AN467" t="s">
        <v>4136</v>
      </c>
    </row>
    <row r="468" spans="1:40">
      <c r="A468" t="s">
        <v>3338</v>
      </c>
      <c r="B468" t="s">
        <v>4086</v>
      </c>
      <c r="C468" s="6">
        <v>45447</v>
      </c>
      <c r="D468" t="s">
        <v>3339</v>
      </c>
      <c r="E468" s="6">
        <v>45447</v>
      </c>
      <c r="F468" t="s">
        <v>3340</v>
      </c>
      <c r="G468" t="s">
        <v>141</v>
      </c>
      <c r="H468" t="s">
        <v>141</v>
      </c>
      <c r="I468" t="s">
        <v>110</v>
      </c>
      <c r="J468" t="s">
        <v>110</v>
      </c>
      <c r="K468" t="s">
        <v>41</v>
      </c>
      <c r="L468" t="str">
        <f>IF(TRIM(K468)="","Unknown",PROPER(TRIM(K468)))</f>
        <v>East</v>
      </c>
      <c r="M468" t="s">
        <v>116</v>
      </c>
      <c r="N468" t="s">
        <v>117</v>
      </c>
      <c r="O468" t="s">
        <v>44</v>
      </c>
      <c r="P468" t="str">
        <f>IF(TRIM(O468)="","Unknown",PROPER(TRIM(O468)))</f>
        <v>Furniture</v>
      </c>
      <c r="Q468" t="s">
        <v>190</v>
      </c>
      <c r="R468" t="s">
        <v>3341</v>
      </c>
      <c r="S468" t="s">
        <v>55</v>
      </c>
      <c r="T468" t="str">
        <f>IF(TRIM(S468)="","Unknown",PROPER(TRIM(S468)))</f>
        <v>First Class</v>
      </c>
      <c r="U468">
        <v>6</v>
      </c>
      <c r="V468">
        <v>3949.4</v>
      </c>
      <c r="W468">
        <v>0</v>
      </c>
      <c r="Y468">
        <v>0</v>
      </c>
      <c r="Z468">
        <v>23696.400000000001</v>
      </c>
      <c r="AA468">
        <v>18109.77</v>
      </c>
      <c r="AB468">
        <v>5586.63</v>
      </c>
      <c r="AC468" t="s">
        <v>33</v>
      </c>
      <c r="AD468" t="s">
        <v>34</v>
      </c>
      <c r="AE468">
        <f>ROUND((U468*V468)-(U468*V468*Y468),2)</f>
        <v>23696.400000000001</v>
      </c>
      <c r="AF468">
        <f>AE468-AA468</f>
        <v>5586.630000000001</v>
      </c>
      <c r="AG468" s="7">
        <f>ROUND((AF468/AE468),4)</f>
        <v>0.23580000000000001</v>
      </c>
      <c r="AH468">
        <f>IF(AND(C468&lt;&gt;"",E468&lt;&gt;""),E468 - C468,"")</f>
        <v>0</v>
      </c>
      <c r="AI468" t="str">
        <f>IF(C468="","",TEXT(C468, "mmmm"))</f>
        <v>June</v>
      </c>
      <c r="AJ468">
        <f>IF(C468="","",YEAR(C468))</f>
        <v>2024</v>
      </c>
      <c r="AM468" t="str">
        <f>IF(AN468="","clean","")</f>
        <v>clean</v>
      </c>
      <c r="AN468" t="s">
        <v>3595</v>
      </c>
    </row>
    <row r="469" spans="1:40">
      <c r="A469" t="s">
        <v>3342</v>
      </c>
      <c r="B469" t="s">
        <v>216</v>
      </c>
      <c r="C469" s="6">
        <v>45583</v>
      </c>
      <c r="D469" t="s">
        <v>3343</v>
      </c>
      <c r="E469" s="6">
        <v>45587</v>
      </c>
      <c r="F469" t="s">
        <v>3344</v>
      </c>
      <c r="G469" t="s">
        <v>153</v>
      </c>
      <c r="H469" t="s">
        <v>153</v>
      </c>
      <c r="I469" t="s">
        <v>110</v>
      </c>
      <c r="J469" t="s">
        <v>110</v>
      </c>
      <c r="K469" t="s">
        <v>60</v>
      </c>
      <c r="L469" t="str">
        <f>IF(TRIM(K469)="","Unknown",PROPER(TRIM(K469)))</f>
        <v>South</v>
      </c>
      <c r="M469" t="s">
        <v>61</v>
      </c>
      <c r="N469" t="s">
        <v>62</v>
      </c>
      <c r="O469" t="s">
        <v>29</v>
      </c>
      <c r="P469" t="str">
        <f>IF(TRIM(O469)="","Unknown",PROPER(TRIM(O469)))</f>
        <v>Office Supplies</v>
      </c>
      <c r="Q469" t="s">
        <v>53</v>
      </c>
      <c r="R469" t="s">
        <v>3345</v>
      </c>
      <c r="S469" t="s">
        <v>55</v>
      </c>
      <c r="T469" t="str">
        <f>IF(TRIM(S469)="","Unknown",PROPER(TRIM(S469)))</f>
        <v>First Class</v>
      </c>
      <c r="U469">
        <v>6</v>
      </c>
      <c r="V469">
        <v>674.61</v>
      </c>
      <c r="W469">
        <v>0</v>
      </c>
      <c r="Y469">
        <v>0</v>
      </c>
      <c r="Z469">
        <v>4047.66</v>
      </c>
      <c r="AA469">
        <v>3078.93</v>
      </c>
      <c r="AB469">
        <v>1279.79</v>
      </c>
      <c r="AC469" t="s">
        <v>33</v>
      </c>
      <c r="AD469" t="s">
        <v>34</v>
      </c>
      <c r="AE469">
        <f>ROUND((U469*V469)-(U469*V469*Y469),2)</f>
        <v>4047.66</v>
      </c>
      <c r="AF469">
        <f>AE469-AA469</f>
        <v>968.73</v>
      </c>
      <c r="AG469" s="7">
        <f>ROUND((AF469/AE469),4)</f>
        <v>0.23930000000000001</v>
      </c>
      <c r="AH469">
        <f>IF(AND(C469&lt;&gt;"",E469&lt;&gt;""),E469 - C469,"")</f>
        <v>4</v>
      </c>
      <c r="AI469" t="str">
        <f>IF(C469="","",TEXT(C469, "mmmm"))</f>
        <v>October</v>
      </c>
      <c r="AJ469">
        <f>IF(C469="","",YEAR(C469))</f>
        <v>2024</v>
      </c>
      <c r="AM469" t="str">
        <f>IF(AN469="","clean","")</f>
        <v>clean</v>
      </c>
      <c r="AN469" t="s">
        <v>3595</v>
      </c>
    </row>
    <row r="470" spans="1:40">
      <c r="A470" t="s">
        <v>3349</v>
      </c>
      <c r="B470" t="s">
        <v>2158</v>
      </c>
      <c r="C470" s="6">
        <v>45641</v>
      </c>
      <c r="D470" t="s">
        <v>3350</v>
      </c>
      <c r="E470" s="6">
        <v>45644</v>
      </c>
      <c r="F470" t="s">
        <v>3351</v>
      </c>
      <c r="G470" t="s">
        <v>52</v>
      </c>
      <c r="H470" t="s">
        <v>52</v>
      </c>
      <c r="I470" t="s">
        <v>40</v>
      </c>
      <c r="J470" t="s">
        <v>40</v>
      </c>
      <c r="K470" t="s">
        <v>26</v>
      </c>
      <c r="L470" t="str">
        <f>IF(TRIM(K470)="","Unknown",PROPER(TRIM(K470)))</f>
        <v>North</v>
      </c>
      <c r="M470" t="s">
        <v>27</v>
      </c>
      <c r="N470" t="s">
        <v>28</v>
      </c>
      <c r="O470" t="s">
        <v>29</v>
      </c>
      <c r="P470" t="str">
        <f>IF(TRIM(O470)="","Unknown",PROPER(TRIM(O470)))</f>
        <v>Office Supplies</v>
      </c>
      <c r="Q470" t="s">
        <v>105</v>
      </c>
      <c r="R470" t="s">
        <v>3352</v>
      </c>
      <c r="S470" t="s">
        <v>32</v>
      </c>
      <c r="T470" t="str">
        <f>IF(TRIM(S470)="","Unknown",PROPER(TRIM(S470)))</f>
        <v>Second Class</v>
      </c>
      <c r="U470">
        <v>2</v>
      </c>
      <c r="V470">
        <v>537.11</v>
      </c>
      <c r="W470">
        <v>0</v>
      </c>
      <c r="Y470">
        <v>0</v>
      </c>
      <c r="Z470">
        <v>1074.22</v>
      </c>
      <c r="AA470">
        <v>850.86</v>
      </c>
      <c r="AB470">
        <v>223.36</v>
      </c>
      <c r="AC470" t="s">
        <v>33</v>
      </c>
      <c r="AD470" t="s">
        <v>34</v>
      </c>
      <c r="AE470">
        <f>ROUND((U470*V470)-(U470*V470*Y470),2)</f>
        <v>1074.22</v>
      </c>
      <c r="AF470">
        <f>AE470-AA470</f>
        <v>223.36</v>
      </c>
      <c r="AG470" s="7">
        <f>ROUND((AF470/AE470),4)</f>
        <v>0.2079</v>
      </c>
      <c r="AH470">
        <f>IF(AND(C470&lt;&gt;"",E470&lt;&gt;""),E470 - C470,"")</f>
        <v>3</v>
      </c>
      <c r="AI470" t="str">
        <f>IF(C470="","",TEXT(C470, "mmmm"))</f>
        <v>December</v>
      </c>
      <c r="AJ470">
        <f>IF(C470="","",YEAR(C470))</f>
        <v>2024</v>
      </c>
      <c r="AM470" t="str">
        <f>IF(AN470="","clean","")</f>
        <v>clean</v>
      </c>
      <c r="AN470" t="s">
        <v>3595</v>
      </c>
    </row>
    <row r="471" spans="1:40">
      <c r="A471" t="s">
        <v>3361</v>
      </c>
      <c r="B471" t="s">
        <v>4087</v>
      </c>
      <c r="C471" s="6">
        <v>45555</v>
      </c>
      <c r="D471" t="s">
        <v>3362</v>
      </c>
      <c r="F471" t="s">
        <v>3363</v>
      </c>
      <c r="G471" t="s">
        <v>169</v>
      </c>
      <c r="H471" t="s">
        <v>169</v>
      </c>
      <c r="I471" t="s">
        <v>110</v>
      </c>
      <c r="J471" t="s">
        <v>110</v>
      </c>
      <c r="K471" t="s">
        <v>41</v>
      </c>
      <c r="L471" t="str">
        <f>IF(TRIM(K471)="","Unknown",PROPER(TRIM(K471)))</f>
        <v>East</v>
      </c>
      <c r="M471" t="s">
        <v>42</v>
      </c>
      <c r="N471" t="s">
        <v>43</v>
      </c>
      <c r="O471" t="s">
        <v>83</v>
      </c>
      <c r="P471" t="str">
        <f>IF(TRIM(O471)="","Unknown",PROPER(TRIM(O471)))</f>
        <v>Technology</v>
      </c>
      <c r="Q471" t="s">
        <v>207</v>
      </c>
      <c r="R471" t="s">
        <v>3364</v>
      </c>
      <c r="S471" t="s">
        <v>65</v>
      </c>
      <c r="T471" t="str">
        <f>IF(TRIM(S471)="","Unknown",PROPER(TRIM(S471)))</f>
        <v>Standard Class</v>
      </c>
      <c r="U471">
        <v>8</v>
      </c>
      <c r="V471">
        <v>531.42999999999995</v>
      </c>
      <c r="W471">
        <v>0.1</v>
      </c>
      <c r="Y471">
        <v>0.1</v>
      </c>
      <c r="Z471">
        <v>3826.3</v>
      </c>
      <c r="AA471">
        <v>2194.12</v>
      </c>
      <c r="AB471">
        <v>1632.18</v>
      </c>
      <c r="AC471" t="s">
        <v>33</v>
      </c>
      <c r="AD471" t="s">
        <v>34</v>
      </c>
      <c r="AE471">
        <f>ROUND((U471*V471)-(U471*V471*Y471),2)</f>
        <v>3826.3</v>
      </c>
      <c r="AF471">
        <f>AE471-AA471</f>
        <v>1632.1800000000003</v>
      </c>
      <c r="AG471" s="7">
        <f>ROUND((AF471/AE471),4)</f>
        <v>0.42659999999999998</v>
      </c>
      <c r="AH471" t="str">
        <f>IF(AND(C471&lt;&gt;"",E471&lt;&gt;""),E471 - C471,"")</f>
        <v/>
      </c>
      <c r="AI471" t="str">
        <f>IF(C471="","",TEXT(C471, "mmmm"))</f>
        <v>September</v>
      </c>
      <c r="AJ471">
        <f>IF(C471="","",YEAR(C471))</f>
        <v>2024</v>
      </c>
      <c r="AM471" t="s">
        <v>4144</v>
      </c>
      <c r="AN471" t="s">
        <v>4136</v>
      </c>
    </row>
    <row r="472" spans="1:40">
      <c r="A472" t="s">
        <v>3372</v>
      </c>
      <c r="B472" t="s">
        <v>4089</v>
      </c>
      <c r="D472" t="s">
        <v>3373</v>
      </c>
      <c r="E472" s="6">
        <v>45381</v>
      </c>
      <c r="F472" t="s">
        <v>3374</v>
      </c>
      <c r="G472" t="s">
        <v>3375</v>
      </c>
      <c r="H472" t="s">
        <v>3375</v>
      </c>
      <c r="I472" t="s">
        <v>25</v>
      </c>
      <c r="J472" t="s">
        <v>25</v>
      </c>
      <c r="K472" t="s">
        <v>26</v>
      </c>
      <c r="L472" t="str">
        <f>IF(TRIM(K472)="","Unknown",PROPER(TRIM(K472)))</f>
        <v>North</v>
      </c>
      <c r="M472" t="s">
        <v>294</v>
      </c>
      <c r="N472" t="s">
        <v>295</v>
      </c>
      <c r="O472" t="s">
        <v>83</v>
      </c>
      <c r="P472" t="str">
        <f>IF(TRIM(O472)="","Unknown",PROPER(TRIM(O472)))</f>
        <v>Technology</v>
      </c>
      <c r="Q472" t="s">
        <v>347</v>
      </c>
      <c r="R472" t="s">
        <v>3376</v>
      </c>
      <c r="S472" t="s">
        <v>55</v>
      </c>
      <c r="T472" t="str">
        <f>IF(TRIM(S472)="","Unknown",PROPER(TRIM(S472)))</f>
        <v>First Class</v>
      </c>
      <c r="U472">
        <v>4</v>
      </c>
      <c r="V472">
        <v>2192.08</v>
      </c>
      <c r="W472">
        <v>0.15</v>
      </c>
      <c r="Y472">
        <v>0.15</v>
      </c>
      <c r="Z472">
        <v>7453.07</v>
      </c>
      <c r="AA472">
        <v>5133.78</v>
      </c>
      <c r="AB472">
        <v>2319.29</v>
      </c>
      <c r="AC472" t="s">
        <v>33</v>
      </c>
      <c r="AD472" t="s">
        <v>120</v>
      </c>
      <c r="AE472">
        <f>ROUND((U472*V472)-(U472*V472*Y472),2)</f>
        <v>7453.07</v>
      </c>
      <c r="AF472">
        <f>AE472-AA472</f>
        <v>2319.29</v>
      </c>
      <c r="AG472" s="7">
        <f>ROUND((AF472/AE472),4)</f>
        <v>0.31119999999999998</v>
      </c>
      <c r="AH472" t="str">
        <f>IF(AND(C472&lt;&gt;"",E472&lt;&gt;""),E472 - C472,"")</f>
        <v/>
      </c>
      <c r="AI472" t="str">
        <f>IF(C472="","",TEXT(C472, "mmmm"))</f>
        <v/>
      </c>
      <c r="AJ472" t="str">
        <f>IF(C472="","",YEAR(C472))</f>
        <v/>
      </c>
      <c r="AM472" t="s">
        <v>4144</v>
      </c>
      <c r="AN472" t="s">
        <v>4127</v>
      </c>
    </row>
    <row r="473" spans="1:40">
      <c r="A473" t="s">
        <v>3385</v>
      </c>
      <c r="B473" t="s">
        <v>2432</v>
      </c>
      <c r="D473" t="s">
        <v>3386</v>
      </c>
      <c r="E473" s="6">
        <v>45349</v>
      </c>
      <c r="F473" t="s">
        <v>791</v>
      </c>
      <c r="G473" t="s">
        <v>24</v>
      </c>
      <c r="H473" t="s">
        <v>24</v>
      </c>
      <c r="I473" t="s">
        <v>25</v>
      </c>
      <c r="J473" t="s">
        <v>25</v>
      </c>
      <c r="K473" t="s">
        <v>41</v>
      </c>
      <c r="L473" t="str">
        <f>IF(TRIM(K473)="","Unknown",PROPER(TRIM(K473)))</f>
        <v>East</v>
      </c>
      <c r="M473" t="s">
        <v>42</v>
      </c>
      <c r="N473" t="s">
        <v>43</v>
      </c>
      <c r="O473" t="s">
        <v>44</v>
      </c>
      <c r="P473" t="str">
        <f>IF(TRIM(O473)="","Unknown",PROPER(TRIM(O473)))</f>
        <v>Furniture</v>
      </c>
      <c r="Q473" t="s">
        <v>45</v>
      </c>
      <c r="R473" t="s">
        <v>3387</v>
      </c>
      <c r="S473" t="s">
        <v>55</v>
      </c>
      <c r="T473" t="str">
        <f>IF(TRIM(S473)="","Unknown",PROPER(TRIM(S473)))</f>
        <v>First Class</v>
      </c>
      <c r="U473">
        <v>9</v>
      </c>
      <c r="V473">
        <v>3616.23</v>
      </c>
      <c r="W473">
        <v>0.25</v>
      </c>
      <c r="Y473">
        <v>0.25</v>
      </c>
      <c r="Z473">
        <v>24409.55</v>
      </c>
      <c r="AA473">
        <v>17157.580000000002</v>
      </c>
      <c r="AB473">
        <v>7251.97</v>
      </c>
      <c r="AC473" t="s">
        <v>131</v>
      </c>
      <c r="AD473" t="s">
        <v>120</v>
      </c>
      <c r="AE473">
        <f>ROUND((U473*V473)-(U473*V473*Y473),2)</f>
        <v>24409.55</v>
      </c>
      <c r="AF473">
        <f>AE473-AA473</f>
        <v>7251.9699999999975</v>
      </c>
      <c r="AG473" s="7">
        <f>ROUND((AF473/AE473),4)</f>
        <v>0.29709999999999998</v>
      </c>
      <c r="AH473" t="str">
        <f>IF(AND(C473&lt;&gt;"",E473&lt;&gt;""),E473 - C473,"")</f>
        <v/>
      </c>
      <c r="AI473" t="str">
        <f>IF(C473="","",TEXT(C473, "mmmm"))</f>
        <v/>
      </c>
      <c r="AJ473" t="str">
        <f>IF(C473="","",YEAR(C473))</f>
        <v/>
      </c>
      <c r="AM473" t="s">
        <v>4144</v>
      </c>
      <c r="AN473" t="s">
        <v>4127</v>
      </c>
    </row>
    <row r="474" spans="1:40">
      <c r="A474" t="s">
        <v>3388</v>
      </c>
      <c r="B474" t="s">
        <v>4091</v>
      </c>
      <c r="C474" s="6">
        <v>45396</v>
      </c>
      <c r="D474" t="s">
        <v>3389</v>
      </c>
      <c r="E474" s="6">
        <v>45404</v>
      </c>
      <c r="F474" t="s">
        <v>3390</v>
      </c>
      <c r="G474" t="s">
        <v>136</v>
      </c>
      <c r="H474" t="s">
        <v>136</v>
      </c>
      <c r="I474" t="s">
        <v>40</v>
      </c>
      <c r="J474" t="s">
        <v>40</v>
      </c>
      <c r="K474" t="s">
        <v>71</v>
      </c>
      <c r="L474" t="str">
        <f>IF(TRIM(K474)="","Unknown",PROPER(TRIM(K474)))</f>
        <v>West</v>
      </c>
      <c r="M474" t="s">
        <v>218</v>
      </c>
      <c r="N474" t="s">
        <v>219</v>
      </c>
      <c r="O474" t="s">
        <v>44</v>
      </c>
      <c r="P474" t="str">
        <f>IF(TRIM(O474)="","Unknown",PROPER(TRIM(O474)))</f>
        <v>Furniture</v>
      </c>
      <c r="Q474" t="s">
        <v>190</v>
      </c>
      <c r="R474" t="s">
        <v>3391</v>
      </c>
      <c r="S474" t="s">
        <v>65</v>
      </c>
      <c r="T474" t="str">
        <f>IF(TRIM(S474)="","Unknown",PROPER(TRIM(S474)))</f>
        <v>Standard Class</v>
      </c>
      <c r="U474">
        <v>2</v>
      </c>
      <c r="V474">
        <v>3977.52</v>
      </c>
      <c r="W474">
        <v>0</v>
      </c>
      <c r="Y474">
        <v>0</v>
      </c>
      <c r="Z474">
        <v>7955.04</v>
      </c>
      <c r="AA474">
        <v>5580.68</v>
      </c>
      <c r="AB474">
        <v>2374.36</v>
      </c>
      <c r="AC474" t="s">
        <v>131</v>
      </c>
      <c r="AD474" t="s">
        <v>120</v>
      </c>
      <c r="AE474">
        <f>ROUND((U474*V474)-(U474*V474*Y474),2)</f>
        <v>7955.04</v>
      </c>
      <c r="AF474">
        <f>AE474-AA474</f>
        <v>2374.3599999999997</v>
      </c>
      <c r="AG474" s="7">
        <f>ROUND((AF474/AE474),4)</f>
        <v>0.29849999999999999</v>
      </c>
      <c r="AH474">
        <f>IF(AND(C474&lt;&gt;"",E474&lt;&gt;""),E474 - C474,"")</f>
        <v>8</v>
      </c>
      <c r="AI474" t="str">
        <f>IF(C474="","",TEXT(C474, "mmmm"))</f>
        <v>April</v>
      </c>
      <c r="AJ474">
        <f>IF(C474="","",YEAR(C474))</f>
        <v>2024</v>
      </c>
      <c r="AM474" t="str">
        <f>IF(AN474="","clean","")</f>
        <v>clean</v>
      </c>
      <c r="AN474" t="s">
        <v>3595</v>
      </c>
    </row>
    <row r="475" spans="1:40">
      <c r="A475" t="s">
        <v>3400</v>
      </c>
      <c r="B475" t="s">
        <v>4093</v>
      </c>
      <c r="C475" s="6">
        <v>45357</v>
      </c>
      <c r="D475" t="s">
        <v>947</v>
      </c>
      <c r="E475" s="6">
        <v>45363</v>
      </c>
      <c r="F475" t="s">
        <v>3401</v>
      </c>
      <c r="G475" t="s">
        <v>52</v>
      </c>
      <c r="H475" t="s">
        <v>52</v>
      </c>
      <c r="I475" t="s">
        <v>110</v>
      </c>
      <c r="J475" t="s">
        <v>110</v>
      </c>
      <c r="K475" t="s">
        <v>71</v>
      </c>
      <c r="L475" t="str">
        <f>IF(TRIM(K475)="","Unknown",PROPER(TRIM(K475)))</f>
        <v>West</v>
      </c>
      <c r="M475" t="s">
        <v>218</v>
      </c>
      <c r="N475" t="s">
        <v>219</v>
      </c>
      <c r="O475" t="s">
        <v>44</v>
      </c>
      <c r="P475" t="str">
        <f>IF(TRIM(O475)="","Unknown",PROPER(TRIM(O475)))</f>
        <v>Furniture</v>
      </c>
      <c r="Q475" t="s">
        <v>190</v>
      </c>
      <c r="R475" t="s">
        <v>3402</v>
      </c>
      <c r="S475" t="s">
        <v>65</v>
      </c>
      <c r="T475" t="str">
        <f>IF(TRIM(S475)="","Unknown",PROPER(TRIM(S475)))</f>
        <v>Standard Class</v>
      </c>
      <c r="U475">
        <v>3</v>
      </c>
      <c r="V475">
        <v>679.63</v>
      </c>
      <c r="W475">
        <v>0.2</v>
      </c>
      <c r="Y475">
        <v>0.2</v>
      </c>
      <c r="Z475">
        <v>1631.11</v>
      </c>
      <c r="AA475">
        <v>898.73</v>
      </c>
      <c r="AB475">
        <v>396.58</v>
      </c>
      <c r="AC475" t="s">
        <v>33</v>
      </c>
      <c r="AD475" t="s">
        <v>34</v>
      </c>
      <c r="AE475">
        <f>ROUND((U475*V475)-(U475*V475*Y475),2)</f>
        <v>1631.11</v>
      </c>
      <c r="AF475">
        <f>AE475-AA475</f>
        <v>732.37999999999988</v>
      </c>
      <c r="AG475" s="7">
        <f>ROUND((AF475/AE475),4)</f>
        <v>0.44900000000000001</v>
      </c>
      <c r="AH475">
        <f>IF(AND(C475&lt;&gt;"",E475&lt;&gt;""),E475 - C475,"")</f>
        <v>6</v>
      </c>
      <c r="AI475" t="str">
        <f>IF(C475="","",TEXT(C475, "mmmm"))</f>
        <v>March</v>
      </c>
      <c r="AJ475">
        <f>IF(C475="","",YEAR(C475))</f>
        <v>2024</v>
      </c>
      <c r="AM475" t="str">
        <f>IF(AN475="","clean","")</f>
        <v>clean</v>
      </c>
      <c r="AN475" t="s">
        <v>3595</v>
      </c>
    </row>
    <row r="476" spans="1:40">
      <c r="A476" t="s">
        <v>3400</v>
      </c>
      <c r="B476" t="s">
        <v>4093</v>
      </c>
      <c r="C476" s="6">
        <v>45357</v>
      </c>
      <c r="D476" t="s">
        <v>947</v>
      </c>
      <c r="E476" s="6">
        <v>45363</v>
      </c>
      <c r="F476" t="s">
        <v>3401</v>
      </c>
      <c r="G476" t="s">
        <v>52</v>
      </c>
      <c r="H476" t="s">
        <v>52</v>
      </c>
      <c r="I476" t="s">
        <v>110</v>
      </c>
      <c r="J476" t="s">
        <v>110</v>
      </c>
      <c r="K476" t="s">
        <v>71</v>
      </c>
      <c r="L476" t="str">
        <f>IF(TRIM(K476)="","Unknown",PROPER(TRIM(K476)))</f>
        <v>West</v>
      </c>
      <c r="M476" t="s">
        <v>218</v>
      </c>
      <c r="N476" t="s">
        <v>219</v>
      </c>
      <c r="O476" t="s">
        <v>44</v>
      </c>
      <c r="P476" t="str">
        <f>IF(TRIM(O476)="","Unknown",PROPER(TRIM(O476)))</f>
        <v>Furniture</v>
      </c>
      <c r="Q476" t="s">
        <v>190</v>
      </c>
      <c r="R476" t="s">
        <v>3402</v>
      </c>
      <c r="S476" t="s">
        <v>65</v>
      </c>
      <c r="T476" t="str">
        <f>IF(TRIM(S476)="","Unknown",PROPER(TRIM(S476)))</f>
        <v>Standard Class</v>
      </c>
      <c r="U476">
        <v>3</v>
      </c>
      <c r="V476">
        <v>679.63</v>
      </c>
      <c r="W476">
        <v>0.2</v>
      </c>
      <c r="Y476">
        <v>0.2</v>
      </c>
      <c r="Z476">
        <v>1631.11</v>
      </c>
      <c r="AA476">
        <v>898.73</v>
      </c>
      <c r="AB476">
        <v>396.58</v>
      </c>
      <c r="AC476" t="s">
        <v>33</v>
      </c>
      <c r="AD476" t="s">
        <v>34</v>
      </c>
      <c r="AE476">
        <f>ROUND((U476*V476)-(U476*V476*Y476),2)</f>
        <v>1631.11</v>
      </c>
      <c r="AF476">
        <f>AE476-AA476</f>
        <v>732.37999999999988</v>
      </c>
      <c r="AG476" s="7">
        <f>ROUND((AF476/AE476),4)</f>
        <v>0.44900000000000001</v>
      </c>
      <c r="AH476">
        <f>IF(AND(C476&lt;&gt;"",E476&lt;&gt;""),E476 - C476,"")</f>
        <v>6</v>
      </c>
      <c r="AI476" t="str">
        <f>IF(C476="","",TEXT(C476, "mmmm"))</f>
        <v>March</v>
      </c>
      <c r="AJ476">
        <f>IF(C476="","",YEAR(C476))</f>
        <v>2024</v>
      </c>
      <c r="AL476" t="s">
        <v>4152</v>
      </c>
      <c r="AM476" t="s">
        <v>4144</v>
      </c>
      <c r="AN476" t="s">
        <v>4149</v>
      </c>
    </row>
    <row r="477" spans="1:40">
      <c r="A477" t="s">
        <v>3403</v>
      </c>
      <c r="B477" t="s">
        <v>3855</v>
      </c>
      <c r="D477" t="s">
        <v>3296</v>
      </c>
      <c r="E477" s="6">
        <v>45476</v>
      </c>
      <c r="F477" t="s">
        <v>3404</v>
      </c>
      <c r="G477" t="s">
        <v>136</v>
      </c>
      <c r="H477" t="s">
        <v>136</v>
      </c>
      <c r="I477" t="s">
        <v>110</v>
      </c>
      <c r="J477" t="s">
        <v>110</v>
      </c>
      <c r="K477" t="s">
        <v>41</v>
      </c>
      <c r="L477" t="str">
        <f>IF(TRIM(K477)="","Unknown",PROPER(TRIM(K477)))</f>
        <v>East</v>
      </c>
      <c r="M477" t="s">
        <v>116</v>
      </c>
      <c r="N477" t="s">
        <v>117</v>
      </c>
      <c r="O477" t="s">
        <v>29</v>
      </c>
      <c r="P477" t="str">
        <f>IF(TRIM(O477)="","Unknown",PROPER(TRIM(O477)))</f>
        <v>Office Supplies</v>
      </c>
      <c r="Q477" t="s">
        <v>30</v>
      </c>
      <c r="R477" t="s">
        <v>3405</v>
      </c>
      <c r="S477" t="s">
        <v>55</v>
      </c>
      <c r="T477" t="str">
        <f>IF(TRIM(S477)="","Unknown",PROPER(TRIM(S477)))</f>
        <v>First Class</v>
      </c>
      <c r="U477">
        <v>6</v>
      </c>
      <c r="V477">
        <v>1211.01</v>
      </c>
      <c r="W477">
        <v>0</v>
      </c>
      <c r="Y477">
        <v>0</v>
      </c>
      <c r="Z477">
        <v>7266.06</v>
      </c>
      <c r="AA477">
        <v>6216.89</v>
      </c>
      <c r="AB477">
        <v>1049.17</v>
      </c>
      <c r="AC477" t="s">
        <v>33</v>
      </c>
      <c r="AD477" t="s">
        <v>34</v>
      </c>
      <c r="AE477">
        <f>ROUND((U477*V477)-(U477*V477*Y477),2)</f>
        <v>7266.06</v>
      </c>
      <c r="AF477">
        <f>AE477-AA477</f>
        <v>1049.17</v>
      </c>
      <c r="AG477" s="7">
        <f>ROUND((AF477/AE477),4)</f>
        <v>0.1444</v>
      </c>
      <c r="AH477" t="str">
        <f>IF(AND(C477&lt;&gt;"",E477&lt;&gt;""),E477 - C477,"")</f>
        <v/>
      </c>
      <c r="AI477" t="str">
        <f>IF(C477="","",TEXT(C477, "mmmm"))</f>
        <v/>
      </c>
      <c r="AJ477" t="str">
        <f>IF(C477="","",YEAR(C477))</f>
        <v/>
      </c>
      <c r="AM477" t="s">
        <v>4144</v>
      </c>
      <c r="AN477" t="s">
        <v>4127</v>
      </c>
    </row>
    <row r="478" spans="1:40">
      <c r="A478" t="s">
        <v>3406</v>
      </c>
      <c r="B478" t="s">
        <v>717</v>
      </c>
      <c r="C478" s="6">
        <v>45377</v>
      </c>
      <c r="D478" t="s">
        <v>2764</v>
      </c>
      <c r="E478" s="6">
        <v>45383</v>
      </c>
      <c r="F478" t="s">
        <v>3407</v>
      </c>
      <c r="G478" t="s">
        <v>24</v>
      </c>
      <c r="H478" t="s">
        <v>24</v>
      </c>
      <c r="I478" t="s">
        <v>40</v>
      </c>
      <c r="J478" t="s">
        <v>40</v>
      </c>
      <c r="K478" t="s">
        <v>71</v>
      </c>
      <c r="L478" t="str">
        <f>IF(TRIM(K478)="","Unknown",PROPER(TRIM(K478)))</f>
        <v>West</v>
      </c>
      <c r="M478" t="s">
        <v>218</v>
      </c>
      <c r="N478" t="s">
        <v>219</v>
      </c>
      <c r="O478" t="s">
        <v>83</v>
      </c>
      <c r="P478" t="str">
        <f>IF(TRIM(O478)="","Unknown",PROPER(TRIM(O478)))</f>
        <v>Technology</v>
      </c>
      <c r="Q478" t="s">
        <v>84</v>
      </c>
      <c r="R478" t="s">
        <v>3408</v>
      </c>
      <c r="S478" t="s">
        <v>55</v>
      </c>
      <c r="T478" t="str">
        <f>IF(TRIM(S478)="","Unknown",PROPER(TRIM(S478)))</f>
        <v>First Class</v>
      </c>
      <c r="U478">
        <v>2</v>
      </c>
      <c r="V478">
        <v>1161.3</v>
      </c>
      <c r="W478">
        <v>0.2</v>
      </c>
      <c r="Y478">
        <v>0.2</v>
      </c>
      <c r="Z478">
        <v>1858.08</v>
      </c>
      <c r="AA478">
        <v>1590.75</v>
      </c>
      <c r="AB478">
        <v>267.33</v>
      </c>
      <c r="AC478" t="s">
        <v>33</v>
      </c>
      <c r="AD478" t="s">
        <v>34</v>
      </c>
      <c r="AE478">
        <f>ROUND((U478*V478)-(U478*V478*Y478),2)</f>
        <v>1858.08</v>
      </c>
      <c r="AF478">
        <f>AE478-AA478</f>
        <v>267.32999999999993</v>
      </c>
      <c r="AG478" s="7">
        <f>ROUND((AF478/AE478),4)</f>
        <v>0.1439</v>
      </c>
      <c r="AH478">
        <f>IF(AND(C478&lt;&gt;"",E478&lt;&gt;""),E478 - C478,"")</f>
        <v>6</v>
      </c>
      <c r="AI478" t="str">
        <f>IF(C478="","",TEXT(C478, "mmmm"))</f>
        <v>March</v>
      </c>
      <c r="AJ478">
        <f>IF(C478="","",YEAR(C478))</f>
        <v>2024</v>
      </c>
      <c r="AM478" t="str">
        <f>IF(AN478="","clean","")</f>
        <v>clean</v>
      </c>
      <c r="AN478" t="s">
        <v>3595</v>
      </c>
    </row>
    <row r="479" spans="1:40">
      <c r="A479" t="s">
        <v>3409</v>
      </c>
      <c r="B479" t="s">
        <v>4094</v>
      </c>
      <c r="C479" s="6">
        <v>45383</v>
      </c>
      <c r="D479" t="s">
        <v>3255</v>
      </c>
      <c r="E479" s="6">
        <v>45390</v>
      </c>
      <c r="F479" t="s">
        <v>3410</v>
      </c>
      <c r="G479" t="s">
        <v>70</v>
      </c>
      <c r="H479" t="s">
        <v>70</v>
      </c>
      <c r="I479" t="s">
        <v>25</v>
      </c>
      <c r="J479" t="s">
        <v>25</v>
      </c>
      <c r="K479" t="s">
        <v>41</v>
      </c>
      <c r="L479" t="str">
        <f>IF(TRIM(K479)="","Unknown",PROPER(TRIM(K479)))</f>
        <v>East</v>
      </c>
      <c r="M479" t="s">
        <v>201</v>
      </c>
      <c r="N479" t="s">
        <v>202</v>
      </c>
      <c r="O479" t="s">
        <v>44</v>
      </c>
      <c r="P479" t="str">
        <f>IF(TRIM(O479)="","Unknown",PROPER(TRIM(O479)))</f>
        <v>Furniture</v>
      </c>
      <c r="Q479" t="s">
        <v>45</v>
      </c>
      <c r="R479" t="s">
        <v>3411</v>
      </c>
      <c r="S479" t="s">
        <v>32</v>
      </c>
      <c r="T479" t="str">
        <f>IF(TRIM(S479)="","Unknown",PROPER(TRIM(S479)))</f>
        <v>Second Class</v>
      </c>
      <c r="U479">
        <v>7</v>
      </c>
      <c r="V479">
        <v>4205.3500000000004</v>
      </c>
      <c r="W479">
        <v>0.15</v>
      </c>
      <c r="Y479">
        <v>0.15</v>
      </c>
      <c r="Z479">
        <v>25021.83</v>
      </c>
      <c r="AA479">
        <v>15544.44</v>
      </c>
      <c r="AB479">
        <v>9477.39</v>
      </c>
      <c r="AC479" t="s">
        <v>131</v>
      </c>
      <c r="AD479" t="s">
        <v>76</v>
      </c>
      <c r="AE479">
        <f>ROUND((U479*V479)-(U479*V479*Y479),2)</f>
        <v>25021.83</v>
      </c>
      <c r="AF479">
        <f>AE479-AA479</f>
        <v>9477.3900000000012</v>
      </c>
      <c r="AG479" s="7">
        <f>ROUND((AF479/AE479),4)</f>
        <v>0.37880000000000003</v>
      </c>
      <c r="AH479">
        <f>IF(AND(C479&lt;&gt;"",E479&lt;&gt;""),E479 - C479,"")</f>
        <v>7</v>
      </c>
      <c r="AI479" t="str">
        <f>IF(C479="","",TEXT(C479, "mmmm"))</f>
        <v>April</v>
      </c>
      <c r="AJ479">
        <f>IF(C479="","",YEAR(C479))</f>
        <v>2024</v>
      </c>
      <c r="AM479" t="str">
        <f>IF(AN479="","clean","")</f>
        <v>clean</v>
      </c>
      <c r="AN479" t="s">
        <v>3595</v>
      </c>
    </row>
    <row r="480" spans="1:40">
      <c r="A480" t="s">
        <v>3419</v>
      </c>
      <c r="B480" t="s">
        <v>659</v>
      </c>
      <c r="D480" t="s">
        <v>3420</v>
      </c>
      <c r="E480" s="6">
        <v>45506</v>
      </c>
      <c r="F480" t="s">
        <v>1508</v>
      </c>
      <c r="G480" t="s">
        <v>141</v>
      </c>
      <c r="H480" t="s">
        <v>141</v>
      </c>
      <c r="I480" t="s">
        <v>25</v>
      </c>
      <c r="J480" t="s">
        <v>25</v>
      </c>
      <c r="K480" t="s">
        <v>26</v>
      </c>
      <c r="L480" t="str">
        <f>IF(TRIM(K480)="","Unknown",PROPER(TRIM(K480)))</f>
        <v>North</v>
      </c>
      <c r="M480" t="s">
        <v>27</v>
      </c>
      <c r="N480" t="s">
        <v>28</v>
      </c>
      <c r="O480" t="s">
        <v>29</v>
      </c>
      <c r="P480" t="str">
        <f>IF(TRIM(O480)="","Unknown",PROPER(TRIM(O480)))</f>
        <v>Office Supplies</v>
      </c>
      <c r="Q480" t="s">
        <v>3421</v>
      </c>
      <c r="R480" t="s">
        <v>3422</v>
      </c>
      <c r="S480" t="s">
        <v>32</v>
      </c>
      <c r="T480" t="str">
        <f>IF(TRIM(S480)="","Unknown",PROPER(TRIM(S480)))</f>
        <v>Second Class</v>
      </c>
      <c r="U480">
        <v>2</v>
      </c>
      <c r="V480">
        <v>2073.5300000000002</v>
      </c>
      <c r="W480">
        <v>0.25</v>
      </c>
      <c r="Y480">
        <v>0.25</v>
      </c>
      <c r="Z480">
        <v>3110.3</v>
      </c>
      <c r="AA480">
        <v>2101.0300000000002</v>
      </c>
      <c r="AB480">
        <v>1009.27</v>
      </c>
      <c r="AC480" t="s">
        <v>33</v>
      </c>
      <c r="AD480" t="s">
        <v>34</v>
      </c>
      <c r="AE480">
        <f>ROUND((U480*V480)-(U480*V480*Y480),2)</f>
        <v>3110.3</v>
      </c>
      <c r="AF480">
        <f>AE480-AA480</f>
        <v>1009.27</v>
      </c>
      <c r="AG480" s="7">
        <f>ROUND((AF480/AE480),4)</f>
        <v>0.32450000000000001</v>
      </c>
      <c r="AH480" t="str">
        <f>IF(AND(C480&lt;&gt;"",E480&lt;&gt;""),E480 - C480,"")</f>
        <v/>
      </c>
      <c r="AI480" t="str">
        <f>IF(C480="","",TEXT(C480, "mmmm"))</f>
        <v/>
      </c>
      <c r="AJ480" t="str">
        <f>IF(C480="","",YEAR(C480))</f>
        <v/>
      </c>
      <c r="AM480" t="s">
        <v>4144</v>
      </c>
      <c r="AN480" t="s">
        <v>4127</v>
      </c>
    </row>
    <row r="481" spans="1:40">
      <c r="A481" t="s">
        <v>3423</v>
      </c>
      <c r="B481" t="s">
        <v>4097</v>
      </c>
      <c r="C481" s="6">
        <v>45455</v>
      </c>
      <c r="D481" t="s">
        <v>614</v>
      </c>
      <c r="E481" s="6">
        <v>45462</v>
      </c>
      <c r="F481" t="s">
        <v>1742</v>
      </c>
      <c r="G481" t="s">
        <v>169</v>
      </c>
      <c r="H481" t="s">
        <v>169</v>
      </c>
      <c r="I481" t="s">
        <v>110</v>
      </c>
      <c r="J481" t="s">
        <v>110</v>
      </c>
      <c r="K481" t="s">
        <v>60</v>
      </c>
      <c r="L481" t="str">
        <f>IF(TRIM(K481)="","Unknown",PROPER(TRIM(K481)))</f>
        <v>South</v>
      </c>
      <c r="M481" t="s">
        <v>309</v>
      </c>
      <c r="N481" t="s">
        <v>310</v>
      </c>
      <c r="O481" t="s">
        <v>29</v>
      </c>
      <c r="P481" t="str">
        <f>IF(TRIM(O481)="","Unknown",PROPER(TRIM(O481)))</f>
        <v>Office Supplies</v>
      </c>
      <c r="Q481" t="s">
        <v>148</v>
      </c>
      <c r="R481" t="s">
        <v>3424</v>
      </c>
      <c r="S481" t="s">
        <v>65</v>
      </c>
      <c r="T481" t="str">
        <f>IF(TRIM(S481)="","Unknown",PROPER(TRIM(S481)))</f>
        <v>Standard Class</v>
      </c>
      <c r="U481">
        <v>4</v>
      </c>
      <c r="V481">
        <v>395.1</v>
      </c>
      <c r="W481">
        <v>-0.16</v>
      </c>
      <c r="Y481">
        <v>0.25</v>
      </c>
      <c r="Z481">
        <v>1185.3</v>
      </c>
      <c r="AA481">
        <v>966.55</v>
      </c>
      <c r="AB481">
        <v>218.75</v>
      </c>
      <c r="AC481" t="s">
        <v>186</v>
      </c>
      <c r="AD481" t="s">
        <v>76</v>
      </c>
      <c r="AE481">
        <f>ROUND((U481*V481)-(U481*V481*Y481),2)</f>
        <v>1185.3</v>
      </c>
      <c r="AF481">
        <f>AE481-AA481</f>
        <v>218.75</v>
      </c>
      <c r="AG481" s="7">
        <f>ROUND((AF481/AE481),4)</f>
        <v>0.18459999999999999</v>
      </c>
      <c r="AH481">
        <f>IF(AND(C481&lt;&gt;"",E481&lt;&gt;""),E481 - C481,"")</f>
        <v>7</v>
      </c>
      <c r="AI481" t="str">
        <f>IF(C481="","",TEXT(C481, "mmmm"))</f>
        <v>June</v>
      </c>
      <c r="AJ481">
        <f>IF(C481="","",YEAR(C481))</f>
        <v>2024</v>
      </c>
      <c r="AM481" t="s">
        <v>4145</v>
      </c>
      <c r="AN481" t="s">
        <v>3596</v>
      </c>
    </row>
    <row r="482" spans="1:40">
      <c r="A482" t="s">
        <v>3425</v>
      </c>
      <c r="B482" t="s">
        <v>4098</v>
      </c>
      <c r="C482" s="6">
        <v>45447</v>
      </c>
      <c r="D482" t="s">
        <v>3426</v>
      </c>
      <c r="E482" s="6">
        <v>45447</v>
      </c>
      <c r="F482" t="s">
        <v>2831</v>
      </c>
      <c r="G482" t="s">
        <v>158</v>
      </c>
      <c r="H482" t="s">
        <v>158</v>
      </c>
      <c r="I482" t="s">
        <v>110</v>
      </c>
      <c r="J482" t="s">
        <v>110</v>
      </c>
      <c r="K482" t="s">
        <v>60</v>
      </c>
      <c r="L482" t="str">
        <f>IF(TRIM(K482)="","Unknown",PROPER(TRIM(K482)))</f>
        <v>South</v>
      </c>
      <c r="M482" t="s">
        <v>224</v>
      </c>
      <c r="N482" t="s">
        <v>225</v>
      </c>
      <c r="O482" t="s">
        <v>29</v>
      </c>
      <c r="P482" t="str">
        <f>IF(TRIM(O482)="","Unknown",PROPER(TRIM(O482)))</f>
        <v>Office Supplies</v>
      </c>
      <c r="Q482" t="s">
        <v>148</v>
      </c>
      <c r="R482" t="s">
        <v>3427</v>
      </c>
      <c r="S482" t="s">
        <v>55</v>
      </c>
      <c r="T482" t="str">
        <f>IF(TRIM(S482)="","Unknown",PROPER(TRIM(S482)))</f>
        <v>First Class</v>
      </c>
      <c r="U482">
        <v>6</v>
      </c>
      <c r="V482">
        <v>2708.97</v>
      </c>
      <c r="W482">
        <v>0.25</v>
      </c>
      <c r="Y482">
        <v>0.25</v>
      </c>
      <c r="Z482">
        <v>12190.36</v>
      </c>
      <c r="AA482">
        <v>10176.99</v>
      </c>
      <c r="AB482">
        <v>2013.37</v>
      </c>
      <c r="AC482" t="s">
        <v>33</v>
      </c>
      <c r="AD482" t="s">
        <v>34</v>
      </c>
      <c r="AE482">
        <f>ROUND((U482*V482)-(U482*V482*Y482),2)</f>
        <v>12190.37</v>
      </c>
      <c r="AF482">
        <f>AE482-AA482</f>
        <v>2013.380000000001</v>
      </c>
      <c r="AG482" s="7">
        <f>ROUND((AF482/AE482),4)</f>
        <v>0.16520000000000001</v>
      </c>
      <c r="AH482">
        <f>IF(AND(C482&lt;&gt;"",E482&lt;&gt;""),E482 - C482,"")</f>
        <v>0</v>
      </c>
      <c r="AI482" t="str">
        <f>IF(C482="","",TEXT(C482, "mmmm"))</f>
        <v>June</v>
      </c>
      <c r="AJ482">
        <f>IF(C482="","",YEAR(C482))</f>
        <v>2024</v>
      </c>
      <c r="AM482" t="str">
        <f>IF(AN482="","clean","")</f>
        <v>clean</v>
      </c>
    </row>
    <row r="483" spans="1:40">
      <c r="A483" t="s">
        <v>3428</v>
      </c>
      <c r="B483" t="s">
        <v>1080</v>
      </c>
      <c r="C483" s="6">
        <v>45414</v>
      </c>
      <c r="D483" t="s">
        <v>1140</v>
      </c>
      <c r="E483" s="6">
        <v>45421</v>
      </c>
      <c r="F483" t="s">
        <v>3429</v>
      </c>
      <c r="G483" t="s">
        <v>59</v>
      </c>
      <c r="H483" t="s">
        <v>59</v>
      </c>
      <c r="I483" t="s">
        <v>25</v>
      </c>
      <c r="J483" t="s">
        <v>25</v>
      </c>
      <c r="K483" t="s">
        <v>41</v>
      </c>
      <c r="L483" t="str">
        <f>IF(TRIM(K483)="","Unknown",PROPER(TRIM(K483)))</f>
        <v>East</v>
      </c>
      <c r="M483" t="s">
        <v>42</v>
      </c>
      <c r="N483" t="s">
        <v>43</v>
      </c>
      <c r="O483" t="s">
        <v>83</v>
      </c>
      <c r="P483" t="str">
        <f>IF(TRIM(O483)="","Unknown",PROPER(TRIM(O483)))</f>
        <v>Technology</v>
      </c>
      <c r="Q483" t="s">
        <v>84</v>
      </c>
      <c r="R483" t="s">
        <v>3430</v>
      </c>
      <c r="S483" t="s">
        <v>32</v>
      </c>
      <c r="T483" t="str">
        <f>IF(TRIM(S483)="","Unknown",PROPER(TRIM(S483)))</f>
        <v>Second Class</v>
      </c>
      <c r="U483">
        <v>4</v>
      </c>
      <c r="V483">
        <v>2904.86</v>
      </c>
      <c r="W483">
        <v>0</v>
      </c>
      <c r="Y483">
        <v>0</v>
      </c>
      <c r="Z483">
        <v>11619.44</v>
      </c>
      <c r="AA483">
        <v>7184.32</v>
      </c>
      <c r="AB483">
        <v>4494.6400000000003</v>
      </c>
      <c r="AC483" t="s">
        <v>33</v>
      </c>
      <c r="AD483" t="s">
        <v>34</v>
      </c>
      <c r="AE483">
        <f>ROUND((U483*V483)-(U483*V483*Y483),2)</f>
        <v>11619.44</v>
      </c>
      <c r="AF483">
        <f>AE483-AA483</f>
        <v>4435.1200000000008</v>
      </c>
      <c r="AG483" s="7">
        <f>ROUND((AF483/AE483),4)</f>
        <v>0.38169999999999998</v>
      </c>
      <c r="AH483">
        <f>IF(AND(C483&lt;&gt;"",E483&lt;&gt;""),E483 - C483,"")</f>
        <v>7</v>
      </c>
      <c r="AI483" t="str">
        <f>IF(C483="","",TEXT(C483, "mmmm"))</f>
        <v>May</v>
      </c>
      <c r="AJ483">
        <f>IF(C483="","",YEAR(C483))</f>
        <v>2024</v>
      </c>
      <c r="AM483" t="str">
        <f>IF(AN483="","clean","")</f>
        <v>clean</v>
      </c>
      <c r="AN483" t="s">
        <v>3595</v>
      </c>
    </row>
    <row r="484" spans="1:40">
      <c r="A484" t="s">
        <v>3431</v>
      </c>
      <c r="B484" t="s">
        <v>4040</v>
      </c>
      <c r="C484" s="6">
        <v>45592</v>
      </c>
      <c r="D484" t="s">
        <v>3432</v>
      </c>
      <c r="E484" s="6">
        <v>45597</v>
      </c>
      <c r="F484" t="s">
        <v>3433</v>
      </c>
      <c r="G484" t="s">
        <v>103</v>
      </c>
      <c r="H484" t="s">
        <v>103</v>
      </c>
      <c r="I484" t="s">
        <v>104</v>
      </c>
      <c r="J484" t="s">
        <v>104</v>
      </c>
      <c r="K484" t="s">
        <v>60</v>
      </c>
      <c r="L484" t="str">
        <f>IF(TRIM(K484)="","Unknown",PROPER(TRIM(K484)))</f>
        <v>South</v>
      </c>
      <c r="M484" t="s">
        <v>309</v>
      </c>
      <c r="N484" t="s">
        <v>310</v>
      </c>
      <c r="O484" t="s">
        <v>83</v>
      </c>
      <c r="P484" t="str">
        <f>IF(TRIM(O484)="","Unknown",PROPER(TRIM(O484)))</f>
        <v>Technology</v>
      </c>
      <c r="Q484" t="s">
        <v>207</v>
      </c>
      <c r="R484" t="s">
        <v>3434</v>
      </c>
      <c r="S484" t="s">
        <v>65</v>
      </c>
      <c r="T484" t="str">
        <f>IF(TRIM(S484)="","Unknown",PROPER(TRIM(S484)))</f>
        <v>Standard Class</v>
      </c>
      <c r="U484">
        <v>6</v>
      </c>
      <c r="V484">
        <v>4399.2</v>
      </c>
      <c r="W484">
        <v>0.05</v>
      </c>
      <c r="Y484">
        <v>0.05</v>
      </c>
      <c r="Z484">
        <v>25075.439999999999</v>
      </c>
      <c r="AA484">
        <v>16282.74</v>
      </c>
      <c r="AB484">
        <v>8792.7000000000007</v>
      </c>
      <c r="AC484" t="s">
        <v>33</v>
      </c>
      <c r="AD484" t="s">
        <v>34</v>
      </c>
      <c r="AE484">
        <f>ROUND((U484*V484)-(U484*V484*Y484),2)</f>
        <v>25075.439999999999</v>
      </c>
      <c r="AF484">
        <f>AE484-AA484</f>
        <v>8792.6999999999989</v>
      </c>
      <c r="AG484" s="7">
        <f>ROUND((AF484/AE484),4)</f>
        <v>0.35060000000000002</v>
      </c>
      <c r="AH484">
        <f>IF(AND(C484&lt;&gt;"",E484&lt;&gt;""),E484 - C484,"")</f>
        <v>5</v>
      </c>
      <c r="AI484" t="str">
        <f>IF(C484="","",TEXT(C484, "mmmm"))</f>
        <v>October</v>
      </c>
      <c r="AJ484">
        <f>IF(C484="","",YEAR(C484))</f>
        <v>2024</v>
      </c>
      <c r="AM484" t="str">
        <f>IF(AN484="","clean","")</f>
        <v>clean</v>
      </c>
      <c r="AN484" t="s">
        <v>3595</v>
      </c>
    </row>
    <row r="485" spans="1:40">
      <c r="A485" t="s">
        <v>3435</v>
      </c>
      <c r="B485" t="s">
        <v>663</v>
      </c>
      <c r="C485" s="6">
        <v>45324</v>
      </c>
      <c r="D485" t="s">
        <v>3436</v>
      </c>
      <c r="E485" s="6">
        <v>45326</v>
      </c>
      <c r="F485" t="s">
        <v>3437</v>
      </c>
      <c r="G485" t="s">
        <v>80</v>
      </c>
      <c r="H485" t="s">
        <v>80</v>
      </c>
      <c r="I485" t="s">
        <v>110</v>
      </c>
      <c r="J485" t="s">
        <v>110</v>
      </c>
      <c r="K485" t="s">
        <v>26</v>
      </c>
      <c r="L485" t="str">
        <f>IF(TRIM(K485)="","Unknown",PROPER(TRIM(K485)))</f>
        <v>North</v>
      </c>
      <c r="M485" t="s">
        <v>163</v>
      </c>
      <c r="N485" t="s">
        <v>164</v>
      </c>
      <c r="O485" t="s">
        <v>29</v>
      </c>
      <c r="P485" t="str">
        <f>IF(TRIM(O485)="","Unknown",PROPER(TRIM(O485)))</f>
        <v>Office Supplies</v>
      </c>
      <c r="Q485" t="s">
        <v>148</v>
      </c>
      <c r="R485" t="s">
        <v>3438</v>
      </c>
      <c r="S485" t="s">
        <v>32</v>
      </c>
      <c r="T485" t="str">
        <f>IF(TRIM(S485)="","Unknown",PROPER(TRIM(S485)))</f>
        <v>Second Class</v>
      </c>
      <c r="U485">
        <v>1</v>
      </c>
      <c r="V485">
        <v>4397.32</v>
      </c>
      <c r="W485">
        <v>0.05</v>
      </c>
      <c r="Y485">
        <v>0.05</v>
      </c>
      <c r="Z485">
        <v>4177.45</v>
      </c>
      <c r="AA485">
        <v>2299.5</v>
      </c>
      <c r="AB485">
        <v>1877.95</v>
      </c>
      <c r="AC485" t="s">
        <v>33</v>
      </c>
      <c r="AD485" t="s">
        <v>34</v>
      </c>
      <c r="AE485">
        <f>ROUND((U485*V485)-(U485*V485*Y485),2)</f>
        <v>4177.45</v>
      </c>
      <c r="AF485">
        <f>AE485-AA485</f>
        <v>1877.9499999999998</v>
      </c>
      <c r="AG485" s="7">
        <f>ROUND((AF485/AE485),4)</f>
        <v>0.44950000000000001</v>
      </c>
      <c r="AH485">
        <f>IF(AND(C485&lt;&gt;"",E485&lt;&gt;""),E485 - C485,"")</f>
        <v>2</v>
      </c>
      <c r="AI485" t="str">
        <f>IF(C485="","",TEXT(C485, "mmmm"))</f>
        <v>February</v>
      </c>
      <c r="AJ485">
        <f>IF(C485="","",YEAR(C485))</f>
        <v>2024</v>
      </c>
      <c r="AM485" t="str">
        <f>IF(AN485="","clean","")</f>
        <v>clean</v>
      </c>
      <c r="AN485" t="s">
        <v>3595</v>
      </c>
    </row>
    <row r="486" spans="1:40">
      <c r="A486" t="s">
        <v>3460</v>
      </c>
      <c r="B486" t="s">
        <v>4102</v>
      </c>
      <c r="C486" s="6">
        <v>45617</v>
      </c>
      <c r="D486" t="s">
        <v>3461</v>
      </c>
      <c r="E486" s="6">
        <v>45618</v>
      </c>
      <c r="F486" t="s">
        <v>3462</v>
      </c>
      <c r="G486" t="s">
        <v>141</v>
      </c>
      <c r="H486" t="s">
        <v>141</v>
      </c>
      <c r="I486" t="s">
        <v>110</v>
      </c>
      <c r="J486" t="s">
        <v>110</v>
      </c>
      <c r="K486" t="s">
        <v>60</v>
      </c>
      <c r="L486" t="str">
        <f>IF(TRIM(K486)="","Unknown",PROPER(TRIM(K486)))</f>
        <v>South</v>
      </c>
      <c r="M486" t="s">
        <v>97</v>
      </c>
      <c r="N486" t="s">
        <v>98</v>
      </c>
      <c r="O486" t="s">
        <v>83</v>
      </c>
      <c r="P486" t="str">
        <f>IF(TRIM(O486)="","Unknown",PROPER(TRIM(O486)))</f>
        <v>Technology</v>
      </c>
      <c r="Q486" t="s">
        <v>84</v>
      </c>
      <c r="R486" t="s">
        <v>3463</v>
      </c>
      <c r="S486" t="s">
        <v>47</v>
      </c>
      <c r="T486" t="str">
        <f>IF(TRIM(S486)="","Unknown",PROPER(TRIM(S486)))</f>
        <v>Same Day</v>
      </c>
      <c r="U486">
        <v>6</v>
      </c>
      <c r="V486">
        <v>1043.49</v>
      </c>
      <c r="W486">
        <v>0.25</v>
      </c>
      <c r="Y486">
        <v>0.25</v>
      </c>
      <c r="Z486">
        <v>4695.7</v>
      </c>
      <c r="AA486">
        <v>3871.69</v>
      </c>
      <c r="AB486">
        <v>824.01</v>
      </c>
      <c r="AC486" t="s">
        <v>186</v>
      </c>
      <c r="AD486" t="s">
        <v>76</v>
      </c>
      <c r="AE486">
        <f>ROUND((U486*V486)-(U486*V486*Y486),2)</f>
        <v>4695.71</v>
      </c>
      <c r="AF486">
        <f>AE486-AA486</f>
        <v>824.02</v>
      </c>
      <c r="AG486" s="7">
        <f>ROUND((AF486/AE486),4)</f>
        <v>0.17549999999999999</v>
      </c>
      <c r="AH486">
        <f>IF(AND(C486&lt;&gt;"",E486&lt;&gt;""),E486 - C486,"")</f>
        <v>1</v>
      </c>
      <c r="AI486" t="str">
        <f>IF(C486="","",TEXT(C486, "mmmm"))</f>
        <v>November</v>
      </c>
      <c r="AJ486">
        <f>IF(C486="","",YEAR(C486))</f>
        <v>2024</v>
      </c>
      <c r="AM486" t="str">
        <f>IF(AN486="","clean","")</f>
        <v>clean</v>
      </c>
    </row>
    <row r="487" spans="1:40">
      <c r="A487" t="s">
        <v>3473</v>
      </c>
      <c r="B487" t="s">
        <v>4105</v>
      </c>
      <c r="C487" s="6">
        <v>45342</v>
      </c>
      <c r="D487" t="s">
        <v>2483</v>
      </c>
      <c r="E487" s="6">
        <v>45344</v>
      </c>
      <c r="F487" t="s">
        <v>3316</v>
      </c>
      <c r="G487" t="s">
        <v>90</v>
      </c>
      <c r="H487" t="s">
        <v>90</v>
      </c>
      <c r="I487" t="s">
        <v>40</v>
      </c>
      <c r="J487" t="s">
        <v>40</v>
      </c>
      <c r="K487" t="s">
        <v>60</v>
      </c>
      <c r="L487" t="str">
        <f>IF(TRIM(K487)="","Unknown",PROPER(TRIM(K487)))</f>
        <v>South</v>
      </c>
      <c r="M487" t="s">
        <v>61</v>
      </c>
      <c r="N487" t="s">
        <v>62</v>
      </c>
      <c r="O487" t="s">
        <v>83</v>
      </c>
      <c r="P487" t="str">
        <f>IF(TRIM(O487)="","Unknown",PROPER(TRIM(O487)))</f>
        <v>Technology</v>
      </c>
      <c r="Q487" t="s">
        <v>84</v>
      </c>
      <c r="R487" t="s">
        <v>3474</v>
      </c>
      <c r="S487" t="s">
        <v>55</v>
      </c>
      <c r="T487" t="str">
        <f>IF(TRIM(S487)="","Unknown",PROPER(TRIM(S487)))</f>
        <v>First Class</v>
      </c>
      <c r="U487">
        <v>9</v>
      </c>
      <c r="V487">
        <v>2186.23</v>
      </c>
      <c r="W487">
        <v>0</v>
      </c>
      <c r="Y487">
        <v>0</v>
      </c>
      <c r="Z487">
        <v>19676.07</v>
      </c>
      <c r="AA487">
        <v>12458.62</v>
      </c>
      <c r="AB487">
        <v>7217.45</v>
      </c>
      <c r="AC487" t="s">
        <v>119</v>
      </c>
      <c r="AD487" t="s">
        <v>76</v>
      </c>
      <c r="AE487">
        <f>ROUND((U487*V487)-(U487*V487*Y487),2)</f>
        <v>19676.07</v>
      </c>
      <c r="AF487">
        <f>AE487-AA487</f>
        <v>7217.4499999999989</v>
      </c>
      <c r="AG487" s="7">
        <f>ROUND((AF487/AE487),4)</f>
        <v>0.36680000000000001</v>
      </c>
      <c r="AH487">
        <f>IF(AND(C487&lt;&gt;"",E487&lt;&gt;""),E487 - C487,"")</f>
        <v>2</v>
      </c>
      <c r="AI487" t="str">
        <f>IF(C487="","",TEXT(C487, "mmmm"))</f>
        <v>February</v>
      </c>
      <c r="AJ487">
        <f>IF(C487="","",YEAR(C487))</f>
        <v>2024</v>
      </c>
      <c r="AM487" t="str">
        <f>IF(AN487="","clean","")</f>
        <v>clean</v>
      </c>
      <c r="AN487" t="s">
        <v>3595</v>
      </c>
    </row>
    <row r="488" spans="1:40">
      <c r="A488" t="s">
        <v>3475</v>
      </c>
      <c r="B488" t="s">
        <v>3068</v>
      </c>
      <c r="C488" s="6">
        <v>45597</v>
      </c>
      <c r="D488" t="s">
        <v>3476</v>
      </c>
      <c r="E488" s="6">
        <v>45598</v>
      </c>
      <c r="F488" t="s">
        <v>2600</v>
      </c>
      <c r="G488" t="s">
        <v>24</v>
      </c>
      <c r="H488" t="s">
        <v>24</v>
      </c>
      <c r="I488" t="s">
        <v>104</v>
      </c>
      <c r="J488" t="s">
        <v>104</v>
      </c>
      <c r="K488" t="s">
        <v>41</v>
      </c>
      <c r="L488" t="str">
        <f>IF(TRIM(K488)="","Unknown",PROPER(TRIM(K488)))</f>
        <v>East</v>
      </c>
      <c r="M488" t="s">
        <v>116</v>
      </c>
      <c r="N488" t="s">
        <v>117</v>
      </c>
      <c r="O488" t="s">
        <v>44</v>
      </c>
      <c r="P488" t="str">
        <f>IF(TRIM(O488)="","Unknown",PROPER(TRIM(O488)))</f>
        <v>Furniture</v>
      </c>
      <c r="Q488" t="s">
        <v>63</v>
      </c>
      <c r="R488" t="s">
        <v>3477</v>
      </c>
      <c r="S488" t="s">
        <v>65</v>
      </c>
      <c r="T488" t="str">
        <f>IF(TRIM(S488)="","Unknown",PROPER(TRIM(S488)))</f>
        <v>Standard Class</v>
      </c>
      <c r="U488">
        <v>5</v>
      </c>
      <c r="V488">
        <v>2212.02</v>
      </c>
      <c r="W488">
        <v>0.2</v>
      </c>
      <c r="Y488">
        <v>0.2</v>
      </c>
      <c r="Z488">
        <v>8848.08</v>
      </c>
      <c r="AA488">
        <v>5691.56</v>
      </c>
      <c r="AB488">
        <v>3156.52</v>
      </c>
      <c r="AC488" t="s">
        <v>33</v>
      </c>
      <c r="AD488" t="s">
        <v>34</v>
      </c>
      <c r="AE488">
        <f>ROUND((U488*V488)-(U488*V488*Y488),2)</f>
        <v>8848.08</v>
      </c>
      <c r="AF488">
        <f>AE488-AA488</f>
        <v>3156.5199999999995</v>
      </c>
      <c r="AG488" s="7">
        <f>ROUND((AF488/AE488),4)</f>
        <v>0.35670000000000002</v>
      </c>
      <c r="AH488">
        <f>IF(AND(C488&lt;&gt;"",E488&lt;&gt;""),E488 - C488,"")</f>
        <v>1</v>
      </c>
      <c r="AI488" t="str">
        <f>IF(C488="","",TEXT(C488, "mmmm"))</f>
        <v>November</v>
      </c>
      <c r="AJ488">
        <f>IF(C488="","",YEAR(C488))</f>
        <v>2024</v>
      </c>
      <c r="AM488" t="str">
        <f>IF(AN488="","clean","")</f>
        <v>clean</v>
      </c>
      <c r="AN488" t="s">
        <v>3595</v>
      </c>
    </row>
    <row r="489" spans="1:40">
      <c r="A489" t="s">
        <v>3485</v>
      </c>
      <c r="B489" t="s">
        <v>4107</v>
      </c>
      <c r="C489" s="6">
        <v>45514</v>
      </c>
      <c r="D489" t="s">
        <v>3486</v>
      </c>
      <c r="E489" s="6">
        <v>45515</v>
      </c>
      <c r="F489" t="s">
        <v>3487</v>
      </c>
      <c r="G489" t="s">
        <v>39</v>
      </c>
      <c r="H489" t="s">
        <v>39</v>
      </c>
      <c r="I489" t="s">
        <v>104</v>
      </c>
      <c r="J489" t="s">
        <v>104</v>
      </c>
      <c r="K489" t="s">
        <v>71</v>
      </c>
      <c r="L489" t="str">
        <f>IF(TRIM(K489)="","Unknown",PROPER(TRIM(K489)))</f>
        <v>West</v>
      </c>
      <c r="M489" t="s">
        <v>72</v>
      </c>
      <c r="N489" t="s">
        <v>73</v>
      </c>
      <c r="O489" t="s">
        <v>83</v>
      </c>
      <c r="P489" t="str">
        <f>IF(TRIM(O489)="","Unknown",PROPER(TRIM(O489)))</f>
        <v>Technology</v>
      </c>
      <c r="Q489" t="s">
        <v>91</v>
      </c>
      <c r="R489" t="s">
        <v>3488</v>
      </c>
      <c r="S489" t="s">
        <v>55</v>
      </c>
      <c r="T489" t="str">
        <f>IF(TRIM(S489)="","Unknown",PROPER(TRIM(S489)))</f>
        <v>First Class</v>
      </c>
      <c r="U489">
        <v>7</v>
      </c>
      <c r="V489">
        <v>3852.62</v>
      </c>
      <c r="W489">
        <v>0.2</v>
      </c>
      <c r="Y489">
        <v>0.2</v>
      </c>
      <c r="Z489">
        <v>21574.67</v>
      </c>
      <c r="AA489">
        <v>14672.83</v>
      </c>
      <c r="AB489">
        <v>6901.84</v>
      </c>
      <c r="AC489" t="s">
        <v>33</v>
      </c>
      <c r="AD489" t="s">
        <v>34</v>
      </c>
      <c r="AE489">
        <f>ROUND((U489*V489)-(U489*V489*Y489),2)</f>
        <v>21574.67</v>
      </c>
      <c r="AF489">
        <f>AE489-AA489</f>
        <v>6901.8399999999983</v>
      </c>
      <c r="AG489" s="7">
        <f>ROUND((AF489/AE489),4)</f>
        <v>0.31990000000000002</v>
      </c>
      <c r="AH489">
        <f>IF(AND(C489&lt;&gt;"",E489&lt;&gt;""),E489 - C489,"")</f>
        <v>1</v>
      </c>
      <c r="AI489" t="str">
        <f>IF(C489="","",TEXT(C489, "mmmm"))</f>
        <v>August</v>
      </c>
      <c r="AJ489">
        <f>IF(C489="","",YEAR(C489))</f>
        <v>2024</v>
      </c>
      <c r="AM489" t="str">
        <f>IF(AN489="","clean","")</f>
        <v>clean</v>
      </c>
      <c r="AN489" t="s">
        <v>3595</v>
      </c>
    </row>
    <row r="490" spans="1:40">
      <c r="A490" t="s">
        <v>3489</v>
      </c>
      <c r="B490" t="s">
        <v>4108</v>
      </c>
      <c r="C490" s="6">
        <v>45614</v>
      </c>
      <c r="D490" t="s">
        <v>3490</v>
      </c>
      <c r="F490" t="s">
        <v>3491</v>
      </c>
      <c r="G490" t="s">
        <v>136</v>
      </c>
      <c r="H490" t="s">
        <v>136</v>
      </c>
      <c r="I490" t="s">
        <v>25</v>
      </c>
      <c r="J490" t="s">
        <v>25</v>
      </c>
      <c r="K490" t="s">
        <v>71</v>
      </c>
      <c r="L490" t="str">
        <f>IF(TRIM(K490)="","Unknown",PROPER(TRIM(K490)))</f>
        <v>West</v>
      </c>
      <c r="M490" t="s">
        <v>27</v>
      </c>
      <c r="N490" t="s">
        <v>129</v>
      </c>
      <c r="O490" t="s">
        <v>44</v>
      </c>
      <c r="P490" t="str">
        <f>IF(TRIM(O490)="","Unknown",PROPER(TRIM(O490)))</f>
        <v>Furniture</v>
      </c>
      <c r="Q490" t="s">
        <v>74</v>
      </c>
      <c r="R490" t="s">
        <v>1137</v>
      </c>
      <c r="S490" t="s">
        <v>55</v>
      </c>
      <c r="T490" t="str">
        <f>IF(TRIM(S490)="","Unknown",PROPER(TRIM(S490)))</f>
        <v>First Class</v>
      </c>
      <c r="U490">
        <v>6</v>
      </c>
      <c r="V490">
        <v>3790.22</v>
      </c>
      <c r="W490">
        <v>0</v>
      </c>
      <c r="Y490">
        <v>0</v>
      </c>
      <c r="Z490">
        <v>22741.32</v>
      </c>
      <c r="AA490">
        <v>16388.57</v>
      </c>
      <c r="AB490">
        <v>6352.75</v>
      </c>
      <c r="AC490" t="s">
        <v>33</v>
      </c>
      <c r="AD490" t="s">
        <v>34</v>
      </c>
      <c r="AE490">
        <f>ROUND((U490*V490)-(U490*V490*Y490),2)</f>
        <v>22741.32</v>
      </c>
      <c r="AF490">
        <f>AE490-AA490</f>
        <v>6352.75</v>
      </c>
      <c r="AG490" s="7">
        <f>ROUND((AF490/AE490),4)</f>
        <v>0.27929999999999999</v>
      </c>
      <c r="AH490" t="str">
        <f>IF(AND(C490&lt;&gt;"",E490&lt;&gt;""),E490 - C490,"")</f>
        <v/>
      </c>
      <c r="AI490" t="str">
        <f>IF(C490="","",TEXT(C490, "mmmm"))</f>
        <v>November</v>
      </c>
      <c r="AJ490">
        <f>IF(C490="","",YEAR(C490))</f>
        <v>2024</v>
      </c>
      <c r="AM490" t="s">
        <v>4144</v>
      </c>
      <c r="AN490" t="s">
        <v>4136</v>
      </c>
    </row>
    <row r="491" spans="1:40">
      <c r="A491" t="s">
        <v>3495</v>
      </c>
      <c r="B491" t="s">
        <v>1793</v>
      </c>
      <c r="C491" s="6">
        <v>45313</v>
      </c>
      <c r="D491" t="s">
        <v>1793</v>
      </c>
      <c r="E491" s="6">
        <v>45313</v>
      </c>
      <c r="F491" t="s">
        <v>3496</v>
      </c>
      <c r="G491" t="s">
        <v>24</v>
      </c>
      <c r="H491" t="s">
        <v>24</v>
      </c>
      <c r="I491" t="s">
        <v>104</v>
      </c>
      <c r="J491" t="s">
        <v>104</v>
      </c>
      <c r="K491" t="s">
        <v>41</v>
      </c>
      <c r="L491" t="str">
        <f>IF(TRIM(K491)="","Unknown",PROPER(TRIM(K491)))</f>
        <v>East</v>
      </c>
      <c r="M491" t="s">
        <v>116</v>
      </c>
      <c r="N491" t="s">
        <v>117</v>
      </c>
      <c r="O491" t="s">
        <v>29</v>
      </c>
      <c r="P491" t="str">
        <f>IF(TRIM(O491)="","Unknown",PROPER(TRIM(O491)))</f>
        <v>Office Supplies</v>
      </c>
      <c r="Q491" t="s">
        <v>30</v>
      </c>
      <c r="R491" t="s">
        <v>3497</v>
      </c>
      <c r="S491" t="s">
        <v>55</v>
      </c>
      <c r="T491" t="str">
        <f>IF(TRIM(S491)="","Unknown",PROPER(TRIM(S491)))</f>
        <v>First Class</v>
      </c>
      <c r="U491">
        <v>8</v>
      </c>
      <c r="V491">
        <v>1557.21</v>
      </c>
      <c r="W491">
        <v>0.05</v>
      </c>
      <c r="Y491">
        <v>0.05</v>
      </c>
      <c r="Z491">
        <v>11834.8</v>
      </c>
      <c r="AA491">
        <v>9322.36</v>
      </c>
      <c r="AB491">
        <v>2512.44</v>
      </c>
      <c r="AC491" t="s">
        <v>33</v>
      </c>
      <c r="AD491" t="s">
        <v>34</v>
      </c>
      <c r="AE491">
        <f>ROUND((U491*V491)-(U491*V491*Y491),2)</f>
        <v>11834.8</v>
      </c>
      <c r="AF491">
        <f>AE491-AA491</f>
        <v>2512.4399999999987</v>
      </c>
      <c r="AG491" s="7">
        <f>ROUND((AF491/AE491),4)</f>
        <v>0.21229999999999999</v>
      </c>
      <c r="AH491">
        <f>IF(AND(C491&lt;&gt;"",E491&lt;&gt;""),E491 - C491,"")</f>
        <v>0</v>
      </c>
      <c r="AI491" t="str">
        <f>IF(C491="","",TEXT(C491, "mmmm"))</f>
        <v>January</v>
      </c>
      <c r="AJ491">
        <f>IF(C491="","",YEAR(C491))</f>
        <v>2024</v>
      </c>
      <c r="AM491" t="str">
        <f>IF(AN491="","clean","")</f>
        <v>clean</v>
      </c>
      <c r="AN491" t="s">
        <v>3595</v>
      </c>
    </row>
    <row r="492" spans="1:40">
      <c r="A492" t="s">
        <v>3501</v>
      </c>
      <c r="B492" t="s">
        <v>4111</v>
      </c>
      <c r="C492" s="6">
        <v>45359</v>
      </c>
      <c r="D492" t="s">
        <v>991</v>
      </c>
      <c r="E492" s="6">
        <v>45366</v>
      </c>
      <c r="F492" t="s">
        <v>3502</v>
      </c>
      <c r="G492" t="s">
        <v>153</v>
      </c>
      <c r="H492" t="s">
        <v>153</v>
      </c>
      <c r="I492" t="s">
        <v>40</v>
      </c>
      <c r="J492" t="s">
        <v>40</v>
      </c>
      <c r="L492" t="str">
        <f>IF(TRIM(K492)="","Unknown",PROPER(TRIM(K492)))</f>
        <v>Unknown</v>
      </c>
      <c r="M492" t="s">
        <v>146</v>
      </c>
      <c r="N492" t="s">
        <v>147</v>
      </c>
      <c r="O492" t="s">
        <v>44</v>
      </c>
      <c r="P492" t="str">
        <f>IF(TRIM(O492)="","Unknown",PROPER(TRIM(O492)))</f>
        <v>Furniture</v>
      </c>
      <c r="Q492" t="s">
        <v>74</v>
      </c>
      <c r="R492" t="s">
        <v>3503</v>
      </c>
      <c r="S492" t="s">
        <v>55</v>
      </c>
      <c r="T492" t="str">
        <f>IF(TRIM(S492)="","Unknown",PROPER(TRIM(S492)))</f>
        <v>First Class</v>
      </c>
      <c r="U492">
        <v>5</v>
      </c>
      <c r="V492">
        <v>3234.77</v>
      </c>
      <c r="W492">
        <v>0</v>
      </c>
      <c r="Y492">
        <v>0</v>
      </c>
      <c r="Z492">
        <v>16173.85</v>
      </c>
      <c r="AA492">
        <v>13636.34</v>
      </c>
      <c r="AB492">
        <v>2537.5100000000002</v>
      </c>
      <c r="AC492" t="s">
        <v>33</v>
      </c>
      <c r="AD492" t="s">
        <v>34</v>
      </c>
      <c r="AE492">
        <f>ROUND((U492*V492)-(U492*V492*Y492),2)</f>
        <v>16173.85</v>
      </c>
      <c r="AF492">
        <f>AE492-AA492</f>
        <v>2537.5100000000002</v>
      </c>
      <c r="AG492" s="7">
        <f>ROUND((AF492/AE492),4)</f>
        <v>0.15690000000000001</v>
      </c>
      <c r="AH492">
        <f>IF(AND(C492&lt;&gt;"",E492&lt;&gt;""),E492 - C492,"")</f>
        <v>7</v>
      </c>
      <c r="AI492" t="str">
        <f>IF(C492="","",TEXT(C492, "mmmm"))</f>
        <v>March</v>
      </c>
      <c r="AJ492">
        <f>IF(C492="","",YEAR(C492))</f>
        <v>2024</v>
      </c>
      <c r="AM492" t="s">
        <v>4145</v>
      </c>
      <c r="AN492" t="s">
        <v>3597</v>
      </c>
    </row>
    <row r="493" spans="1:40">
      <c r="A493" t="s">
        <v>3504</v>
      </c>
      <c r="B493" t="s">
        <v>2225</v>
      </c>
      <c r="C493" s="6">
        <v>45627</v>
      </c>
      <c r="D493" t="s">
        <v>3505</v>
      </c>
      <c r="E493" s="6">
        <v>45631</v>
      </c>
      <c r="F493" t="s">
        <v>3506</v>
      </c>
      <c r="G493" t="s">
        <v>70</v>
      </c>
      <c r="H493" t="s">
        <v>70</v>
      </c>
      <c r="I493" t="s">
        <v>40</v>
      </c>
      <c r="J493" t="s">
        <v>40</v>
      </c>
      <c r="K493" t="s">
        <v>60</v>
      </c>
      <c r="L493" t="str">
        <f>IF(TRIM(K493)="","Unknown",PROPER(TRIM(K493)))</f>
        <v>South</v>
      </c>
      <c r="M493" t="s">
        <v>97</v>
      </c>
      <c r="N493" t="s">
        <v>98</v>
      </c>
      <c r="O493" t="s">
        <v>83</v>
      </c>
      <c r="P493" t="str">
        <f>IF(TRIM(O493)="","Unknown",PROPER(TRIM(O493)))</f>
        <v>Technology</v>
      </c>
      <c r="Q493" t="s">
        <v>91</v>
      </c>
      <c r="R493" t="s">
        <v>3507</v>
      </c>
      <c r="S493" t="s">
        <v>32</v>
      </c>
      <c r="T493" t="str">
        <f>IF(TRIM(S493)="","Unknown",PROPER(TRIM(S493)))</f>
        <v>Second Class</v>
      </c>
      <c r="U493">
        <v>9</v>
      </c>
      <c r="V493">
        <v>3726.75</v>
      </c>
      <c r="W493">
        <v>0.25</v>
      </c>
      <c r="Y493">
        <v>0.25</v>
      </c>
      <c r="Z493">
        <v>25155.56</v>
      </c>
      <c r="AA493">
        <v>17592.689999999999</v>
      </c>
      <c r="AB493">
        <v>7562.87</v>
      </c>
      <c r="AC493" t="s">
        <v>33</v>
      </c>
      <c r="AD493" t="s">
        <v>34</v>
      </c>
      <c r="AE493">
        <f>ROUND((U493*V493)-(U493*V493*Y493),2)</f>
        <v>25155.56</v>
      </c>
      <c r="AF493">
        <f>AE493-AA493</f>
        <v>7562.8700000000026</v>
      </c>
      <c r="AG493" s="7">
        <f>ROUND((AF493/AE493),4)</f>
        <v>0.30059999999999998</v>
      </c>
      <c r="AH493">
        <f>IF(AND(C493&lt;&gt;"",E493&lt;&gt;""),E493 - C493,"")</f>
        <v>4</v>
      </c>
      <c r="AI493" t="str">
        <f>IF(C493="","",TEXT(C493, "mmmm"))</f>
        <v>December</v>
      </c>
      <c r="AJ493">
        <f>IF(C493="","",YEAR(C493))</f>
        <v>2024</v>
      </c>
      <c r="AM493" t="str">
        <f>IF(AN493="","clean","")</f>
        <v>clean</v>
      </c>
      <c r="AN493" t="s">
        <v>3595</v>
      </c>
    </row>
    <row r="494" spans="1:40">
      <c r="A494" t="s">
        <v>3519</v>
      </c>
      <c r="B494" t="s">
        <v>3520</v>
      </c>
      <c r="C494" s="6">
        <v>45296</v>
      </c>
      <c r="D494" t="s">
        <v>3520</v>
      </c>
      <c r="E494" s="6">
        <v>45296</v>
      </c>
      <c r="F494" t="s">
        <v>3521</v>
      </c>
      <c r="G494" t="s">
        <v>196</v>
      </c>
      <c r="H494" t="s">
        <v>196</v>
      </c>
      <c r="I494" t="s">
        <v>25</v>
      </c>
      <c r="J494" t="s">
        <v>25</v>
      </c>
      <c r="K494" t="s">
        <v>26</v>
      </c>
      <c r="L494" t="str">
        <f>IF(TRIM(K494)="","Unknown",PROPER(TRIM(K494)))</f>
        <v>North</v>
      </c>
      <c r="M494" t="s">
        <v>27</v>
      </c>
      <c r="N494" t="s">
        <v>28</v>
      </c>
      <c r="O494" t="s">
        <v>44</v>
      </c>
      <c r="P494" t="str">
        <f>IF(TRIM(O494)="","Unknown",PROPER(TRIM(O494)))</f>
        <v>Furniture</v>
      </c>
      <c r="Q494" t="s">
        <v>45</v>
      </c>
      <c r="R494" t="s">
        <v>3522</v>
      </c>
      <c r="S494" t="s">
        <v>65</v>
      </c>
      <c r="T494" t="str">
        <f>IF(TRIM(S494)="","Unknown",PROPER(TRIM(S494)))</f>
        <v>Standard Class</v>
      </c>
      <c r="U494">
        <v>1</v>
      </c>
      <c r="V494">
        <v>2167.08</v>
      </c>
      <c r="W494">
        <v>0.25</v>
      </c>
      <c r="Y494">
        <v>0.25</v>
      </c>
      <c r="Z494">
        <v>1625.31</v>
      </c>
      <c r="AA494">
        <v>1157.8900000000001</v>
      </c>
      <c r="AB494">
        <v>467.42</v>
      </c>
      <c r="AC494" t="s">
        <v>33</v>
      </c>
      <c r="AD494" t="s">
        <v>34</v>
      </c>
      <c r="AE494">
        <f>ROUND((U494*V494)-(U494*V494*Y494),2)</f>
        <v>1625.31</v>
      </c>
      <c r="AF494">
        <f>AE494-AA494</f>
        <v>467.41999999999985</v>
      </c>
      <c r="AG494" s="7">
        <f>ROUND((AF494/AE494),4)</f>
        <v>0.28760000000000002</v>
      </c>
      <c r="AH494">
        <f>IF(AND(C494&lt;&gt;"",E494&lt;&gt;""),E494 - C494,"")</f>
        <v>0</v>
      </c>
      <c r="AI494" t="str">
        <f>IF(C494="","",TEXT(C494, "mmmm"))</f>
        <v>January</v>
      </c>
      <c r="AJ494">
        <f>IF(C494="","",YEAR(C494))</f>
        <v>2024</v>
      </c>
      <c r="AM494" t="str">
        <f>IF(AN494="","clean","")</f>
        <v>clean</v>
      </c>
      <c r="AN494" t="s">
        <v>3595</v>
      </c>
    </row>
    <row r="495" spans="1:40">
      <c r="A495" t="s">
        <v>3527</v>
      </c>
      <c r="B495" t="s">
        <v>4097</v>
      </c>
      <c r="C495" s="6">
        <v>45455</v>
      </c>
      <c r="D495" t="s">
        <v>609</v>
      </c>
      <c r="E495" s="6">
        <v>45461</v>
      </c>
      <c r="F495" t="s">
        <v>3528</v>
      </c>
      <c r="G495" t="s">
        <v>153</v>
      </c>
      <c r="H495" t="s">
        <v>153</v>
      </c>
      <c r="I495" t="s">
        <v>40</v>
      </c>
      <c r="J495" t="s">
        <v>40</v>
      </c>
      <c r="K495" t="s">
        <v>60</v>
      </c>
      <c r="L495" t="str">
        <f>IF(TRIM(K495)="","Unknown",PROPER(TRIM(K495)))</f>
        <v>South</v>
      </c>
      <c r="M495" t="s">
        <v>97</v>
      </c>
      <c r="N495" t="s">
        <v>98</v>
      </c>
      <c r="O495" t="s">
        <v>29</v>
      </c>
      <c r="P495" t="str">
        <f>IF(TRIM(O495)="","Unknown",PROPER(TRIM(O495)))</f>
        <v>Office Supplies</v>
      </c>
      <c r="Q495" t="s">
        <v>53</v>
      </c>
      <c r="R495" t="s">
        <v>3529</v>
      </c>
      <c r="S495" t="s">
        <v>65</v>
      </c>
      <c r="T495" t="str">
        <f>IF(TRIM(S495)="","Unknown",PROPER(TRIM(S495)))</f>
        <v>Standard Class</v>
      </c>
      <c r="U495">
        <v>4</v>
      </c>
      <c r="V495">
        <v>4176.13</v>
      </c>
      <c r="W495">
        <v>0</v>
      </c>
      <c r="Y495">
        <v>0</v>
      </c>
      <c r="Z495">
        <v>16704.52</v>
      </c>
      <c r="AA495">
        <v>10158.280000000001</v>
      </c>
      <c r="AB495">
        <v>6546.24</v>
      </c>
      <c r="AC495" t="s">
        <v>33</v>
      </c>
      <c r="AD495" t="s">
        <v>34</v>
      </c>
      <c r="AE495">
        <f>ROUND((U495*V495)-(U495*V495*Y495),2)</f>
        <v>16704.52</v>
      </c>
      <c r="AF495">
        <f>AE495-AA495</f>
        <v>6546.24</v>
      </c>
      <c r="AG495" s="7">
        <f>ROUND((AF495/AE495),4)</f>
        <v>0.39190000000000003</v>
      </c>
      <c r="AH495">
        <f>IF(AND(C495&lt;&gt;"",E495&lt;&gt;""),E495 - C495,"")</f>
        <v>6</v>
      </c>
      <c r="AI495" t="str">
        <f>IF(C495="","",TEXT(C495, "mmmm"))</f>
        <v>June</v>
      </c>
      <c r="AJ495">
        <f>IF(C495="","",YEAR(C495))</f>
        <v>2024</v>
      </c>
      <c r="AM495" t="str">
        <f>IF(AN495="","clean","")</f>
        <v>clean</v>
      </c>
      <c r="AN495" t="s">
        <v>3595</v>
      </c>
    </row>
    <row r="496" spans="1:40">
      <c r="A496" t="s">
        <v>3536</v>
      </c>
      <c r="B496" t="s">
        <v>151</v>
      </c>
      <c r="C496" s="6">
        <v>45427</v>
      </c>
      <c r="D496" t="s">
        <v>1006</v>
      </c>
      <c r="F496" t="s">
        <v>3537</v>
      </c>
      <c r="G496" t="s">
        <v>24</v>
      </c>
      <c r="H496" t="s">
        <v>24</v>
      </c>
      <c r="I496" t="s">
        <v>25</v>
      </c>
      <c r="J496" t="s">
        <v>25</v>
      </c>
      <c r="K496" t="s">
        <v>71</v>
      </c>
      <c r="L496" t="str">
        <f>IF(TRIM(K496)="","Unknown",PROPER(TRIM(K496)))</f>
        <v>West</v>
      </c>
      <c r="M496" t="s">
        <v>230</v>
      </c>
      <c r="N496" t="s">
        <v>231</v>
      </c>
      <c r="O496" t="s">
        <v>29</v>
      </c>
      <c r="P496" t="str">
        <f>IF(TRIM(O496)="","Unknown",PROPER(TRIM(O496)))</f>
        <v>Office Supplies</v>
      </c>
      <c r="Q496" t="s">
        <v>148</v>
      </c>
      <c r="R496" t="s">
        <v>3538</v>
      </c>
      <c r="S496" t="s">
        <v>65</v>
      </c>
      <c r="T496" t="str">
        <f>IF(TRIM(S496)="","Unknown",PROPER(TRIM(S496)))</f>
        <v>Standard Class</v>
      </c>
      <c r="U496">
        <v>6</v>
      </c>
      <c r="V496">
        <v>2909.56</v>
      </c>
      <c r="W496">
        <v>0.2</v>
      </c>
      <c r="Y496">
        <v>0.2</v>
      </c>
      <c r="Z496">
        <v>13965.89</v>
      </c>
      <c r="AA496">
        <v>11646.12</v>
      </c>
      <c r="AB496">
        <v>2319.77</v>
      </c>
      <c r="AC496" t="s">
        <v>33</v>
      </c>
      <c r="AD496" t="s">
        <v>34</v>
      </c>
      <c r="AE496">
        <f>ROUND((U496*V496)-(U496*V496*Y496),2)</f>
        <v>13965.89</v>
      </c>
      <c r="AF496">
        <f>AE496-AA496</f>
        <v>2319.7699999999986</v>
      </c>
      <c r="AG496" s="7">
        <f>ROUND((AF496/AE496),4)</f>
        <v>0.1661</v>
      </c>
      <c r="AH496" t="str">
        <f>IF(AND(C496&lt;&gt;"",E496&lt;&gt;""),E496 - C496,"")</f>
        <v/>
      </c>
      <c r="AI496" t="str">
        <f>IF(C496="","",TEXT(C496, "mmmm"))</f>
        <v>May</v>
      </c>
      <c r="AJ496">
        <f>IF(C496="","",YEAR(C496))</f>
        <v>2024</v>
      </c>
      <c r="AM496" t="s">
        <v>4144</v>
      </c>
      <c r="AN496" t="s">
        <v>4136</v>
      </c>
    </row>
    <row r="497" spans="1:40">
      <c r="A497" t="s">
        <v>3539</v>
      </c>
      <c r="B497" t="s">
        <v>3301</v>
      </c>
      <c r="C497" s="6">
        <v>45573</v>
      </c>
      <c r="D497" t="s">
        <v>2241</v>
      </c>
      <c r="E497" s="6">
        <v>45574</v>
      </c>
      <c r="F497" t="s">
        <v>3540</v>
      </c>
      <c r="G497" t="s">
        <v>334</v>
      </c>
      <c r="H497" t="s">
        <v>334</v>
      </c>
      <c r="I497" t="s">
        <v>104</v>
      </c>
      <c r="J497" t="s">
        <v>104</v>
      </c>
      <c r="K497" t="s">
        <v>60</v>
      </c>
      <c r="L497" t="str">
        <f>IF(TRIM(K497)="","Unknown",PROPER(TRIM(K497)))</f>
        <v>South</v>
      </c>
      <c r="M497" t="s">
        <v>309</v>
      </c>
      <c r="N497" t="s">
        <v>310</v>
      </c>
      <c r="O497" t="s">
        <v>83</v>
      </c>
      <c r="P497" t="str">
        <f>IF(TRIM(O497)="","Unknown",PROPER(TRIM(O497)))</f>
        <v>Technology</v>
      </c>
      <c r="Q497" t="s">
        <v>347</v>
      </c>
      <c r="R497" t="s">
        <v>3541</v>
      </c>
      <c r="S497" t="s">
        <v>47</v>
      </c>
      <c r="T497" t="str">
        <f>IF(TRIM(S497)="","Unknown",PROPER(TRIM(S497)))</f>
        <v>Same Day</v>
      </c>
      <c r="U497">
        <v>5</v>
      </c>
      <c r="V497">
        <v>2407.9699999999998</v>
      </c>
      <c r="W497">
        <v>0.1</v>
      </c>
      <c r="Y497">
        <v>0.1</v>
      </c>
      <c r="Z497">
        <v>10835.86</v>
      </c>
      <c r="AA497">
        <v>6419.92</v>
      </c>
      <c r="AB497">
        <v>4415.9399999999996</v>
      </c>
      <c r="AC497" t="s">
        <v>186</v>
      </c>
      <c r="AD497" t="s">
        <v>76</v>
      </c>
      <c r="AE497">
        <f>ROUND((U497*V497)-(U497*V497*Y497),2)</f>
        <v>10835.87</v>
      </c>
      <c r="AF497">
        <f>AE497-AA497</f>
        <v>4415.9500000000007</v>
      </c>
      <c r="AG497" s="7">
        <f>ROUND((AF497/AE497),4)</f>
        <v>0.40749999999999997</v>
      </c>
      <c r="AH497">
        <f>IF(AND(C497&lt;&gt;"",E497&lt;&gt;""),E497 - C497,"")</f>
        <v>1</v>
      </c>
      <c r="AI497" t="str">
        <f>IF(C497="","",TEXT(C497, "mmmm"))</f>
        <v>October</v>
      </c>
      <c r="AJ497">
        <f>IF(C497="","",YEAR(C497))</f>
        <v>2024</v>
      </c>
      <c r="AM497" t="str">
        <f>IF(AN497="","clean","")</f>
        <v>clean</v>
      </c>
    </row>
    <row r="498" spans="1:40">
      <c r="A498" t="s">
        <v>3545</v>
      </c>
      <c r="B498" t="s">
        <v>4119</v>
      </c>
      <c r="C498" s="6">
        <v>45449</v>
      </c>
      <c r="D498" t="s">
        <v>3546</v>
      </c>
      <c r="E498" s="6">
        <v>45451</v>
      </c>
      <c r="F498" t="s">
        <v>3547</v>
      </c>
      <c r="G498" t="s">
        <v>153</v>
      </c>
      <c r="H498" t="s">
        <v>153</v>
      </c>
      <c r="I498" t="s">
        <v>104</v>
      </c>
      <c r="J498" t="s">
        <v>104</v>
      </c>
      <c r="K498" t="s">
        <v>60</v>
      </c>
      <c r="L498" t="str">
        <f>IF(TRIM(K498)="","Unknown",PROPER(TRIM(K498)))</f>
        <v>South</v>
      </c>
      <c r="M498" t="s">
        <v>212</v>
      </c>
      <c r="N498" t="s">
        <v>213</v>
      </c>
      <c r="O498" t="s">
        <v>44</v>
      </c>
      <c r="P498" t="str">
        <f>IF(TRIM(O498)="","Unknown",PROPER(TRIM(O498)))</f>
        <v>Furniture</v>
      </c>
      <c r="Q498" t="s">
        <v>45</v>
      </c>
      <c r="R498" t="s">
        <v>3548</v>
      </c>
      <c r="S498" t="s">
        <v>32</v>
      </c>
      <c r="T498" t="str">
        <f>IF(TRIM(S498)="","Unknown",PROPER(TRIM(S498)))</f>
        <v>Second Class</v>
      </c>
      <c r="U498">
        <v>3</v>
      </c>
      <c r="V498">
        <v>395.49</v>
      </c>
      <c r="W498">
        <v>0.05</v>
      </c>
      <c r="Y498">
        <v>0.05</v>
      </c>
      <c r="Z498">
        <v>1127.1500000000001</v>
      </c>
      <c r="AA498">
        <v>845.62</v>
      </c>
      <c r="AB498">
        <v>281.52999999999997</v>
      </c>
      <c r="AC498" t="s">
        <v>33</v>
      </c>
      <c r="AD498" t="s">
        <v>120</v>
      </c>
      <c r="AE498">
        <f>ROUND((U498*V498)-(U498*V498*Y498),2)</f>
        <v>1127.1500000000001</v>
      </c>
      <c r="AF498">
        <f>AE498-AA498</f>
        <v>281.53000000000009</v>
      </c>
      <c r="AG498" s="7">
        <f>ROUND((AF498/AE498),4)</f>
        <v>0.24979999999999999</v>
      </c>
      <c r="AH498">
        <f>IF(AND(C498&lt;&gt;"",E498&lt;&gt;""),E498 - C498,"")</f>
        <v>2</v>
      </c>
      <c r="AI498" t="str">
        <f>IF(C498="","",TEXT(C498, "mmmm"))</f>
        <v>June</v>
      </c>
      <c r="AJ498">
        <f>IF(C498="","",YEAR(C498))</f>
        <v>2024</v>
      </c>
      <c r="AM498" t="str">
        <f>IF(AN498="","clean","")</f>
        <v>clean</v>
      </c>
      <c r="AN498" t="s">
        <v>3595</v>
      </c>
    </row>
    <row r="499" spans="1:40">
      <c r="A499" t="s">
        <v>3549</v>
      </c>
      <c r="B499" t="s">
        <v>1713</v>
      </c>
      <c r="C499" s="6">
        <v>45344</v>
      </c>
      <c r="D499" t="s">
        <v>3550</v>
      </c>
      <c r="E499" s="6">
        <v>45351</v>
      </c>
      <c r="F499" t="s">
        <v>3551</v>
      </c>
      <c r="G499" t="s">
        <v>52</v>
      </c>
      <c r="H499" t="s">
        <v>52</v>
      </c>
      <c r="I499" t="s">
        <v>110</v>
      </c>
      <c r="J499" t="s">
        <v>110</v>
      </c>
      <c r="K499" t="s">
        <v>60</v>
      </c>
      <c r="L499" t="str">
        <f>IF(TRIM(K499)="","Unknown",PROPER(TRIM(K499)))</f>
        <v>South</v>
      </c>
      <c r="M499" t="s">
        <v>61</v>
      </c>
      <c r="N499" t="s">
        <v>62</v>
      </c>
      <c r="O499" t="s">
        <v>44</v>
      </c>
      <c r="P499" t="str">
        <f>IF(TRIM(O499)="","Unknown",PROPER(TRIM(O499)))</f>
        <v>Furniture</v>
      </c>
      <c r="Q499" t="s">
        <v>45</v>
      </c>
      <c r="R499" t="s">
        <v>3552</v>
      </c>
      <c r="S499" t="s">
        <v>55</v>
      </c>
      <c r="T499" t="str">
        <f>IF(TRIM(S499)="","Unknown",PROPER(TRIM(S499)))</f>
        <v>First Class</v>
      </c>
      <c r="U499">
        <v>6</v>
      </c>
      <c r="V499">
        <v>4254.05</v>
      </c>
      <c r="W499">
        <v>0</v>
      </c>
      <c r="Y499">
        <v>0</v>
      </c>
      <c r="Z499">
        <v>25524.3</v>
      </c>
      <c r="AA499">
        <v>16711.93</v>
      </c>
      <c r="AB499">
        <v>8812.3700000000008</v>
      </c>
      <c r="AC499" t="s">
        <v>33</v>
      </c>
      <c r="AD499" t="s">
        <v>34</v>
      </c>
      <c r="AE499">
        <f>ROUND((U499*V499)-(U499*V499*Y499),2)</f>
        <v>25524.3</v>
      </c>
      <c r="AF499">
        <f>AE499-AA499</f>
        <v>8812.369999999999</v>
      </c>
      <c r="AG499" s="7">
        <f>ROUND((AF499/AE499),4)</f>
        <v>0.3453</v>
      </c>
      <c r="AH499">
        <f>IF(AND(C499&lt;&gt;"",E499&lt;&gt;""),E499 - C499,"")</f>
        <v>7</v>
      </c>
      <c r="AI499" t="str">
        <f>IF(C499="","",TEXT(C499, "mmmm"))</f>
        <v>February</v>
      </c>
      <c r="AJ499">
        <f>IF(C499="","",YEAR(C499))</f>
        <v>2024</v>
      </c>
      <c r="AM499" t="str">
        <f>IF(AN499="","clean","")</f>
        <v>clean</v>
      </c>
      <c r="AN499" t="s">
        <v>3595</v>
      </c>
    </row>
    <row r="500" spans="1:40">
      <c r="A500" t="s">
        <v>3553</v>
      </c>
      <c r="B500" t="s">
        <v>4120</v>
      </c>
      <c r="C500" s="6">
        <v>45601</v>
      </c>
      <c r="D500" t="s">
        <v>101</v>
      </c>
      <c r="E500" s="6">
        <v>45606</v>
      </c>
      <c r="F500" t="s">
        <v>3554</v>
      </c>
      <c r="G500" t="s">
        <v>59</v>
      </c>
      <c r="H500" t="s">
        <v>59</v>
      </c>
      <c r="I500" t="s">
        <v>25</v>
      </c>
      <c r="J500" t="s">
        <v>25</v>
      </c>
      <c r="K500" t="s">
        <v>60</v>
      </c>
      <c r="L500" t="str">
        <f>IF(TRIM(K500)="","Unknown",PROPER(TRIM(K500)))</f>
        <v>South</v>
      </c>
      <c r="M500" t="s">
        <v>224</v>
      </c>
      <c r="N500" t="s">
        <v>225</v>
      </c>
      <c r="O500" t="s">
        <v>44</v>
      </c>
      <c r="P500" t="str">
        <f>IF(TRIM(O500)="","Unknown",PROPER(TRIM(O500)))</f>
        <v>Furniture</v>
      </c>
      <c r="Q500" t="s">
        <v>74</v>
      </c>
      <c r="R500" t="s">
        <v>3555</v>
      </c>
      <c r="S500" t="s">
        <v>47</v>
      </c>
      <c r="T500" t="str">
        <f>IF(TRIM(S500)="","Unknown",PROPER(TRIM(S500)))</f>
        <v>Same Day</v>
      </c>
      <c r="U500">
        <v>4</v>
      </c>
      <c r="V500">
        <v>711.18</v>
      </c>
      <c r="W500">
        <v>0.15</v>
      </c>
      <c r="Y500">
        <v>0.15</v>
      </c>
      <c r="Z500">
        <v>2418.0100000000002</v>
      </c>
      <c r="AA500">
        <v>1441.89</v>
      </c>
      <c r="AB500">
        <v>976.12</v>
      </c>
      <c r="AC500" t="s">
        <v>131</v>
      </c>
      <c r="AD500" t="s">
        <v>120</v>
      </c>
      <c r="AE500">
        <f>ROUND((U500*V500)-(U500*V500*Y500),2)</f>
        <v>2418.0100000000002</v>
      </c>
      <c r="AF500">
        <f>AE500-AA500</f>
        <v>976.12000000000012</v>
      </c>
      <c r="AG500" s="7">
        <f>ROUND((AF500/AE500),4)</f>
        <v>0.4037</v>
      </c>
      <c r="AH500">
        <f>IF(AND(C500&lt;&gt;"",E500&lt;&gt;""),E500 - C500,"")</f>
        <v>5</v>
      </c>
      <c r="AI500" t="str">
        <f>IF(C500="","",TEXT(C500, "mmmm"))</f>
        <v>November</v>
      </c>
      <c r="AJ500">
        <f>IF(C500="","",YEAR(C500))</f>
        <v>2024</v>
      </c>
      <c r="AM500" t="str">
        <f>IF(AN500="","clean","")</f>
        <v>clean</v>
      </c>
      <c r="AN500" t="s">
        <v>3595</v>
      </c>
    </row>
    <row r="501" spans="1:40">
      <c r="A501" t="s">
        <v>3556</v>
      </c>
      <c r="B501" t="s">
        <v>4121</v>
      </c>
      <c r="C501" s="6">
        <v>45650</v>
      </c>
      <c r="D501" t="s">
        <v>2068</v>
      </c>
      <c r="F501" t="s">
        <v>3557</v>
      </c>
      <c r="G501" t="s">
        <v>70</v>
      </c>
      <c r="H501" t="s">
        <v>70</v>
      </c>
      <c r="I501" t="s">
        <v>40</v>
      </c>
      <c r="J501" t="s">
        <v>40</v>
      </c>
      <c r="K501" t="s">
        <v>60</v>
      </c>
      <c r="L501" t="str">
        <f>IF(TRIM(K501)="","Unknown",PROPER(TRIM(K501)))</f>
        <v>South</v>
      </c>
      <c r="M501" t="s">
        <v>309</v>
      </c>
      <c r="N501" t="s">
        <v>310</v>
      </c>
      <c r="O501" t="s">
        <v>83</v>
      </c>
      <c r="P501" t="str">
        <f>IF(TRIM(O501)="","Unknown",PROPER(TRIM(O501)))</f>
        <v>Technology</v>
      </c>
      <c r="Q501" t="s">
        <v>91</v>
      </c>
      <c r="R501" t="s">
        <v>3558</v>
      </c>
      <c r="S501" t="s">
        <v>32</v>
      </c>
      <c r="T501" t="str">
        <f>IF(TRIM(S501)="","Unknown",PROPER(TRIM(S501)))</f>
        <v>Second Class</v>
      </c>
      <c r="U501">
        <v>1</v>
      </c>
      <c r="V501">
        <v>3693.03</v>
      </c>
      <c r="W501">
        <v>0.05</v>
      </c>
      <c r="Y501">
        <v>0.05</v>
      </c>
      <c r="Z501">
        <v>3508.38</v>
      </c>
      <c r="AA501">
        <v>2828.06</v>
      </c>
      <c r="AB501">
        <v>680.32</v>
      </c>
      <c r="AC501" t="s">
        <v>186</v>
      </c>
      <c r="AD501" t="s">
        <v>120</v>
      </c>
      <c r="AE501">
        <f>ROUND((U501*V501)-(U501*V501*Y501),2)</f>
        <v>3508.38</v>
      </c>
      <c r="AF501">
        <f>AE501-AA501</f>
        <v>680.32000000000016</v>
      </c>
      <c r="AG501" s="7">
        <f>ROUND((AF501/AE501),4)</f>
        <v>0.19389999999999999</v>
      </c>
      <c r="AH501" t="str">
        <f>IF(AND(C501&lt;&gt;"",E501&lt;&gt;""),E501 - C501,"")</f>
        <v/>
      </c>
      <c r="AI501" t="str">
        <f>IF(C501="","",TEXT(C501, "mmmm"))</f>
        <v>December</v>
      </c>
      <c r="AJ501">
        <f>IF(C501="","",YEAR(C501))</f>
        <v>2024</v>
      </c>
      <c r="AM501" t="s">
        <v>4144</v>
      </c>
      <c r="AN501" t="s">
        <v>4136</v>
      </c>
    </row>
    <row r="502" spans="1:40">
      <c r="A502" t="s">
        <v>3562</v>
      </c>
      <c r="B502" t="s">
        <v>3185</v>
      </c>
      <c r="C502" s="6">
        <v>45445</v>
      </c>
      <c r="D502" t="s">
        <v>49</v>
      </c>
      <c r="E502" s="6">
        <v>45451</v>
      </c>
      <c r="F502" t="s">
        <v>3563</v>
      </c>
      <c r="G502" t="s">
        <v>80</v>
      </c>
      <c r="H502" t="s">
        <v>80</v>
      </c>
      <c r="I502" t="s">
        <v>25</v>
      </c>
      <c r="J502" t="s">
        <v>25</v>
      </c>
      <c r="K502" t="s">
        <v>26</v>
      </c>
      <c r="L502" t="str">
        <f>IF(TRIM(K502)="","Unknown",PROPER(TRIM(K502)))</f>
        <v>North</v>
      </c>
      <c r="M502" t="s">
        <v>454</v>
      </c>
      <c r="N502" t="s">
        <v>455</v>
      </c>
      <c r="O502" t="s">
        <v>44</v>
      </c>
      <c r="P502" t="str">
        <f>IF(TRIM(O502)="","Unknown",PROPER(TRIM(O502)))</f>
        <v>Furniture</v>
      </c>
      <c r="Q502" t="s">
        <v>45</v>
      </c>
      <c r="R502" t="s">
        <v>3564</v>
      </c>
      <c r="S502" t="s">
        <v>55</v>
      </c>
      <c r="T502" t="str">
        <f>IF(TRIM(S502)="","Unknown",PROPER(TRIM(S502)))</f>
        <v>First Class</v>
      </c>
      <c r="U502">
        <v>4</v>
      </c>
      <c r="V502">
        <v>1536.7</v>
      </c>
      <c r="W502">
        <v>0.2</v>
      </c>
      <c r="Y502">
        <v>0.2</v>
      </c>
      <c r="Z502">
        <v>4917.4399999999996</v>
      </c>
      <c r="AA502">
        <v>3846.77</v>
      </c>
      <c r="AB502">
        <v>1070.67</v>
      </c>
      <c r="AC502" t="s">
        <v>33</v>
      </c>
      <c r="AD502" t="s">
        <v>34</v>
      </c>
      <c r="AE502">
        <f>ROUND((U502*V502)-(U502*V502*Y502),2)</f>
        <v>4917.4399999999996</v>
      </c>
      <c r="AF502">
        <f>AE502-AA502</f>
        <v>1070.6699999999996</v>
      </c>
      <c r="AG502" s="7">
        <f>ROUND((AF502/AE502),4)</f>
        <v>0.2177</v>
      </c>
      <c r="AH502">
        <f>IF(AND(C502&lt;&gt;"",E502&lt;&gt;""),E502 - C502,"")</f>
        <v>6</v>
      </c>
      <c r="AI502" t="str">
        <f>IF(C502="","",TEXT(C502, "mmmm"))</f>
        <v>June</v>
      </c>
      <c r="AJ502">
        <f>IF(C502="","",YEAR(C502))</f>
        <v>2024</v>
      </c>
      <c r="AM502" t="str">
        <f>IF(AN502="","clean","")</f>
        <v>clean</v>
      </c>
      <c r="AN502" t="s">
        <v>3595</v>
      </c>
    </row>
    <row r="503" spans="1:40">
      <c r="A503" t="s">
        <v>66</v>
      </c>
      <c r="B503" t="s">
        <v>67</v>
      </c>
      <c r="C503" s="6">
        <v>45898</v>
      </c>
      <c r="D503" t="s">
        <v>68</v>
      </c>
      <c r="E503" s="6">
        <v>45901</v>
      </c>
      <c r="F503" t="s">
        <v>69</v>
      </c>
      <c r="G503" t="s">
        <v>70</v>
      </c>
      <c r="H503" t="s">
        <v>70</v>
      </c>
      <c r="I503" t="s">
        <v>40</v>
      </c>
      <c r="J503" t="s">
        <v>40</v>
      </c>
      <c r="K503" t="s">
        <v>71</v>
      </c>
      <c r="L503" t="str">
        <f>IF(TRIM(K503)="","Unknown",PROPER(TRIM(K503)))</f>
        <v>West</v>
      </c>
      <c r="M503" t="s">
        <v>72</v>
      </c>
      <c r="N503" t="s">
        <v>73</v>
      </c>
      <c r="O503" t="s">
        <v>44</v>
      </c>
      <c r="P503" t="str">
        <f>IF(TRIM(O503)="","Unknown",PROPER(TRIM(O503)))</f>
        <v>Furniture</v>
      </c>
      <c r="Q503" t="s">
        <v>74</v>
      </c>
      <c r="R503" t="s">
        <v>75</v>
      </c>
      <c r="S503" t="s">
        <v>55</v>
      </c>
      <c r="T503" t="str">
        <f>IF(TRIM(S503)="","Unknown",PROPER(TRIM(S503)))</f>
        <v>First Class</v>
      </c>
      <c r="U503">
        <v>7</v>
      </c>
      <c r="V503">
        <v>2973.76</v>
      </c>
      <c r="W503">
        <v>0</v>
      </c>
      <c r="Y503">
        <v>0</v>
      </c>
      <c r="Z503">
        <v>20816.32</v>
      </c>
      <c r="AA503">
        <v>17705.37</v>
      </c>
      <c r="AB503">
        <v>3110.95</v>
      </c>
      <c r="AC503" t="s">
        <v>33</v>
      </c>
      <c r="AD503" t="s">
        <v>76</v>
      </c>
      <c r="AE503">
        <f>ROUND((U503*V503)-(U503*V503*Y503),2)</f>
        <v>20816.32</v>
      </c>
      <c r="AF503">
        <f>AE503-AA503</f>
        <v>3110.9500000000007</v>
      </c>
      <c r="AG503" s="7">
        <f>ROUND((AF503/AE503),4)</f>
        <v>0.14940000000000001</v>
      </c>
      <c r="AH503">
        <f>IF(AND(C503&lt;&gt;"",E503&lt;&gt;""),E503 - C503,"")</f>
        <v>3</v>
      </c>
      <c r="AI503" t="str">
        <f>IF(C503="","",TEXT(C503, "mmmm"))</f>
        <v>August</v>
      </c>
      <c r="AJ503">
        <f>IF(C503="","",YEAR(C503))</f>
        <v>2025</v>
      </c>
      <c r="AM503" t="str">
        <f>IF(AN503="","clean","")</f>
        <v>clean</v>
      </c>
      <c r="AN503" t="s">
        <v>3595</v>
      </c>
    </row>
    <row r="504" spans="1:40">
      <c r="A504" t="s">
        <v>86</v>
      </c>
      <c r="B504" t="s">
        <v>87</v>
      </c>
      <c r="C504" s="6">
        <v>45757</v>
      </c>
      <c r="D504" t="s">
        <v>88</v>
      </c>
      <c r="E504" s="6">
        <v>45763</v>
      </c>
      <c r="F504" t="s">
        <v>89</v>
      </c>
      <c r="G504" t="s">
        <v>90</v>
      </c>
      <c r="H504" t="s">
        <v>90</v>
      </c>
      <c r="I504" t="s">
        <v>25</v>
      </c>
      <c r="J504" t="s">
        <v>25</v>
      </c>
      <c r="K504" t="s">
        <v>41</v>
      </c>
      <c r="L504" t="str">
        <f>IF(TRIM(K504)="","Unknown",PROPER(TRIM(K504)))</f>
        <v>East</v>
      </c>
      <c r="M504" t="s">
        <v>42</v>
      </c>
      <c r="N504" t="s">
        <v>43</v>
      </c>
      <c r="O504" t="s">
        <v>83</v>
      </c>
      <c r="P504" t="str">
        <f>IF(TRIM(O504)="","Unknown",PROPER(TRIM(O504)))</f>
        <v>Technology</v>
      </c>
      <c r="Q504" t="s">
        <v>91</v>
      </c>
      <c r="R504" t="s">
        <v>92</v>
      </c>
      <c r="S504" t="s">
        <v>65</v>
      </c>
      <c r="T504" t="str">
        <f>IF(TRIM(S504)="","Unknown",PROPER(TRIM(S504)))</f>
        <v>Standard Class</v>
      </c>
      <c r="U504">
        <v>4</v>
      </c>
      <c r="V504">
        <v>1719.87</v>
      </c>
      <c r="W504">
        <v>0.15</v>
      </c>
      <c r="Y504">
        <v>0.15</v>
      </c>
      <c r="Z504">
        <v>5847.56</v>
      </c>
      <c r="AA504">
        <v>4727.25</v>
      </c>
      <c r="AB504">
        <v>1120.31</v>
      </c>
      <c r="AC504" t="s">
        <v>33</v>
      </c>
      <c r="AD504" t="s">
        <v>34</v>
      </c>
      <c r="AE504">
        <f>ROUND((U504*V504)-(U504*V504*Y504),2)</f>
        <v>5847.56</v>
      </c>
      <c r="AF504">
        <f>AE504-AA504</f>
        <v>1120.3100000000004</v>
      </c>
      <c r="AG504" s="7">
        <f>ROUND((AF504/AE504),4)</f>
        <v>0.19159999999999999</v>
      </c>
      <c r="AH504">
        <f>IF(AND(C504&lt;&gt;"",E504&lt;&gt;""),E504 - C504,"")</f>
        <v>6</v>
      </c>
      <c r="AI504" t="str">
        <f>IF(C504="","",TEXT(C504, "mmmm"))</f>
        <v>April</v>
      </c>
      <c r="AJ504">
        <f>IF(C504="","",YEAR(C504))</f>
        <v>2025</v>
      </c>
      <c r="AM504" t="str">
        <f>IF(AN504="","clean","")</f>
        <v>clean</v>
      </c>
      <c r="AN504" t="s">
        <v>3595</v>
      </c>
    </row>
    <row r="505" spans="1:40">
      <c r="A505" t="s">
        <v>86</v>
      </c>
      <c r="B505" t="s">
        <v>87</v>
      </c>
      <c r="C505" s="6">
        <v>45757</v>
      </c>
      <c r="D505" t="s">
        <v>88</v>
      </c>
      <c r="E505" s="6">
        <v>45763</v>
      </c>
      <c r="F505" t="s">
        <v>89</v>
      </c>
      <c r="G505" t="s">
        <v>90</v>
      </c>
      <c r="H505" t="s">
        <v>90</v>
      </c>
      <c r="I505" t="s">
        <v>25</v>
      </c>
      <c r="J505" t="s">
        <v>25</v>
      </c>
      <c r="K505" t="s">
        <v>41</v>
      </c>
      <c r="L505" t="str">
        <f>IF(TRIM(K505)="","Unknown",PROPER(TRIM(K505)))</f>
        <v>East</v>
      </c>
      <c r="M505" t="s">
        <v>42</v>
      </c>
      <c r="N505" t="s">
        <v>43</v>
      </c>
      <c r="O505" t="s">
        <v>83</v>
      </c>
      <c r="P505" t="str">
        <f>IF(TRIM(O505)="","Unknown",PROPER(TRIM(O505)))</f>
        <v>Technology</v>
      </c>
      <c r="Q505" t="s">
        <v>91</v>
      </c>
      <c r="R505" t="s">
        <v>92</v>
      </c>
      <c r="S505" t="s">
        <v>65</v>
      </c>
      <c r="T505" t="str">
        <f>IF(TRIM(S505)="","Unknown",PROPER(TRIM(S505)))</f>
        <v>Standard Class</v>
      </c>
      <c r="U505">
        <v>4</v>
      </c>
      <c r="V505">
        <v>1719.87</v>
      </c>
      <c r="W505">
        <v>0.15</v>
      </c>
      <c r="Y505">
        <v>0.15</v>
      </c>
      <c r="Z505">
        <v>5847.56</v>
      </c>
      <c r="AA505">
        <v>4727.25</v>
      </c>
      <c r="AB505">
        <v>1120.31</v>
      </c>
      <c r="AC505" t="s">
        <v>33</v>
      </c>
      <c r="AD505" t="s">
        <v>34</v>
      </c>
      <c r="AE505">
        <f>ROUND((U505*V505)-(U505*V505*Y505),2)</f>
        <v>5847.56</v>
      </c>
      <c r="AF505">
        <f>AE505-AA505</f>
        <v>1120.3100000000004</v>
      </c>
      <c r="AG505" s="7">
        <f>ROUND((AF505/AE505),4)</f>
        <v>0.19159999999999999</v>
      </c>
      <c r="AH505">
        <f>IF(AND(C505&lt;&gt;"",E505&lt;&gt;""),E505 - C505,"")</f>
        <v>6</v>
      </c>
      <c r="AI505" t="str">
        <f>IF(C505="","",TEXT(C505, "mmmm"))</f>
        <v>April</v>
      </c>
      <c r="AJ505">
        <f>IF(C505="","",YEAR(C505))</f>
        <v>2025</v>
      </c>
      <c r="AL505" t="s">
        <v>4152</v>
      </c>
      <c r="AM505" t="s">
        <v>4144</v>
      </c>
      <c r="AN505" t="s">
        <v>4149</v>
      </c>
    </row>
    <row r="506" spans="1:40">
      <c r="A506" t="s">
        <v>93</v>
      </c>
      <c r="B506" t="s">
        <v>94</v>
      </c>
      <c r="C506" s="6">
        <v>45711</v>
      </c>
      <c r="D506" t="s">
        <v>95</v>
      </c>
      <c r="F506" t="s">
        <v>96</v>
      </c>
      <c r="G506" t="s">
        <v>52</v>
      </c>
      <c r="H506" t="s">
        <v>52</v>
      </c>
      <c r="I506" t="s">
        <v>40</v>
      </c>
      <c r="J506" t="s">
        <v>40</v>
      </c>
      <c r="K506" t="s">
        <v>60</v>
      </c>
      <c r="L506" t="str">
        <f>IF(TRIM(K506)="","Unknown",PROPER(TRIM(K506)))</f>
        <v>South</v>
      </c>
      <c r="M506" t="s">
        <v>97</v>
      </c>
      <c r="N506" t="s">
        <v>98</v>
      </c>
      <c r="O506" t="s">
        <v>29</v>
      </c>
      <c r="P506" t="str">
        <f>IF(TRIM(O506)="","Unknown",PROPER(TRIM(O506)))</f>
        <v>Office Supplies</v>
      </c>
      <c r="Q506" t="s">
        <v>53</v>
      </c>
      <c r="R506" t="s">
        <v>99</v>
      </c>
      <c r="S506" t="s">
        <v>55</v>
      </c>
      <c r="T506" t="str">
        <f>IF(TRIM(S506)="","Unknown",PROPER(TRIM(S506)))</f>
        <v>First Class</v>
      </c>
      <c r="U506">
        <v>1</v>
      </c>
      <c r="V506">
        <v>2980.71</v>
      </c>
      <c r="W506">
        <v>0</v>
      </c>
      <c r="Y506">
        <v>0</v>
      </c>
      <c r="Z506">
        <v>2980.71</v>
      </c>
      <c r="AA506">
        <v>2357.2199999999998</v>
      </c>
      <c r="AB506">
        <v>623.49</v>
      </c>
      <c r="AC506" t="s">
        <v>33</v>
      </c>
      <c r="AD506" t="s">
        <v>34</v>
      </c>
      <c r="AE506">
        <f>ROUND((U506*V506)-(U506*V506*Y506),2)</f>
        <v>2980.71</v>
      </c>
      <c r="AF506">
        <f>AE506-AA506</f>
        <v>623.49000000000024</v>
      </c>
      <c r="AG506" s="7">
        <f>ROUND((AF506/AE506),4)</f>
        <v>0.2092</v>
      </c>
      <c r="AH506" t="str">
        <f>IF(AND(C506&lt;&gt;"",E506&lt;&gt;""),E506 - C506,"")</f>
        <v/>
      </c>
      <c r="AI506" t="str">
        <f>IF(C506="","",TEXT(C506, "mmmm"))</f>
        <v>February</v>
      </c>
      <c r="AJ506">
        <f>IF(C506="","",YEAR(C506))</f>
        <v>2025</v>
      </c>
      <c r="AM506" t="s">
        <v>4144</v>
      </c>
      <c r="AN506" t="s">
        <v>4136</v>
      </c>
    </row>
    <row r="507" spans="1:40">
      <c r="A507" t="s">
        <v>107</v>
      </c>
      <c r="B507" t="s">
        <v>3607</v>
      </c>
      <c r="C507" s="6">
        <v>45907</v>
      </c>
      <c r="D507" t="s">
        <v>108</v>
      </c>
      <c r="E507" s="6">
        <v>45912</v>
      </c>
      <c r="F507" t="s">
        <v>109</v>
      </c>
      <c r="G507" t="s">
        <v>39</v>
      </c>
      <c r="H507" t="s">
        <v>39</v>
      </c>
      <c r="I507" t="s">
        <v>110</v>
      </c>
      <c r="J507" t="s">
        <v>110</v>
      </c>
      <c r="K507" t="s">
        <v>60</v>
      </c>
      <c r="L507" t="str">
        <f>IF(TRIM(K507)="","Unknown",PROPER(TRIM(K507)))</f>
        <v>South</v>
      </c>
      <c r="M507" t="s">
        <v>61</v>
      </c>
      <c r="N507" t="s">
        <v>62</v>
      </c>
      <c r="O507" t="s">
        <v>29</v>
      </c>
      <c r="P507" t="str">
        <f>IF(TRIM(O507)="","Unknown",PROPER(TRIM(O507)))</f>
        <v>Office Supplies</v>
      </c>
      <c r="Q507" t="s">
        <v>30</v>
      </c>
      <c r="R507" t="s">
        <v>111</v>
      </c>
      <c r="S507" t="s">
        <v>32</v>
      </c>
      <c r="T507" t="str">
        <f>IF(TRIM(S507)="","Unknown",PROPER(TRIM(S507)))</f>
        <v>Second Class</v>
      </c>
      <c r="U507">
        <v>9</v>
      </c>
      <c r="V507">
        <v>852.04</v>
      </c>
      <c r="W507">
        <v>0.2</v>
      </c>
      <c r="Y507">
        <v>0.2</v>
      </c>
      <c r="Z507">
        <v>6134.69</v>
      </c>
      <c r="AA507">
        <v>3800.19</v>
      </c>
      <c r="AB507">
        <v>2334.5</v>
      </c>
      <c r="AC507" t="s">
        <v>33</v>
      </c>
      <c r="AD507" t="s">
        <v>34</v>
      </c>
      <c r="AE507">
        <f>ROUND((U507*V507)-(U507*V507*Y507),2)</f>
        <v>6134.69</v>
      </c>
      <c r="AF507">
        <f>AE507-AA507</f>
        <v>2334.4999999999995</v>
      </c>
      <c r="AG507" s="7">
        <f>ROUND((AF507/AE507),4)</f>
        <v>0.3805</v>
      </c>
      <c r="AH507">
        <f>IF(AND(C507&lt;&gt;"",E507&lt;&gt;""),E507 - C507,"")</f>
        <v>5</v>
      </c>
      <c r="AI507" t="str">
        <f>IF(C507="","",TEXT(C507, "mmmm"))</f>
        <v>September</v>
      </c>
      <c r="AJ507">
        <f>IF(C507="","",YEAR(C507))</f>
        <v>2025</v>
      </c>
      <c r="AM507" t="str">
        <f>IF(AN507="","clean","")</f>
        <v>clean</v>
      </c>
      <c r="AN507" t="s">
        <v>3595</v>
      </c>
    </row>
    <row r="508" spans="1:40">
      <c r="A508" t="s">
        <v>112</v>
      </c>
      <c r="B508" t="s">
        <v>113</v>
      </c>
      <c r="C508" s="6">
        <v>45797</v>
      </c>
      <c r="D508" t="s">
        <v>114</v>
      </c>
      <c r="E508" s="6">
        <v>45797</v>
      </c>
      <c r="F508" t="s">
        <v>115</v>
      </c>
      <c r="G508" t="s">
        <v>70</v>
      </c>
      <c r="H508" t="s">
        <v>70</v>
      </c>
      <c r="I508" t="s">
        <v>104</v>
      </c>
      <c r="J508" t="s">
        <v>104</v>
      </c>
      <c r="K508" t="s">
        <v>41</v>
      </c>
      <c r="L508" t="str">
        <f>IF(TRIM(K508)="","Unknown",PROPER(TRIM(K508)))</f>
        <v>East</v>
      </c>
      <c r="M508" t="s">
        <v>116</v>
      </c>
      <c r="N508" t="s">
        <v>117</v>
      </c>
      <c r="O508" t="s">
        <v>29</v>
      </c>
      <c r="P508" t="str">
        <f>IF(TRIM(O508)="","Unknown",PROPER(TRIM(O508)))</f>
        <v>Office Supplies</v>
      </c>
      <c r="Q508" t="s">
        <v>105</v>
      </c>
      <c r="R508" t="s">
        <v>118</v>
      </c>
      <c r="S508" t="s">
        <v>32</v>
      </c>
      <c r="T508" t="str">
        <f>IF(TRIM(S508)="","Unknown",PROPER(TRIM(S508)))</f>
        <v>Second Class</v>
      </c>
      <c r="U508">
        <v>3</v>
      </c>
      <c r="V508">
        <v>3534.83</v>
      </c>
      <c r="W508">
        <v>0.05</v>
      </c>
      <c r="Y508">
        <v>0.05</v>
      </c>
      <c r="Z508">
        <v>10074.27</v>
      </c>
      <c r="AA508">
        <v>6048.27</v>
      </c>
      <c r="AB508">
        <v>4026</v>
      </c>
      <c r="AC508" t="s">
        <v>119</v>
      </c>
      <c r="AD508" t="s">
        <v>120</v>
      </c>
      <c r="AE508">
        <f>ROUND((U508*V508)-(U508*V508*Y508),2)</f>
        <v>10074.27</v>
      </c>
      <c r="AF508">
        <f>AE508-AA508</f>
        <v>4026</v>
      </c>
      <c r="AG508" s="7">
        <f>ROUND((AF508/AE508),4)</f>
        <v>0.39960000000000001</v>
      </c>
      <c r="AH508">
        <f>IF(AND(C508&lt;&gt;"",E508&lt;&gt;""),E508 - C508,"")</f>
        <v>0</v>
      </c>
      <c r="AI508" t="str">
        <f>IF(C508="","",TEXT(C508, "mmmm"))</f>
        <v>May</v>
      </c>
      <c r="AJ508">
        <f>IF(C508="","",YEAR(C508))</f>
        <v>2025</v>
      </c>
      <c r="AM508" t="str">
        <f>IF(AN508="","clean","")</f>
        <v>clean</v>
      </c>
      <c r="AN508" t="s">
        <v>3595</v>
      </c>
    </row>
    <row r="509" spans="1:40">
      <c r="A509" t="s">
        <v>132</v>
      </c>
      <c r="B509" t="s">
        <v>133</v>
      </c>
      <c r="C509" s="6">
        <v>45942</v>
      </c>
      <c r="D509" t="s">
        <v>134</v>
      </c>
      <c r="E509" s="6">
        <v>45946</v>
      </c>
      <c r="F509" t="s">
        <v>135</v>
      </c>
      <c r="G509" t="s">
        <v>136</v>
      </c>
      <c r="H509" t="s">
        <v>136</v>
      </c>
      <c r="I509" t="s">
        <v>40</v>
      </c>
      <c r="J509" t="s">
        <v>40</v>
      </c>
      <c r="K509" t="s">
        <v>71</v>
      </c>
      <c r="L509" t="str">
        <f>IF(TRIM(K509)="","Unknown",PROPER(TRIM(K509)))</f>
        <v>West</v>
      </c>
      <c r="M509" t="s">
        <v>72</v>
      </c>
      <c r="N509" t="s">
        <v>73</v>
      </c>
      <c r="O509" t="s">
        <v>29</v>
      </c>
      <c r="P509" t="str">
        <f>IF(TRIM(O509)="","Unknown",PROPER(TRIM(O509)))</f>
        <v>Office Supplies</v>
      </c>
      <c r="Q509" t="s">
        <v>53</v>
      </c>
      <c r="R509" t="s">
        <v>137</v>
      </c>
      <c r="S509" t="s">
        <v>32</v>
      </c>
      <c r="T509" t="str">
        <f>IF(TRIM(S509)="","Unknown",PROPER(TRIM(S509)))</f>
        <v>Second Class</v>
      </c>
      <c r="U509">
        <v>7</v>
      </c>
      <c r="V509">
        <v>3964.72</v>
      </c>
      <c r="W509">
        <v>0.05</v>
      </c>
      <c r="Y509">
        <v>0.05</v>
      </c>
      <c r="Z509">
        <v>26365.39</v>
      </c>
      <c r="AA509">
        <v>22306.240000000002</v>
      </c>
      <c r="AB509">
        <v>4059.15</v>
      </c>
      <c r="AC509" t="s">
        <v>33</v>
      </c>
      <c r="AD509" t="s">
        <v>34</v>
      </c>
      <c r="AE509">
        <f>ROUND((U509*V509)-(U509*V509*Y509),2)</f>
        <v>26365.39</v>
      </c>
      <c r="AF509">
        <f>AE509-AA509</f>
        <v>4059.1499999999978</v>
      </c>
      <c r="AG509" s="7">
        <f>ROUND((AF509/AE509),4)</f>
        <v>0.154</v>
      </c>
      <c r="AH509">
        <f>IF(AND(C509&lt;&gt;"",E509&lt;&gt;""),E509 - C509,"")</f>
        <v>4</v>
      </c>
      <c r="AI509" t="str">
        <f>IF(C509="","",TEXT(C509, "mmmm"))</f>
        <v>October</v>
      </c>
      <c r="AJ509">
        <f>IF(C509="","",YEAR(C509))</f>
        <v>2025</v>
      </c>
      <c r="AM509" t="str">
        <f>IF(AN509="","clean","")</f>
        <v>clean</v>
      </c>
      <c r="AN509" t="s">
        <v>3595</v>
      </c>
    </row>
    <row r="510" spans="1:40">
      <c r="A510" t="s">
        <v>160</v>
      </c>
      <c r="B510" t="s">
        <v>3613</v>
      </c>
      <c r="C510" s="6">
        <v>45853</v>
      </c>
      <c r="D510" t="s">
        <v>161</v>
      </c>
      <c r="E510" s="6">
        <v>45855</v>
      </c>
      <c r="F510" t="s">
        <v>162</v>
      </c>
      <c r="G510" t="s">
        <v>153</v>
      </c>
      <c r="H510" t="s">
        <v>153</v>
      </c>
      <c r="I510" t="s">
        <v>110</v>
      </c>
      <c r="J510" t="s">
        <v>110</v>
      </c>
      <c r="K510" t="s">
        <v>26</v>
      </c>
      <c r="L510" t="str">
        <f>IF(TRIM(K510)="","Unknown",PROPER(TRIM(K510)))</f>
        <v>North</v>
      </c>
      <c r="M510" t="s">
        <v>163</v>
      </c>
      <c r="N510" t="s">
        <v>164</v>
      </c>
      <c r="O510" t="s">
        <v>83</v>
      </c>
      <c r="P510" t="str">
        <f>IF(TRIM(O510)="","Unknown",PROPER(TRIM(O510)))</f>
        <v>Technology</v>
      </c>
      <c r="Q510" t="s">
        <v>91</v>
      </c>
      <c r="R510" t="s">
        <v>165</v>
      </c>
      <c r="S510" t="s">
        <v>55</v>
      </c>
      <c r="T510" t="str">
        <f>IF(TRIM(S510)="","Unknown",PROPER(TRIM(S510)))</f>
        <v>First Class</v>
      </c>
      <c r="U510">
        <v>2</v>
      </c>
      <c r="V510">
        <v>1997.99</v>
      </c>
      <c r="W510">
        <v>0</v>
      </c>
      <c r="Y510">
        <v>0</v>
      </c>
      <c r="Z510">
        <v>3995.98</v>
      </c>
      <c r="AA510">
        <v>2633.2</v>
      </c>
      <c r="AB510">
        <v>1362.78</v>
      </c>
      <c r="AC510" t="s">
        <v>119</v>
      </c>
      <c r="AD510" t="s">
        <v>76</v>
      </c>
      <c r="AE510">
        <f>ROUND((U510*V510)-(U510*V510*Y510),2)</f>
        <v>3995.98</v>
      </c>
      <c r="AF510">
        <f>AE510-AA510</f>
        <v>1362.7800000000002</v>
      </c>
      <c r="AG510" s="7">
        <f>ROUND((AF510/AE510),4)</f>
        <v>0.34100000000000003</v>
      </c>
      <c r="AH510">
        <f>IF(AND(C510&lt;&gt;"",E510&lt;&gt;""),E510 - C510,"")</f>
        <v>2</v>
      </c>
      <c r="AI510" t="str">
        <f>IF(C510="","",TEXT(C510, "mmmm"))</f>
        <v>July</v>
      </c>
      <c r="AJ510">
        <f>IF(C510="","",YEAR(C510))</f>
        <v>2025</v>
      </c>
      <c r="AM510" t="str">
        <f>IF(AN510="","clean","")</f>
        <v>clean</v>
      </c>
      <c r="AN510" t="s">
        <v>3595</v>
      </c>
    </row>
    <row r="511" spans="1:40">
      <c r="A511" t="s">
        <v>171</v>
      </c>
      <c r="B511" t="s">
        <v>3614</v>
      </c>
      <c r="D511" t="s">
        <v>172</v>
      </c>
      <c r="E511" s="6">
        <v>45680</v>
      </c>
      <c r="F511" t="s">
        <v>173</v>
      </c>
      <c r="G511" t="s">
        <v>103</v>
      </c>
      <c r="H511" t="s">
        <v>103</v>
      </c>
      <c r="I511" t="s">
        <v>110</v>
      </c>
      <c r="J511" t="s">
        <v>110</v>
      </c>
      <c r="K511" t="s">
        <v>41</v>
      </c>
      <c r="L511" t="str">
        <f>IF(TRIM(K511)="","Unknown",PROPER(TRIM(K511)))</f>
        <v>East</v>
      </c>
      <c r="M511" t="s">
        <v>174</v>
      </c>
      <c r="N511" t="s">
        <v>175</v>
      </c>
      <c r="O511" t="s">
        <v>83</v>
      </c>
      <c r="P511" t="str">
        <f>IF(TRIM(O511)="","Unknown",PROPER(TRIM(O511)))</f>
        <v>Technology</v>
      </c>
      <c r="Q511" t="s">
        <v>91</v>
      </c>
      <c r="R511" t="s">
        <v>176</v>
      </c>
      <c r="S511" t="s">
        <v>55</v>
      </c>
      <c r="T511" t="str">
        <f>IF(TRIM(S511)="","Unknown",PROPER(TRIM(S511)))</f>
        <v>First Class</v>
      </c>
      <c r="U511">
        <v>5</v>
      </c>
      <c r="V511">
        <v>4373.0600000000004</v>
      </c>
      <c r="W511">
        <v>0.25</v>
      </c>
      <c r="Y511">
        <v>0.25</v>
      </c>
      <c r="Z511">
        <v>16398.98</v>
      </c>
      <c r="AA511">
        <v>9556.52</v>
      </c>
      <c r="AB511">
        <v>6842.46</v>
      </c>
      <c r="AC511" t="s">
        <v>33</v>
      </c>
      <c r="AD511" t="s">
        <v>34</v>
      </c>
      <c r="AE511">
        <f>ROUND((U511*V511)-(U511*V511*Y511),2)</f>
        <v>16398.98</v>
      </c>
      <c r="AF511">
        <f>AE511-AA511</f>
        <v>6842.4599999999991</v>
      </c>
      <c r="AG511" s="7">
        <f>ROUND((AF511/AE511),4)</f>
        <v>0.41720000000000002</v>
      </c>
      <c r="AH511" t="str">
        <f>IF(AND(C511&lt;&gt;"",E511&lt;&gt;""),E511 - C511,"")</f>
        <v/>
      </c>
      <c r="AI511" t="str">
        <f>IF(C511="","",TEXT(C511, "mmmm"))</f>
        <v/>
      </c>
      <c r="AJ511" t="str">
        <f>IF(C511="","",YEAR(C511))</f>
        <v/>
      </c>
      <c r="AM511" t="s">
        <v>4144</v>
      </c>
      <c r="AN511" t="s">
        <v>4127</v>
      </c>
    </row>
    <row r="512" spans="1:40">
      <c r="A512" t="s">
        <v>177</v>
      </c>
      <c r="B512" t="s">
        <v>3615</v>
      </c>
      <c r="D512" t="s">
        <v>178</v>
      </c>
      <c r="E512" s="6">
        <v>45687</v>
      </c>
      <c r="F512" t="s">
        <v>179</v>
      </c>
      <c r="G512" t="s">
        <v>158</v>
      </c>
      <c r="H512" t="s">
        <v>158</v>
      </c>
      <c r="I512" t="s">
        <v>25</v>
      </c>
      <c r="J512" t="s">
        <v>25</v>
      </c>
      <c r="K512" t="s">
        <v>71</v>
      </c>
      <c r="L512" t="str">
        <f>IF(TRIM(K512)="","Unknown",PROPER(TRIM(K512)))</f>
        <v>West</v>
      </c>
      <c r="M512" t="s">
        <v>81</v>
      </c>
      <c r="N512" t="s">
        <v>82</v>
      </c>
      <c r="O512" t="s">
        <v>44</v>
      </c>
      <c r="P512" t="str">
        <f>IF(TRIM(O512)="","Unknown",PROPER(TRIM(O512)))</f>
        <v>Furniture</v>
      </c>
      <c r="Q512" t="s">
        <v>63</v>
      </c>
      <c r="R512" t="s">
        <v>180</v>
      </c>
      <c r="S512" t="s">
        <v>32</v>
      </c>
      <c r="T512" t="str">
        <f>IF(TRIM(S512)="","Unknown",PROPER(TRIM(S512)))</f>
        <v>Second Class</v>
      </c>
      <c r="U512">
        <v>4</v>
      </c>
      <c r="V512">
        <v>697.69</v>
      </c>
      <c r="W512">
        <v>-0.23</v>
      </c>
      <c r="Y512">
        <v>0</v>
      </c>
      <c r="Z512">
        <v>2790.76</v>
      </c>
      <c r="AA512">
        <v>2037.71</v>
      </c>
      <c r="AB512">
        <v>753.05</v>
      </c>
      <c r="AC512" t="s">
        <v>33</v>
      </c>
      <c r="AD512" t="s">
        <v>34</v>
      </c>
      <c r="AE512">
        <f>ROUND((U512*V512)-(U512*V512*Y512),2)</f>
        <v>2790.76</v>
      </c>
      <c r="AF512">
        <f>AE512-AA512</f>
        <v>753.05000000000018</v>
      </c>
      <c r="AG512" s="7">
        <f>ROUND((AF512/AE512),4)</f>
        <v>0.26979999999999998</v>
      </c>
      <c r="AH512" t="str">
        <f>IF(AND(C512&lt;&gt;"",E512&lt;&gt;""),E512 - C512,"")</f>
        <v/>
      </c>
      <c r="AI512" t="str">
        <f>IF(C512="","",TEXT(C512, "mmmm"))</f>
        <v/>
      </c>
      <c r="AJ512" t="str">
        <f>IF(C512="","",YEAR(C512))</f>
        <v/>
      </c>
      <c r="AM512" t="s">
        <v>4144</v>
      </c>
      <c r="AN512" t="s">
        <v>4126</v>
      </c>
    </row>
    <row r="513" spans="1:40">
      <c r="A513" t="s">
        <v>181</v>
      </c>
      <c r="B513" t="s">
        <v>3616</v>
      </c>
      <c r="C513" s="6">
        <v>45676</v>
      </c>
      <c r="D513" t="s">
        <v>182</v>
      </c>
      <c r="E513" s="6">
        <v>45678</v>
      </c>
      <c r="F513" t="s">
        <v>183</v>
      </c>
      <c r="G513" t="s">
        <v>39</v>
      </c>
      <c r="H513" t="s">
        <v>39</v>
      </c>
      <c r="I513" t="s">
        <v>25</v>
      </c>
      <c r="J513" t="s">
        <v>25</v>
      </c>
      <c r="K513" t="s">
        <v>60</v>
      </c>
      <c r="L513" t="str">
        <f>IF(TRIM(K513)="","Unknown",PROPER(TRIM(K513)))</f>
        <v>South</v>
      </c>
      <c r="M513" t="s">
        <v>61</v>
      </c>
      <c r="N513" t="s">
        <v>62</v>
      </c>
      <c r="O513" t="s">
        <v>29</v>
      </c>
      <c r="P513" t="str">
        <f>IF(TRIM(O513)="","Unknown",PROPER(TRIM(O513)))</f>
        <v>Office Supplies</v>
      </c>
      <c r="Q513" t="s">
        <v>184</v>
      </c>
      <c r="R513" t="s">
        <v>185</v>
      </c>
      <c r="S513" t="s">
        <v>65</v>
      </c>
      <c r="T513" t="str">
        <f>IF(TRIM(S513)="","Unknown",PROPER(TRIM(S513)))</f>
        <v>Standard Class</v>
      </c>
      <c r="U513">
        <v>8</v>
      </c>
      <c r="V513">
        <v>1219.3399999999999</v>
      </c>
      <c r="W513">
        <v>0.15</v>
      </c>
      <c r="Y513">
        <v>0.15</v>
      </c>
      <c r="Z513">
        <v>8291.51</v>
      </c>
      <c r="AA513">
        <v>6685.03</v>
      </c>
      <c r="AB513">
        <v>1606.48</v>
      </c>
      <c r="AC513" t="s">
        <v>186</v>
      </c>
      <c r="AD513" t="s">
        <v>120</v>
      </c>
      <c r="AE513">
        <f>ROUND((U513*V513)-(U513*V513*Y513),2)</f>
        <v>8291.51</v>
      </c>
      <c r="AF513">
        <f>AE513-AA513</f>
        <v>1606.4800000000005</v>
      </c>
      <c r="AG513" s="7">
        <f>ROUND((AF513/AE513),4)</f>
        <v>0.19370000000000001</v>
      </c>
      <c r="AH513">
        <f>IF(AND(C513&lt;&gt;"",E513&lt;&gt;""),E513 - C513,"")</f>
        <v>2</v>
      </c>
      <c r="AI513" t="str">
        <f>IF(C513="","",TEXT(C513, "mmmm"))</f>
        <v>January</v>
      </c>
      <c r="AJ513">
        <f>IF(C513="","",YEAR(C513))</f>
        <v>2025</v>
      </c>
      <c r="AM513" t="str">
        <f>IF(AN513="","clean","")</f>
        <v>clean</v>
      </c>
      <c r="AN513" t="s">
        <v>3595</v>
      </c>
    </row>
    <row r="514" spans="1:40">
      <c r="A514" t="s">
        <v>187</v>
      </c>
      <c r="B514" t="s">
        <v>67</v>
      </c>
      <c r="C514" s="6">
        <v>45898</v>
      </c>
      <c r="D514" t="s">
        <v>188</v>
      </c>
      <c r="F514" t="s">
        <v>189</v>
      </c>
      <c r="G514" t="s">
        <v>141</v>
      </c>
      <c r="H514" t="s">
        <v>141</v>
      </c>
      <c r="I514" t="s">
        <v>110</v>
      </c>
      <c r="J514" t="s">
        <v>110</v>
      </c>
      <c r="K514" t="s">
        <v>41</v>
      </c>
      <c r="L514" t="str">
        <f>IF(TRIM(K514)="","Unknown",PROPER(TRIM(K514)))</f>
        <v>East</v>
      </c>
      <c r="M514" t="s">
        <v>174</v>
      </c>
      <c r="N514" t="s">
        <v>175</v>
      </c>
      <c r="O514" t="s">
        <v>44</v>
      </c>
      <c r="P514" t="str">
        <f>IF(TRIM(O514)="","Unknown",PROPER(TRIM(O514)))</f>
        <v>Furniture</v>
      </c>
      <c r="Q514" t="s">
        <v>190</v>
      </c>
      <c r="R514" t="s">
        <v>191</v>
      </c>
      <c r="S514" t="s">
        <v>55</v>
      </c>
      <c r="T514" t="str">
        <f>IF(TRIM(S514)="","Unknown",PROPER(TRIM(S514)))</f>
        <v>First Class</v>
      </c>
      <c r="U514">
        <v>4</v>
      </c>
      <c r="V514">
        <v>1958.01</v>
      </c>
      <c r="W514">
        <v>0.2</v>
      </c>
      <c r="Y514">
        <v>0.2</v>
      </c>
      <c r="Z514">
        <v>6265.63</v>
      </c>
      <c r="AA514">
        <v>4321.8599999999997</v>
      </c>
      <c r="AB514">
        <v>1943.77</v>
      </c>
      <c r="AC514" t="s">
        <v>33</v>
      </c>
      <c r="AD514" t="s">
        <v>34</v>
      </c>
      <c r="AE514">
        <f>ROUND((U514*V514)-(U514*V514*Y514),2)</f>
        <v>6265.63</v>
      </c>
      <c r="AF514">
        <f>AE514-AA514</f>
        <v>1943.7700000000004</v>
      </c>
      <c r="AG514" s="7">
        <f>ROUND((AF514/AE514),4)</f>
        <v>0.31019999999999998</v>
      </c>
      <c r="AH514" t="str">
        <f>IF(AND(C514&lt;&gt;"",E514&lt;&gt;""),E514 - C514,"")</f>
        <v/>
      </c>
      <c r="AI514" t="str">
        <f>IF(C514="","",TEXT(C514, "mmmm"))</f>
        <v>August</v>
      </c>
      <c r="AJ514">
        <f>IF(C514="","",YEAR(C514))</f>
        <v>2025</v>
      </c>
      <c r="AM514" t="s">
        <v>4144</v>
      </c>
      <c r="AN514" t="s">
        <v>4136</v>
      </c>
    </row>
    <row r="515" spans="1:40">
      <c r="A515" t="s">
        <v>209</v>
      </c>
      <c r="B515" t="s">
        <v>3619</v>
      </c>
      <c r="C515" s="6">
        <v>45929</v>
      </c>
      <c r="D515" t="s">
        <v>210</v>
      </c>
      <c r="E515" s="6">
        <v>45935</v>
      </c>
      <c r="F515" t="s">
        <v>211</v>
      </c>
      <c r="G515" t="s">
        <v>59</v>
      </c>
      <c r="H515" t="s">
        <v>59</v>
      </c>
      <c r="I515" t="s">
        <v>40</v>
      </c>
      <c r="J515" t="s">
        <v>40</v>
      </c>
      <c r="K515" t="s">
        <v>60</v>
      </c>
      <c r="L515" t="str">
        <f>IF(TRIM(K515)="","Unknown",PROPER(TRIM(K515)))</f>
        <v>South</v>
      </c>
      <c r="M515" t="s">
        <v>212</v>
      </c>
      <c r="N515" t="s">
        <v>213</v>
      </c>
      <c r="O515" t="s">
        <v>29</v>
      </c>
      <c r="P515" t="str">
        <f>IF(TRIM(O515)="","Unknown",PROPER(TRIM(O515)))</f>
        <v>Office Supplies</v>
      </c>
      <c r="Q515" t="s">
        <v>30</v>
      </c>
      <c r="R515" t="s">
        <v>214</v>
      </c>
      <c r="S515" t="s">
        <v>32</v>
      </c>
      <c r="T515" t="str">
        <f>IF(TRIM(S515)="","Unknown",PROPER(TRIM(S515)))</f>
        <v>Second Class</v>
      </c>
      <c r="U515">
        <v>5</v>
      </c>
      <c r="V515">
        <v>1806.51</v>
      </c>
      <c r="W515">
        <v>0.25</v>
      </c>
      <c r="Y515">
        <v>0.25</v>
      </c>
      <c r="Z515">
        <v>6774.41</v>
      </c>
      <c r="AA515">
        <v>4710.3599999999997</v>
      </c>
      <c r="AB515">
        <v>2064.0500000000002</v>
      </c>
      <c r="AC515" t="s">
        <v>186</v>
      </c>
      <c r="AD515" t="s">
        <v>120</v>
      </c>
      <c r="AE515">
        <f>ROUND((U515*V515)-(U515*V515*Y515),2)</f>
        <v>6774.41</v>
      </c>
      <c r="AF515">
        <f>AE515-AA515</f>
        <v>2064.0500000000002</v>
      </c>
      <c r="AG515" s="7">
        <f>ROUND((AF515/AE515),4)</f>
        <v>0.30470000000000003</v>
      </c>
      <c r="AH515">
        <f>IF(AND(C515&lt;&gt;"",E515&lt;&gt;""),E515 - C515,"")</f>
        <v>6</v>
      </c>
      <c r="AI515" t="str">
        <f>IF(C515="","",TEXT(C515, "mmmm"))</f>
        <v>September</v>
      </c>
      <c r="AJ515">
        <f>IF(C515="","",YEAR(C515))</f>
        <v>2025</v>
      </c>
      <c r="AM515" t="str">
        <f>IF(AN515="","clean","")</f>
        <v>clean</v>
      </c>
      <c r="AN515" t="s">
        <v>3595</v>
      </c>
    </row>
    <row r="516" spans="1:40">
      <c r="A516" t="s">
        <v>221</v>
      </c>
      <c r="B516" t="s">
        <v>3620</v>
      </c>
      <c r="C516" s="6">
        <v>45882</v>
      </c>
      <c r="D516" t="s">
        <v>222</v>
      </c>
      <c r="E516" s="6">
        <v>45882</v>
      </c>
      <c r="F516" t="s">
        <v>223</v>
      </c>
      <c r="G516" t="s">
        <v>169</v>
      </c>
      <c r="H516" t="s">
        <v>169</v>
      </c>
      <c r="I516" t="s">
        <v>110</v>
      </c>
      <c r="J516" t="s">
        <v>110</v>
      </c>
      <c r="K516" t="s">
        <v>60</v>
      </c>
      <c r="L516" t="str">
        <f>IF(TRIM(K516)="","Unknown",PROPER(TRIM(K516)))</f>
        <v>South</v>
      </c>
      <c r="M516" t="s">
        <v>224</v>
      </c>
      <c r="N516" t="s">
        <v>225</v>
      </c>
      <c r="O516" t="s">
        <v>83</v>
      </c>
      <c r="P516" t="str">
        <f>IF(TRIM(O516)="","Unknown",PROPER(TRIM(O516)))</f>
        <v>Technology</v>
      </c>
      <c r="Q516" t="s">
        <v>207</v>
      </c>
      <c r="R516" t="s">
        <v>226</v>
      </c>
      <c r="S516" t="s">
        <v>65</v>
      </c>
      <c r="T516" t="str">
        <f>IF(TRIM(S516)="","Unknown",PROPER(TRIM(S516)))</f>
        <v>Standard Class</v>
      </c>
      <c r="U516">
        <v>1</v>
      </c>
      <c r="V516">
        <v>256.01</v>
      </c>
      <c r="W516">
        <v>0.15</v>
      </c>
      <c r="Y516">
        <v>0.15</v>
      </c>
      <c r="Z516">
        <v>217.61</v>
      </c>
      <c r="AA516">
        <v>119.77</v>
      </c>
      <c r="AB516">
        <v>97.84</v>
      </c>
      <c r="AC516" t="s">
        <v>33</v>
      </c>
      <c r="AD516" t="s">
        <v>34</v>
      </c>
      <c r="AE516">
        <f>ROUND((U516*V516)-(U516*V516*Y516),2)</f>
        <v>217.61</v>
      </c>
      <c r="AF516">
        <f>AE516-AA516</f>
        <v>97.840000000000018</v>
      </c>
      <c r="AG516" s="7">
        <f>ROUND((AF516/AE516),4)</f>
        <v>0.4496</v>
      </c>
      <c r="AH516">
        <f>IF(AND(C516&lt;&gt;"",E516&lt;&gt;""),E516 - C516,"")</f>
        <v>0</v>
      </c>
      <c r="AI516" t="str">
        <f>IF(C516="","",TEXT(C516, "mmmm"))</f>
        <v>August</v>
      </c>
      <c r="AJ516">
        <f>IF(C516="","",YEAR(C516))</f>
        <v>2025</v>
      </c>
      <c r="AM516" t="str">
        <f>IF(AN516="","clean","")</f>
        <v>clean</v>
      </c>
      <c r="AN516" t="s">
        <v>3595</v>
      </c>
    </row>
    <row r="517" spans="1:40">
      <c r="A517" t="s">
        <v>233</v>
      </c>
      <c r="B517" t="s">
        <v>3622</v>
      </c>
      <c r="C517" s="6">
        <v>45823</v>
      </c>
      <c r="D517" t="s">
        <v>234</v>
      </c>
      <c r="E517" s="6">
        <v>45827</v>
      </c>
      <c r="F517" t="s">
        <v>235</v>
      </c>
      <c r="G517" t="s">
        <v>24</v>
      </c>
      <c r="H517" t="s">
        <v>24</v>
      </c>
      <c r="I517" t="s">
        <v>40</v>
      </c>
      <c r="J517" t="s">
        <v>40</v>
      </c>
      <c r="K517" t="s">
        <v>71</v>
      </c>
      <c r="L517" t="str">
        <f>IF(TRIM(K517)="","Unknown",PROPER(TRIM(K517)))</f>
        <v>West</v>
      </c>
      <c r="M517" t="s">
        <v>81</v>
      </c>
      <c r="N517" t="s">
        <v>82</v>
      </c>
      <c r="O517" t="s">
        <v>29</v>
      </c>
      <c r="P517" t="str">
        <f>IF(TRIM(O517)="","Unknown",PROPER(TRIM(O517)))</f>
        <v>Office Supplies</v>
      </c>
      <c r="Q517" t="s">
        <v>30</v>
      </c>
      <c r="R517" t="s">
        <v>236</v>
      </c>
      <c r="S517" t="s">
        <v>32</v>
      </c>
      <c r="T517" t="str">
        <f>IF(TRIM(S517)="","Unknown",PROPER(TRIM(S517)))</f>
        <v>Second Class</v>
      </c>
      <c r="U517">
        <v>9</v>
      </c>
      <c r="V517">
        <v>3092.55</v>
      </c>
      <c r="W517">
        <v>0</v>
      </c>
      <c r="Y517">
        <v>0</v>
      </c>
      <c r="Z517">
        <v>27832.95</v>
      </c>
      <c r="AA517">
        <v>17769.75</v>
      </c>
      <c r="AB517">
        <v>10063.200000000001</v>
      </c>
      <c r="AC517" t="s">
        <v>186</v>
      </c>
      <c r="AD517" t="s">
        <v>120</v>
      </c>
      <c r="AE517">
        <f>ROUND((U517*V517)-(U517*V517*Y517),2)</f>
        <v>27832.95</v>
      </c>
      <c r="AF517">
        <f>AE517-AA517</f>
        <v>10063.200000000001</v>
      </c>
      <c r="AG517" s="7">
        <f>ROUND((AF517/AE517),4)</f>
        <v>0.36159999999999998</v>
      </c>
      <c r="AH517">
        <f>IF(AND(C517&lt;&gt;"",E517&lt;&gt;""),E517 - C517,"")</f>
        <v>4</v>
      </c>
      <c r="AI517" t="str">
        <f>IF(C517="","",TEXT(C517, "mmmm"))</f>
        <v>June</v>
      </c>
      <c r="AJ517">
        <f>IF(C517="","",YEAR(C517))</f>
        <v>2025</v>
      </c>
      <c r="AM517" t="str">
        <f>IF(AN517="","clean","")</f>
        <v>clean</v>
      </c>
      <c r="AN517" t="s">
        <v>3595</v>
      </c>
    </row>
    <row r="518" spans="1:40">
      <c r="A518" t="s">
        <v>246</v>
      </c>
      <c r="B518" t="s">
        <v>3624</v>
      </c>
      <c r="C518" s="6">
        <v>45688</v>
      </c>
      <c r="D518" t="s">
        <v>247</v>
      </c>
      <c r="E518" s="6">
        <v>45693</v>
      </c>
      <c r="F518" t="s">
        <v>248</v>
      </c>
      <c r="G518" t="s">
        <v>136</v>
      </c>
      <c r="H518" t="s">
        <v>136</v>
      </c>
      <c r="I518" t="s">
        <v>110</v>
      </c>
      <c r="J518" t="s">
        <v>110</v>
      </c>
      <c r="K518" t="s">
        <v>41</v>
      </c>
      <c r="L518" t="str">
        <f>IF(TRIM(K518)="","Unknown",PROPER(TRIM(K518)))</f>
        <v>East</v>
      </c>
      <c r="M518" t="s">
        <v>116</v>
      </c>
      <c r="N518" t="s">
        <v>117</v>
      </c>
      <c r="O518" t="s">
        <v>44</v>
      </c>
      <c r="P518" t="str">
        <f>IF(TRIM(O518)="","Unknown",PROPER(TRIM(O518)))</f>
        <v>Furniture</v>
      </c>
      <c r="Q518" t="s">
        <v>74</v>
      </c>
      <c r="R518" t="s">
        <v>249</v>
      </c>
      <c r="T518" t="str">
        <f>IF(TRIM(S518)="","Unknown",PROPER(TRIM(S518)))</f>
        <v>Unknown</v>
      </c>
      <c r="U518">
        <v>2</v>
      </c>
      <c r="V518">
        <v>4159.6899999999996</v>
      </c>
      <c r="W518">
        <v>0.2</v>
      </c>
      <c r="Y518">
        <v>0.2</v>
      </c>
      <c r="Z518">
        <v>6655.5</v>
      </c>
      <c r="AA518">
        <v>4340.21</v>
      </c>
      <c r="AB518">
        <v>2607.3200000000002</v>
      </c>
      <c r="AC518" t="s">
        <v>33</v>
      </c>
      <c r="AD518" t="s">
        <v>34</v>
      </c>
      <c r="AE518">
        <f>ROUND((U518*V518)-(U518*V518*Y518),2)</f>
        <v>6655.5</v>
      </c>
      <c r="AF518">
        <f>AE518-AA518</f>
        <v>2315.29</v>
      </c>
      <c r="AG518" s="7">
        <f>ROUND((AF518/AE518),4)</f>
        <v>0.34789999999999999</v>
      </c>
      <c r="AH518">
        <f>IF(AND(C518&lt;&gt;"",E518&lt;&gt;""),E518 - C518,"")</f>
        <v>5</v>
      </c>
      <c r="AI518" t="str">
        <f>IF(C518="","",TEXT(C518, "mmmm"))</f>
        <v>January</v>
      </c>
      <c r="AJ518">
        <f>IF(C518="","",YEAR(C518))</f>
        <v>2025</v>
      </c>
      <c r="AM518" t="s">
        <v>4145</v>
      </c>
      <c r="AN518" t="s">
        <v>3600</v>
      </c>
    </row>
    <row r="519" spans="1:40">
      <c r="A519" t="s">
        <v>259</v>
      </c>
      <c r="B519" t="s">
        <v>260</v>
      </c>
      <c r="D519" t="s">
        <v>260</v>
      </c>
      <c r="F519" t="s">
        <v>261</v>
      </c>
      <c r="G519" t="s">
        <v>196</v>
      </c>
      <c r="H519" t="s">
        <v>196</v>
      </c>
      <c r="I519" t="s">
        <v>25</v>
      </c>
      <c r="J519" t="s">
        <v>25</v>
      </c>
      <c r="K519" t="s">
        <v>71</v>
      </c>
      <c r="L519" t="str">
        <f>IF(TRIM(K519)="","Unknown",PROPER(TRIM(K519)))</f>
        <v>West</v>
      </c>
      <c r="M519" t="s">
        <v>72</v>
      </c>
      <c r="N519" t="s">
        <v>73</v>
      </c>
      <c r="O519" t="s">
        <v>83</v>
      </c>
      <c r="P519" t="str">
        <f>IF(TRIM(O519)="","Unknown",PROPER(TRIM(O519)))</f>
        <v>Technology</v>
      </c>
      <c r="Q519" t="s">
        <v>91</v>
      </c>
      <c r="R519" t="s">
        <v>262</v>
      </c>
      <c r="S519" t="s">
        <v>263</v>
      </c>
      <c r="T519" t="str">
        <f>IF(TRIM(S519)="","Unknown",PROPER(TRIM(S519)))</f>
        <v>Standard Class</v>
      </c>
      <c r="U519">
        <v>4</v>
      </c>
      <c r="V519">
        <v>1327.54</v>
      </c>
      <c r="W519">
        <v>0.2</v>
      </c>
      <c r="Y519">
        <v>0.2</v>
      </c>
      <c r="Z519">
        <v>4248.13</v>
      </c>
      <c r="AA519">
        <v>3321.09</v>
      </c>
      <c r="AB519">
        <v>927.04</v>
      </c>
      <c r="AC519" t="s">
        <v>33</v>
      </c>
      <c r="AD519" t="s">
        <v>34</v>
      </c>
      <c r="AE519">
        <f>ROUND((U519*V519)-(U519*V519*Y519),2)</f>
        <v>4248.13</v>
      </c>
      <c r="AF519">
        <f>AE519-AA519</f>
        <v>927.04</v>
      </c>
      <c r="AG519" s="7">
        <f>ROUND((AF519/AE519),4)</f>
        <v>0.21820000000000001</v>
      </c>
      <c r="AH519" t="str">
        <f>IF(AND(C519&lt;&gt;"",E519&lt;&gt;""),E519 - C519,"")</f>
        <v/>
      </c>
      <c r="AI519" t="str">
        <f>IF(C519="","",TEXT(C519, "mmmm"))</f>
        <v/>
      </c>
      <c r="AJ519" t="str">
        <f>IF(C519="","",YEAR(C519))</f>
        <v/>
      </c>
      <c r="AM519" t="s">
        <v>4144</v>
      </c>
      <c r="AN519" t="s">
        <v>4124</v>
      </c>
    </row>
    <row r="520" spans="1:40">
      <c r="A520" t="s">
        <v>280</v>
      </c>
      <c r="B520" t="s">
        <v>281</v>
      </c>
      <c r="C520" s="6">
        <v>45940</v>
      </c>
      <c r="D520" t="s">
        <v>282</v>
      </c>
      <c r="E520" s="6">
        <v>45945</v>
      </c>
      <c r="F520" t="s">
        <v>283</v>
      </c>
      <c r="G520" t="s">
        <v>59</v>
      </c>
      <c r="H520" t="s">
        <v>59</v>
      </c>
      <c r="I520" t="s">
        <v>104</v>
      </c>
      <c r="J520" t="s">
        <v>104</v>
      </c>
      <c r="K520" t="s">
        <v>41</v>
      </c>
      <c r="L520" t="str">
        <f>IF(TRIM(K520)="","Unknown",PROPER(TRIM(K520)))</f>
        <v>East</v>
      </c>
      <c r="M520" t="s">
        <v>284</v>
      </c>
      <c r="N520" t="s">
        <v>285</v>
      </c>
      <c r="O520" t="s">
        <v>83</v>
      </c>
      <c r="P520" t="str">
        <f>IF(TRIM(O520)="","Unknown",PROPER(TRIM(O520)))</f>
        <v>Technology</v>
      </c>
      <c r="Q520" t="s">
        <v>207</v>
      </c>
      <c r="R520" t="s">
        <v>286</v>
      </c>
      <c r="S520" t="s">
        <v>65</v>
      </c>
      <c r="T520" t="str">
        <f>IF(TRIM(S520)="","Unknown",PROPER(TRIM(S520)))</f>
        <v>Standard Class</v>
      </c>
      <c r="U520">
        <v>8</v>
      </c>
      <c r="V520">
        <v>979.87</v>
      </c>
      <c r="W520">
        <v>0.05</v>
      </c>
      <c r="Y520">
        <v>0.05</v>
      </c>
      <c r="Z520">
        <v>7447.01</v>
      </c>
      <c r="AA520">
        <v>4496.22</v>
      </c>
      <c r="AB520">
        <v>2950.79</v>
      </c>
      <c r="AC520" t="s">
        <v>33</v>
      </c>
      <c r="AD520" t="s">
        <v>34</v>
      </c>
      <c r="AE520">
        <f>ROUND((U520*V520)-(U520*V520*Y520),2)</f>
        <v>7447.01</v>
      </c>
      <c r="AF520">
        <f>AE520-AA520</f>
        <v>2950.79</v>
      </c>
      <c r="AG520" s="7">
        <f>ROUND((AF520/AE520),4)</f>
        <v>0.3962</v>
      </c>
      <c r="AH520">
        <f>IF(AND(C520&lt;&gt;"",E520&lt;&gt;""),E520 - C520,"")</f>
        <v>5</v>
      </c>
      <c r="AI520" t="str">
        <f>IF(C520="","",TEXT(C520, "mmmm"))</f>
        <v>October</v>
      </c>
      <c r="AJ520">
        <f>IF(C520="","",YEAR(C520))</f>
        <v>2025</v>
      </c>
      <c r="AM520" t="s">
        <v>4145</v>
      </c>
      <c r="AN520" t="s">
        <v>3600</v>
      </c>
    </row>
    <row r="521" spans="1:40">
      <c r="A521" t="s">
        <v>312</v>
      </c>
      <c r="B521" t="s">
        <v>313</v>
      </c>
      <c r="C521" s="6">
        <v>45687</v>
      </c>
      <c r="D521" t="s">
        <v>314</v>
      </c>
      <c r="E521" s="6">
        <v>45693</v>
      </c>
      <c r="F521" t="s">
        <v>315</v>
      </c>
      <c r="G521" t="s">
        <v>90</v>
      </c>
      <c r="H521" t="s">
        <v>90</v>
      </c>
      <c r="I521" t="s">
        <v>104</v>
      </c>
      <c r="J521" t="s">
        <v>104</v>
      </c>
      <c r="K521" t="s">
        <v>71</v>
      </c>
      <c r="L521" t="str">
        <f>IF(TRIM(K521)="","Unknown",PROPER(TRIM(K521)))</f>
        <v>West</v>
      </c>
      <c r="M521" t="s">
        <v>72</v>
      </c>
      <c r="N521" t="s">
        <v>73</v>
      </c>
      <c r="O521" t="s">
        <v>44</v>
      </c>
      <c r="P521" t="str">
        <f>IF(TRIM(O521)="","Unknown",PROPER(TRIM(O521)))</f>
        <v>Furniture</v>
      </c>
      <c r="Q521" t="s">
        <v>74</v>
      </c>
      <c r="R521" t="s">
        <v>316</v>
      </c>
      <c r="S521" t="s">
        <v>32</v>
      </c>
      <c r="T521" t="str">
        <f>IF(TRIM(S521)="","Unknown",PROPER(TRIM(S521)))</f>
        <v>Second Class</v>
      </c>
      <c r="U521">
        <v>7</v>
      </c>
      <c r="V521">
        <v>4063.66</v>
      </c>
      <c r="W521">
        <v>0</v>
      </c>
      <c r="Y521">
        <v>0</v>
      </c>
      <c r="Z521">
        <v>28445.62</v>
      </c>
      <c r="AA521">
        <v>20938.59</v>
      </c>
      <c r="AB521">
        <v>7507.03</v>
      </c>
      <c r="AC521" t="s">
        <v>33</v>
      </c>
      <c r="AD521" t="s">
        <v>34</v>
      </c>
      <c r="AE521">
        <f>ROUND((U521*V521)-(U521*V521*Y521),2)</f>
        <v>28445.62</v>
      </c>
      <c r="AF521">
        <f>AE521-AA521</f>
        <v>7507.0299999999988</v>
      </c>
      <c r="AG521" s="7">
        <f>ROUND((AF521/AE521),4)</f>
        <v>0.26390000000000002</v>
      </c>
      <c r="AH521">
        <f>IF(AND(C521&lt;&gt;"",E521&lt;&gt;""),E521 - C521,"")</f>
        <v>6</v>
      </c>
      <c r="AI521" t="str">
        <f>IF(C521="","",TEXT(C521, "mmmm"))</f>
        <v>January</v>
      </c>
      <c r="AJ521">
        <f>IF(C521="","",YEAR(C521))</f>
        <v>2025</v>
      </c>
      <c r="AM521" t="s">
        <v>4145</v>
      </c>
      <c r="AN521" t="s">
        <v>3600</v>
      </c>
    </row>
    <row r="522" spans="1:40">
      <c r="A522" t="s">
        <v>322</v>
      </c>
      <c r="B522" t="s">
        <v>3633</v>
      </c>
      <c r="C522" s="6">
        <v>45788</v>
      </c>
      <c r="D522" t="s">
        <v>323</v>
      </c>
      <c r="E522" s="6">
        <v>45796</v>
      </c>
      <c r="F522" t="s">
        <v>324</v>
      </c>
      <c r="G522" t="s">
        <v>158</v>
      </c>
      <c r="H522" t="s">
        <v>158</v>
      </c>
      <c r="I522" t="s">
        <v>25</v>
      </c>
      <c r="J522" t="s">
        <v>25</v>
      </c>
      <c r="K522" t="s">
        <v>41</v>
      </c>
      <c r="L522" t="str">
        <f>IF(TRIM(K522)="","Unknown",PROPER(TRIM(K522)))</f>
        <v>East</v>
      </c>
      <c r="M522" t="s">
        <v>116</v>
      </c>
      <c r="N522" t="s">
        <v>117</v>
      </c>
      <c r="O522" t="s">
        <v>83</v>
      </c>
      <c r="P522" t="str">
        <f>IF(TRIM(O522)="","Unknown",PROPER(TRIM(O522)))</f>
        <v>Technology</v>
      </c>
      <c r="Q522" t="s">
        <v>91</v>
      </c>
      <c r="R522" t="s">
        <v>325</v>
      </c>
      <c r="S522" t="s">
        <v>65</v>
      </c>
      <c r="T522" t="str">
        <f>IF(TRIM(S522)="","Unknown",PROPER(TRIM(S522)))</f>
        <v>Standard Class</v>
      </c>
      <c r="U522">
        <v>1</v>
      </c>
      <c r="V522">
        <v>2382.8000000000002</v>
      </c>
      <c r="W522">
        <v>0.15</v>
      </c>
      <c r="Y522">
        <v>0.15</v>
      </c>
      <c r="Z522">
        <v>2025.38</v>
      </c>
      <c r="AA522">
        <v>1140.6500000000001</v>
      </c>
      <c r="AB522">
        <v>884.73</v>
      </c>
      <c r="AC522" t="s">
        <v>33</v>
      </c>
      <c r="AD522" t="s">
        <v>34</v>
      </c>
      <c r="AE522">
        <f>ROUND((U522*V522)-(U522*V522*Y522),2)</f>
        <v>2025.38</v>
      </c>
      <c r="AF522">
        <f>AE522-AA522</f>
        <v>884.73</v>
      </c>
      <c r="AG522" s="7">
        <f>ROUND((AF522/AE522),4)</f>
        <v>0.43680000000000002</v>
      </c>
      <c r="AH522">
        <f>IF(AND(C522&lt;&gt;"",E522&lt;&gt;""),E522 - C522,"")</f>
        <v>8</v>
      </c>
      <c r="AI522" t="str">
        <f>IF(C522="","",TEXT(C522, "mmmm"))</f>
        <v>May</v>
      </c>
      <c r="AJ522">
        <f>IF(C522="","",YEAR(C522))</f>
        <v>2025</v>
      </c>
      <c r="AM522" t="s">
        <v>4145</v>
      </c>
      <c r="AN522" t="s">
        <v>3600</v>
      </c>
    </row>
    <row r="523" spans="1:40">
      <c r="A523" t="s">
        <v>336</v>
      </c>
      <c r="B523" t="s">
        <v>3635</v>
      </c>
      <c r="C523" s="6">
        <v>45747</v>
      </c>
      <c r="D523" t="s">
        <v>337</v>
      </c>
      <c r="E523" s="6">
        <v>45747</v>
      </c>
      <c r="F523" t="s">
        <v>338</v>
      </c>
      <c r="G523" t="s">
        <v>334</v>
      </c>
      <c r="H523" t="s">
        <v>334</v>
      </c>
      <c r="I523" t="s">
        <v>110</v>
      </c>
      <c r="J523" t="s">
        <v>110</v>
      </c>
      <c r="K523" t="s">
        <v>71</v>
      </c>
      <c r="L523" t="str">
        <f>IF(TRIM(K523)="","Unknown",PROPER(TRIM(K523)))</f>
        <v>West</v>
      </c>
      <c r="M523" t="s">
        <v>218</v>
      </c>
      <c r="N523" t="s">
        <v>219</v>
      </c>
      <c r="O523" t="s">
        <v>29</v>
      </c>
      <c r="P523" t="str">
        <f>IF(TRIM(O523)="","Unknown",PROPER(TRIM(O523)))</f>
        <v>Office Supplies</v>
      </c>
      <c r="Q523" t="s">
        <v>148</v>
      </c>
      <c r="R523" t="s">
        <v>339</v>
      </c>
      <c r="S523" t="s">
        <v>55</v>
      </c>
      <c r="T523" t="str">
        <f>IF(TRIM(S523)="","Unknown",PROPER(TRIM(S523)))</f>
        <v>First Class</v>
      </c>
      <c r="U523">
        <v>5</v>
      </c>
      <c r="V523">
        <v>1207.47</v>
      </c>
      <c r="W523">
        <v>0.15</v>
      </c>
      <c r="Y523">
        <v>0.15</v>
      </c>
      <c r="Z523">
        <v>5131.75</v>
      </c>
      <c r="AA523">
        <v>2838.68</v>
      </c>
      <c r="AB523">
        <v>2293.0700000000002</v>
      </c>
      <c r="AC523" t="s">
        <v>33</v>
      </c>
      <c r="AD523" t="s">
        <v>34</v>
      </c>
      <c r="AE523">
        <f>ROUND((U523*V523)-(U523*V523*Y523),2)</f>
        <v>5131.75</v>
      </c>
      <c r="AF523">
        <f>AE523-AA523</f>
        <v>2293.0700000000002</v>
      </c>
      <c r="AG523" s="7">
        <f>ROUND((AF523/AE523),4)</f>
        <v>0.44679999999999997</v>
      </c>
      <c r="AH523">
        <f>IF(AND(C523&lt;&gt;"",E523&lt;&gt;""),E523 - C523,"")</f>
        <v>0</v>
      </c>
      <c r="AI523" t="str">
        <f>IF(C523="","",TEXT(C523, "mmmm"))</f>
        <v>March</v>
      </c>
      <c r="AJ523">
        <f>IF(C523="","",YEAR(C523))</f>
        <v>2025</v>
      </c>
      <c r="AM523" t="str">
        <f>IF(AN523="","clean","")</f>
        <v>clean</v>
      </c>
      <c r="AN523" t="s">
        <v>3595</v>
      </c>
    </row>
    <row r="524" spans="1:40">
      <c r="A524" t="s">
        <v>340</v>
      </c>
      <c r="B524" t="s">
        <v>3636</v>
      </c>
      <c r="C524" s="6">
        <v>45807</v>
      </c>
      <c r="D524" t="s">
        <v>341</v>
      </c>
      <c r="E524" s="6">
        <v>45810</v>
      </c>
      <c r="F524" t="s">
        <v>342</v>
      </c>
      <c r="G524" t="s">
        <v>59</v>
      </c>
      <c r="H524" t="s">
        <v>59</v>
      </c>
      <c r="I524" t="s">
        <v>104</v>
      </c>
      <c r="J524" t="s">
        <v>104</v>
      </c>
      <c r="K524" t="s">
        <v>60</v>
      </c>
      <c r="L524" t="str">
        <f>IF(TRIM(K524)="","Unknown",PROPER(TRIM(K524)))</f>
        <v>South</v>
      </c>
      <c r="M524" t="s">
        <v>309</v>
      </c>
      <c r="N524" t="s">
        <v>310</v>
      </c>
      <c r="O524" t="s">
        <v>29</v>
      </c>
      <c r="P524" t="str">
        <f>IF(TRIM(O524)="","Unknown",PROPER(TRIM(O524)))</f>
        <v>Office Supplies</v>
      </c>
      <c r="Q524" t="s">
        <v>105</v>
      </c>
      <c r="R524" t="s">
        <v>343</v>
      </c>
      <c r="S524" t="s">
        <v>47</v>
      </c>
      <c r="T524" t="str">
        <f>IF(TRIM(S524)="","Unknown",PROPER(TRIM(S524)))</f>
        <v>Same Day</v>
      </c>
      <c r="U524">
        <v>8</v>
      </c>
      <c r="V524">
        <v>474.37</v>
      </c>
      <c r="W524">
        <v>0.1</v>
      </c>
      <c r="Y524">
        <v>0.1</v>
      </c>
      <c r="Z524">
        <v>3415.46</v>
      </c>
      <c r="AA524">
        <v>1993.23</v>
      </c>
      <c r="AB524">
        <v>1422.23</v>
      </c>
      <c r="AC524" t="s">
        <v>186</v>
      </c>
      <c r="AD524" t="s">
        <v>76</v>
      </c>
      <c r="AE524">
        <f>ROUND((U524*V524)-(U524*V524*Y524),2)</f>
        <v>3415.46</v>
      </c>
      <c r="AF524">
        <f>AE524-AA524</f>
        <v>1422.23</v>
      </c>
      <c r="AG524" s="7">
        <f>ROUND((AF524/AE524),4)</f>
        <v>0.41639999999999999</v>
      </c>
      <c r="AH524">
        <f>IF(AND(C524&lt;&gt;"",E524&lt;&gt;""),E524 - C524,"")</f>
        <v>3</v>
      </c>
      <c r="AI524" t="str">
        <f>IF(C524="","",TEXT(C524, "mmmm"))</f>
        <v>May</v>
      </c>
      <c r="AJ524">
        <f>IF(C524="","",YEAR(C524))</f>
        <v>2025</v>
      </c>
      <c r="AM524" t="str">
        <f>IF(AN524="","clean","")</f>
        <v>clean</v>
      </c>
      <c r="AN524" t="s">
        <v>3595</v>
      </c>
    </row>
    <row r="525" spans="1:40">
      <c r="A525" t="s">
        <v>344</v>
      </c>
      <c r="B525" t="s">
        <v>3637</v>
      </c>
      <c r="C525" s="6">
        <v>45839</v>
      </c>
      <c r="D525" t="s">
        <v>345</v>
      </c>
      <c r="E525" s="6">
        <v>45841</v>
      </c>
      <c r="F525" t="s">
        <v>346</v>
      </c>
      <c r="G525" t="s">
        <v>39</v>
      </c>
      <c r="H525" t="s">
        <v>39</v>
      </c>
      <c r="I525" t="s">
        <v>40</v>
      </c>
      <c r="J525" t="s">
        <v>40</v>
      </c>
      <c r="K525" t="s">
        <v>60</v>
      </c>
      <c r="L525" t="str">
        <f>IF(TRIM(K525)="","Unknown",PROPER(TRIM(K525)))</f>
        <v>South</v>
      </c>
      <c r="M525" t="s">
        <v>97</v>
      </c>
      <c r="N525" t="s">
        <v>98</v>
      </c>
      <c r="O525" t="s">
        <v>83</v>
      </c>
      <c r="P525" t="str">
        <f>IF(TRIM(O525)="","Unknown",PROPER(TRIM(O525)))</f>
        <v>Technology</v>
      </c>
      <c r="Q525" t="s">
        <v>347</v>
      </c>
      <c r="R525" t="s">
        <v>348</v>
      </c>
      <c r="S525" t="s">
        <v>47</v>
      </c>
      <c r="T525" t="str">
        <f>IF(TRIM(S525)="","Unknown",PROPER(TRIM(S525)))</f>
        <v>Same Day</v>
      </c>
      <c r="U525">
        <v>3</v>
      </c>
      <c r="V525">
        <v>1516.24</v>
      </c>
      <c r="W525">
        <v>0.25</v>
      </c>
      <c r="Y525">
        <v>0.25</v>
      </c>
      <c r="Z525">
        <v>3411.54</v>
      </c>
      <c r="AA525">
        <v>2803.13</v>
      </c>
      <c r="AB525">
        <v>608.41</v>
      </c>
      <c r="AC525" t="s">
        <v>33</v>
      </c>
      <c r="AD525" t="s">
        <v>34</v>
      </c>
      <c r="AE525">
        <f>ROUND((U525*V525)-(U525*V525*Y525),2)</f>
        <v>3411.54</v>
      </c>
      <c r="AF525">
        <f>AE525-AA525</f>
        <v>608.40999999999985</v>
      </c>
      <c r="AG525" s="7">
        <f>ROUND((AF525/AE525),4)</f>
        <v>0.17829999999999999</v>
      </c>
      <c r="AH525">
        <f>IF(AND(C525&lt;&gt;"",E525&lt;&gt;""),E525 - C525,"")</f>
        <v>2</v>
      </c>
      <c r="AI525" t="str">
        <f>IF(C525="","",TEXT(C525, "mmmm"))</f>
        <v>July</v>
      </c>
      <c r="AJ525">
        <f>IF(C525="","",YEAR(C525))</f>
        <v>2025</v>
      </c>
      <c r="AM525" t="str">
        <f>IF(AN525="","clean","")</f>
        <v>clean</v>
      </c>
      <c r="AN525" t="s">
        <v>3595</v>
      </c>
    </row>
    <row r="526" spans="1:40">
      <c r="A526" t="s">
        <v>349</v>
      </c>
      <c r="B526" t="s">
        <v>3638</v>
      </c>
      <c r="C526" s="6">
        <v>45662</v>
      </c>
      <c r="D526" t="s">
        <v>350</v>
      </c>
      <c r="E526" s="6">
        <v>45663</v>
      </c>
      <c r="F526" t="s">
        <v>351</v>
      </c>
      <c r="G526" t="s">
        <v>24</v>
      </c>
      <c r="H526" t="s">
        <v>24</v>
      </c>
      <c r="I526" t="s">
        <v>25</v>
      </c>
      <c r="J526" t="s">
        <v>25</v>
      </c>
      <c r="K526" t="s">
        <v>60</v>
      </c>
      <c r="L526" t="str">
        <f>IF(TRIM(K526)="","Unknown",PROPER(TRIM(K526)))</f>
        <v>South</v>
      </c>
      <c r="M526" t="s">
        <v>212</v>
      </c>
      <c r="N526" t="s">
        <v>213</v>
      </c>
      <c r="O526" t="s">
        <v>29</v>
      </c>
      <c r="P526" t="str">
        <f>IF(TRIM(O526)="","Unknown",PROPER(TRIM(O526)))</f>
        <v>Office Supplies</v>
      </c>
      <c r="Q526" t="s">
        <v>184</v>
      </c>
      <c r="R526" t="s">
        <v>352</v>
      </c>
      <c r="S526" t="s">
        <v>32</v>
      </c>
      <c r="T526" t="str">
        <f>IF(TRIM(S526)="","Unknown",PROPER(TRIM(S526)))</f>
        <v>Second Class</v>
      </c>
      <c r="U526">
        <v>3</v>
      </c>
      <c r="V526">
        <v>3155.61</v>
      </c>
      <c r="W526">
        <v>0</v>
      </c>
      <c r="Y526">
        <v>0</v>
      </c>
      <c r="Z526">
        <v>9466.83</v>
      </c>
      <c r="AA526">
        <v>6557.83</v>
      </c>
      <c r="AB526">
        <v>2909</v>
      </c>
      <c r="AC526" t="s">
        <v>119</v>
      </c>
      <c r="AD526" t="s">
        <v>76</v>
      </c>
      <c r="AE526">
        <f>ROUND((U526*V526)-(U526*V526*Y526),2)</f>
        <v>9466.83</v>
      </c>
      <c r="AF526">
        <f>AE526-AA526</f>
        <v>2909</v>
      </c>
      <c r="AG526" s="7">
        <f>ROUND((AF526/AE526),4)</f>
        <v>0.30730000000000002</v>
      </c>
      <c r="AH526">
        <f>IF(AND(C526&lt;&gt;"",E526&lt;&gt;""),E526 - C526,"")</f>
        <v>1</v>
      </c>
      <c r="AI526" t="str">
        <f>IF(C526="","",TEXT(C526, "mmmm"))</f>
        <v>January</v>
      </c>
      <c r="AJ526">
        <f>IF(C526="","",YEAR(C526))</f>
        <v>2025</v>
      </c>
      <c r="AM526" t="str">
        <f>IF(AN526="","clean","")</f>
        <v>clean</v>
      </c>
      <c r="AN526" t="s">
        <v>3595</v>
      </c>
    </row>
    <row r="527" spans="1:40">
      <c r="A527" t="s">
        <v>391</v>
      </c>
      <c r="B527" t="s">
        <v>392</v>
      </c>
      <c r="C527" s="6">
        <v>45897</v>
      </c>
      <c r="D527" t="s">
        <v>393</v>
      </c>
      <c r="E527" s="6">
        <v>45901</v>
      </c>
      <c r="F527" t="s">
        <v>394</v>
      </c>
      <c r="G527" t="s">
        <v>24</v>
      </c>
      <c r="H527" t="s">
        <v>24</v>
      </c>
      <c r="I527" t="s">
        <v>40</v>
      </c>
      <c r="J527" t="s">
        <v>40</v>
      </c>
      <c r="K527" t="s">
        <v>60</v>
      </c>
      <c r="L527" t="str">
        <f>IF(TRIM(K527)="","Unknown",PROPER(TRIM(K527)))</f>
        <v>South</v>
      </c>
      <c r="M527" t="s">
        <v>309</v>
      </c>
      <c r="N527" t="s">
        <v>310</v>
      </c>
      <c r="O527" t="s">
        <v>83</v>
      </c>
      <c r="P527" t="str">
        <f>IF(TRIM(O527)="","Unknown",PROPER(TRIM(O527)))</f>
        <v>Technology</v>
      </c>
      <c r="Q527" t="s">
        <v>84</v>
      </c>
      <c r="R527" t="s">
        <v>395</v>
      </c>
      <c r="S527" t="s">
        <v>47</v>
      </c>
      <c r="T527" t="str">
        <f>IF(TRIM(S527)="","Unknown",PROPER(TRIM(S527)))</f>
        <v>Same Day</v>
      </c>
      <c r="U527">
        <v>7</v>
      </c>
      <c r="V527">
        <v>1057.46</v>
      </c>
      <c r="W527">
        <v>0.05</v>
      </c>
      <c r="Y527">
        <v>0.05</v>
      </c>
      <c r="Z527">
        <v>7032.11</v>
      </c>
      <c r="AA527">
        <v>4610.34</v>
      </c>
      <c r="AB527">
        <v>2421.77</v>
      </c>
      <c r="AC527" t="s">
        <v>33</v>
      </c>
      <c r="AD527" t="s">
        <v>34</v>
      </c>
      <c r="AE527">
        <f>ROUND((U527*V527)-(U527*V527*Y527),2)</f>
        <v>7032.11</v>
      </c>
      <c r="AF527">
        <f>AE527-AA527</f>
        <v>2421.7699999999995</v>
      </c>
      <c r="AG527" s="7">
        <f>ROUND((AF527/AE527),4)</f>
        <v>0.34439999999999998</v>
      </c>
      <c r="AH527">
        <f>IF(AND(C527&lt;&gt;"",E527&lt;&gt;""),E527 - C527,"")</f>
        <v>4</v>
      </c>
      <c r="AI527" t="str">
        <f>IF(C527="","",TEXT(C527, "mmmm"))</f>
        <v>August</v>
      </c>
      <c r="AJ527">
        <f>IF(C527="","",YEAR(C527))</f>
        <v>2025</v>
      </c>
      <c r="AM527" t="str">
        <f>IF(AN527="","clean","")</f>
        <v>clean</v>
      </c>
      <c r="AN527" t="s">
        <v>3595</v>
      </c>
    </row>
    <row r="528" spans="1:40">
      <c r="A528" t="s">
        <v>396</v>
      </c>
      <c r="B528" t="s">
        <v>397</v>
      </c>
      <c r="C528" s="6">
        <v>45691</v>
      </c>
      <c r="D528" t="s">
        <v>398</v>
      </c>
      <c r="E528" s="6">
        <v>45695</v>
      </c>
      <c r="F528" t="s">
        <v>399</v>
      </c>
      <c r="G528" t="s">
        <v>334</v>
      </c>
      <c r="H528" t="s">
        <v>334</v>
      </c>
      <c r="I528" t="s">
        <v>25</v>
      </c>
      <c r="J528" t="s">
        <v>25</v>
      </c>
      <c r="K528" t="s">
        <v>26</v>
      </c>
      <c r="L528" t="str">
        <f>IF(TRIM(K528)="","Unknown",PROPER(TRIM(K528)))</f>
        <v>North</v>
      </c>
      <c r="M528" t="s">
        <v>294</v>
      </c>
      <c r="N528" t="s">
        <v>295</v>
      </c>
      <c r="O528" t="s">
        <v>29</v>
      </c>
      <c r="P528" t="str">
        <f>IF(TRIM(O528)="","Unknown",PROPER(TRIM(O528)))</f>
        <v>Office Supplies</v>
      </c>
      <c r="Q528" t="s">
        <v>30</v>
      </c>
      <c r="R528" t="s">
        <v>400</v>
      </c>
      <c r="S528" t="s">
        <v>55</v>
      </c>
      <c r="T528" t="str">
        <f>IF(TRIM(S528)="","Unknown",PROPER(TRIM(S528)))</f>
        <v>First Class</v>
      </c>
      <c r="U528">
        <v>7</v>
      </c>
      <c r="V528">
        <v>3609.34</v>
      </c>
      <c r="W528">
        <v>0.05</v>
      </c>
      <c r="Y528">
        <v>0.05</v>
      </c>
      <c r="Z528">
        <v>24002.11</v>
      </c>
      <c r="AA528">
        <v>18707.57</v>
      </c>
      <c r="AB528">
        <v>5294.54</v>
      </c>
      <c r="AC528" t="s">
        <v>33</v>
      </c>
      <c r="AD528" t="s">
        <v>34</v>
      </c>
      <c r="AE528">
        <f>ROUND((U528*V528)-(U528*V528*Y528),2)</f>
        <v>24002.11</v>
      </c>
      <c r="AF528">
        <f>AE528-AA528</f>
        <v>5294.5400000000009</v>
      </c>
      <c r="AG528" s="7">
        <f>ROUND((AF528/AE528),4)</f>
        <v>0.22059999999999999</v>
      </c>
      <c r="AH528">
        <f>IF(AND(C528&lt;&gt;"",E528&lt;&gt;""),E528 - C528,"")</f>
        <v>4</v>
      </c>
      <c r="AI528" t="str">
        <f>IF(C528="","",TEXT(C528, "mmmm"))</f>
        <v>February</v>
      </c>
      <c r="AJ528">
        <f>IF(C528="","",YEAR(C528))</f>
        <v>2025</v>
      </c>
      <c r="AM528" t="str">
        <f>IF(AN528="","clean","")</f>
        <v>clean</v>
      </c>
      <c r="AN528" t="s">
        <v>3595</v>
      </c>
    </row>
    <row r="529" spans="1:40">
      <c r="A529" t="s">
        <v>409</v>
      </c>
      <c r="B529" t="s">
        <v>3647</v>
      </c>
      <c r="C529" s="6">
        <v>45891</v>
      </c>
      <c r="D529" t="s">
        <v>410</v>
      </c>
      <c r="E529" s="6">
        <v>45896</v>
      </c>
      <c r="F529" t="s">
        <v>411</v>
      </c>
      <c r="G529" t="s">
        <v>24</v>
      </c>
      <c r="H529" t="s">
        <v>24</v>
      </c>
      <c r="I529" t="s">
        <v>104</v>
      </c>
      <c r="J529" t="s">
        <v>104</v>
      </c>
      <c r="K529" t="s">
        <v>60</v>
      </c>
      <c r="L529" t="str">
        <f>IF(TRIM(K529)="","Unknown",PROPER(TRIM(K529)))</f>
        <v>South</v>
      </c>
      <c r="M529" t="s">
        <v>97</v>
      </c>
      <c r="N529" t="s">
        <v>98</v>
      </c>
      <c r="O529" t="s">
        <v>83</v>
      </c>
      <c r="P529" t="str">
        <f>IF(TRIM(O529)="","Unknown",PROPER(TRIM(O529)))</f>
        <v>Technology</v>
      </c>
      <c r="Q529" t="s">
        <v>207</v>
      </c>
      <c r="R529" t="s">
        <v>412</v>
      </c>
      <c r="S529" t="s">
        <v>55</v>
      </c>
      <c r="T529" t="str">
        <f>IF(TRIM(S529)="","Unknown",PROPER(TRIM(S529)))</f>
        <v>First Class</v>
      </c>
      <c r="U529">
        <v>2</v>
      </c>
      <c r="V529">
        <v>905.87</v>
      </c>
      <c r="W529">
        <v>0.15</v>
      </c>
      <c r="Y529">
        <v>0.15</v>
      </c>
      <c r="Z529">
        <v>1539.98</v>
      </c>
      <c r="AA529">
        <v>1070.2</v>
      </c>
      <c r="AB529">
        <v>469.78</v>
      </c>
      <c r="AC529" t="s">
        <v>33</v>
      </c>
      <c r="AD529" t="s">
        <v>34</v>
      </c>
      <c r="AE529">
        <f>ROUND((U529*V529)-(U529*V529*Y529),2)</f>
        <v>1539.98</v>
      </c>
      <c r="AF529">
        <f>AE529-AA529</f>
        <v>469.78</v>
      </c>
      <c r="AG529" s="7">
        <f>ROUND((AF529/AE529),4)</f>
        <v>0.30509999999999998</v>
      </c>
      <c r="AH529">
        <f>IF(AND(C529&lt;&gt;"",E529&lt;&gt;""),E529 - C529,"")</f>
        <v>5</v>
      </c>
      <c r="AI529" t="str">
        <f>IF(C529="","",TEXT(C529, "mmmm"))</f>
        <v>August</v>
      </c>
      <c r="AJ529">
        <f>IF(C529="","",YEAR(C529))</f>
        <v>2025</v>
      </c>
      <c r="AM529" t="str">
        <f>IF(AN529="","clean","")</f>
        <v>clean</v>
      </c>
      <c r="AN529" t="s">
        <v>3595</v>
      </c>
    </row>
    <row r="530" spans="1:40">
      <c r="A530" t="s">
        <v>413</v>
      </c>
      <c r="B530" t="s">
        <v>88</v>
      </c>
      <c r="C530" s="6">
        <v>45763</v>
      </c>
      <c r="D530" t="s">
        <v>414</v>
      </c>
      <c r="E530" s="6">
        <v>45770</v>
      </c>
      <c r="F530" t="s">
        <v>415</v>
      </c>
      <c r="G530" t="s">
        <v>39</v>
      </c>
      <c r="H530" t="s">
        <v>39</v>
      </c>
      <c r="I530" t="s">
        <v>40</v>
      </c>
      <c r="J530" t="s">
        <v>40</v>
      </c>
      <c r="K530" t="s">
        <v>71</v>
      </c>
      <c r="L530" t="str">
        <f>IF(TRIM(K530)="","Unknown",PROPER(TRIM(K530)))</f>
        <v>West</v>
      </c>
      <c r="M530" t="s">
        <v>230</v>
      </c>
      <c r="N530" t="s">
        <v>231</v>
      </c>
      <c r="O530" t="s">
        <v>83</v>
      </c>
      <c r="P530" t="str">
        <f>IF(TRIM(O530)="","Unknown",PROPER(TRIM(O530)))</f>
        <v>Technology</v>
      </c>
      <c r="Q530" t="s">
        <v>347</v>
      </c>
      <c r="R530" t="s">
        <v>416</v>
      </c>
      <c r="S530" t="s">
        <v>65</v>
      </c>
      <c r="T530" t="str">
        <f>IF(TRIM(S530)="","Unknown",PROPER(TRIM(S530)))</f>
        <v>Standard Class</v>
      </c>
      <c r="U530">
        <v>6</v>
      </c>
      <c r="V530">
        <v>2027.32</v>
      </c>
      <c r="W530">
        <v>0.1</v>
      </c>
      <c r="Y530">
        <v>0.1</v>
      </c>
      <c r="Z530">
        <v>10947.53</v>
      </c>
      <c r="AA530">
        <v>6447.36</v>
      </c>
      <c r="AB530">
        <v>4500.17</v>
      </c>
      <c r="AC530" t="s">
        <v>33</v>
      </c>
      <c r="AD530" t="s">
        <v>34</v>
      </c>
      <c r="AE530">
        <f>ROUND((U530*V530)-(U530*V530*Y530),2)</f>
        <v>10947.53</v>
      </c>
      <c r="AF530">
        <f>AE530-AA530</f>
        <v>4500.170000000001</v>
      </c>
      <c r="AG530" s="7">
        <f>ROUND((AF530/AE530),4)</f>
        <v>0.41110000000000002</v>
      </c>
      <c r="AH530">
        <f>IF(AND(C530&lt;&gt;"",E530&lt;&gt;""),E530 - C530,"")</f>
        <v>7</v>
      </c>
      <c r="AI530" t="str">
        <f>IF(C530="","",TEXT(C530, "mmmm"))</f>
        <v>April</v>
      </c>
      <c r="AJ530">
        <f>IF(C530="","",YEAR(C530))</f>
        <v>2025</v>
      </c>
      <c r="AM530" t="str">
        <f>IF(AN530="","clean","")</f>
        <v>clean</v>
      </c>
      <c r="AN530" t="s">
        <v>3595</v>
      </c>
    </row>
    <row r="531" spans="1:40">
      <c r="A531" t="s">
        <v>421</v>
      </c>
      <c r="B531" t="s">
        <v>3649</v>
      </c>
      <c r="D531" t="s">
        <v>422</v>
      </c>
      <c r="E531" s="6">
        <v>45750</v>
      </c>
      <c r="F531" t="s">
        <v>423</v>
      </c>
      <c r="G531" t="s">
        <v>158</v>
      </c>
      <c r="H531" t="s">
        <v>158</v>
      </c>
      <c r="I531" t="s">
        <v>104</v>
      </c>
      <c r="J531" t="s">
        <v>104</v>
      </c>
      <c r="K531" t="s">
        <v>41</v>
      </c>
      <c r="L531" t="str">
        <f>IF(TRIM(K531)="","Unknown",PROPER(TRIM(K531)))</f>
        <v>East</v>
      </c>
      <c r="M531" t="s">
        <v>116</v>
      </c>
      <c r="N531" t="s">
        <v>117</v>
      </c>
      <c r="O531" t="s">
        <v>44</v>
      </c>
      <c r="P531" t="str">
        <f>IF(TRIM(O531)="","Unknown",PROPER(TRIM(O531)))</f>
        <v>Furniture</v>
      </c>
      <c r="Q531" t="s">
        <v>190</v>
      </c>
      <c r="R531" t="s">
        <v>424</v>
      </c>
      <c r="S531" t="s">
        <v>55</v>
      </c>
      <c r="T531" t="str">
        <f>IF(TRIM(S531)="","Unknown",PROPER(TRIM(S531)))</f>
        <v>First Class</v>
      </c>
      <c r="U531">
        <v>5</v>
      </c>
      <c r="V531">
        <v>1425.74</v>
      </c>
      <c r="W531">
        <v>0</v>
      </c>
      <c r="Y531">
        <v>0</v>
      </c>
      <c r="Z531">
        <v>7128.7</v>
      </c>
      <c r="AA531">
        <v>4382.1499999999996</v>
      </c>
      <c r="AB531">
        <v>2746.55</v>
      </c>
      <c r="AC531" t="s">
        <v>33</v>
      </c>
      <c r="AD531" t="s">
        <v>34</v>
      </c>
      <c r="AE531">
        <f>ROUND((U531*V531)-(U531*V531*Y531),2)</f>
        <v>7128.7</v>
      </c>
      <c r="AF531">
        <f>AE531-AA531</f>
        <v>2746.55</v>
      </c>
      <c r="AG531" s="7">
        <f>ROUND((AF531/AE531),4)</f>
        <v>0.38529999999999998</v>
      </c>
      <c r="AH531" t="str">
        <f>IF(AND(C531&lt;&gt;"",E531&lt;&gt;""),E531 - C531,"")</f>
        <v/>
      </c>
      <c r="AI531" t="str">
        <f>IF(C531="","",TEXT(C531, "mmmm"))</f>
        <v/>
      </c>
      <c r="AJ531" t="str">
        <f>IF(C531="","",YEAR(C531))</f>
        <v/>
      </c>
      <c r="AM531" t="s">
        <v>4144</v>
      </c>
      <c r="AN531" t="s">
        <v>4127</v>
      </c>
    </row>
    <row r="532" spans="1:40">
      <c r="A532" t="s">
        <v>425</v>
      </c>
      <c r="B532" t="s">
        <v>3650</v>
      </c>
      <c r="C532" s="6">
        <v>45715</v>
      </c>
      <c r="D532" t="s">
        <v>426</v>
      </c>
      <c r="E532" s="6">
        <v>45717</v>
      </c>
      <c r="F532" t="s">
        <v>427</v>
      </c>
      <c r="G532" t="s">
        <v>80</v>
      </c>
      <c r="H532" t="s">
        <v>80</v>
      </c>
      <c r="I532" t="s">
        <v>40</v>
      </c>
      <c r="J532" t="s">
        <v>40</v>
      </c>
      <c r="K532" t="s">
        <v>41</v>
      </c>
      <c r="L532" t="str">
        <f>IF(TRIM(K532)="","Unknown",PROPER(TRIM(K532)))</f>
        <v>East</v>
      </c>
      <c r="M532" t="s">
        <v>116</v>
      </c>
      <c r="N532" t="s">
        <v>117</v>
      </c>
      <c r="O532" t="s">
        <v>44</v>
      </c>
      <c r="P532" t="str">
        <f>IF(TRIM(O532)="","Unknown",PROPER(TRIM(O532)))</f>
        <v>Furniture</v>
      </c>
      <c r="Q532" t="s">
        <v>74</v>
      </c>
      <c r="R532" t="s">
        <v>428</v>
      </c>
      <c r="S532" t="s">
        <v>65</v>
      </c>
      <c r="T532" t="str">
        <f>IF(TRIM(S532)="","Unknown",PROPER(TRIM(S532)))</f>
        <v>Standard Class</v>
      </c>
      <c r="U532">
        <v>6</v>
      </c>
      <c r="V532">
        <v>551.64</v>
      </c>
      <c r="W532">
        <v>0</v>
      </c>
      <c r="Y532">
        <v>0</v>
      </c>
      <c r="Z532">
        <v>3309.84</v>
      </c>
      <c r="AA532">
        <v>2671.08</v>
      </c>
      <c r="AB532">
        <v>638.76</v>
      </c>
      <c r="AC532" t="s">
        <v>33</v>
      </c>
      <c r="AD532" t="s">
        <v>34</v>
      </c>
      <c r="AE532">
        <f>ROUND((U532*V532)-(U532*V532*Y532),2)</f>
        <v>3309.84</v>
      </c>
      <c r="AF532">
        <f>AE532-AA532</f>
        <v>638.76000000000022</v>
      </c>
      <c r="AG532" s="7">
        <f>ROUND((AF532/AE532),4)</f>
        <v>0.193</v>
      </c>
      <c r="AH532">
        <f>IF(AND(C532&lt;&gt;"",E532&lt;&gt;""),E532 - C532,"")</f>
        <v>2</v>
      </c>
      <c r="AI532" t="str">
        <f>IF(C532="","",TEXT(C532, "mmmm"))</f>
        <v>February</v>
      </c>
      <c r="AJ532">
        <f>IF(C532="","",YEAR(C532))</f>
        <v>2025</v>
      </c>
      <c r="AM532" t="str">
        <f>IF(AN532="","clean","")</f>
        <v>clean</v>
      </c>
      <c r="AN532" t="s">
        <v>3595</v>
      </c>
    </row>
    <row r="533" spans="1:40">
      <c r="A533" t="s">
        <v>429</v>
      </c>
      <c r="B533" t="s">
        <v>3651</v>
      </c>
      <c r="D533" t="s">
        <v>430</v>
      </c>
      <c r="E533" s="6">
        <v>45896</v>
      </c>
      <c r="F533" t="s">
        <v>431</v>
      </c>
      <c r="G533" t="s">
        <v>136</v>
      </c>
      <c r="H533" t="s">
        <v>136</v>
      </c>
      <c r="I533" t="s">
        <v>40</v>
      </c>
      <c r="J533" t="s">
        <v>40</v>
      </c>
      <c r="K533" t="s">
        <v>41</v>
      </c>
      <c r="L533" t="str">
        <f>IF(TRIM(K533)="","Unknown",PROPER(TRIM(K533)))</f>
        <v>East</v>
      </c>
      <c r="M533" t="s">
        <v>42</v>
      </c>
      <c r="N533" t="s">
        <v>43</v>
      </c>
      <c r="O533" t="s">
        <v>29</v>
      </c>
      <c r="P533" t="str">
        <f>IF(TRIM(O533)="","Unknown",PROPER(TRIM(O533)))</f>
        <v>Office Supplies</v>
      </c>
      <c r="Q533" t="s">
        <v>105</v>
      </c>
      <c r="R533" t="s">
        <v>432</v>
      </c>
      <c r="S533" t="s">
        <v>55</v>
      </c>
      <c r="T533" t="str">
        <f>IF(TRIM(S533)="","Unknown",PROPER(TRIM(S533)))</f>
        <v>First Class</v>
      </c>
      <c r="U533">
        <v>3</v>
      </c>
      <c r="V533">
        <v>3294.82</v>
      </c>
      <c r="W533">
        <v>0.2</v>
      </c>
      <c r="Y533">
        <v>0.2</v>
      </c>
      <c r="Z533">
        <v>7907.57</v>
      </c>
      <c r="AA533">
        <v>5391.18</v>
      </c>
      <c r="AB533">
        <v>2516.39</v>
      </c>
      <c r="AC533" t="s">
        <v>33</v>
      </c>
      <c r="AD533" t="s">
        <v>34</v>
      </c>
      <c r="AE533">
        <f>ROUND((U533*V533)-(U533*V533*Y533),2)</f>
        <v>7907.57</v>
      </c>
      <c r="AF533">
        <f>AE533-AA533</f>
        <v>2516.3899999999994</v>
      </c>
      <c r="AG533" s="7">
        <f>ROUND((AF533/AE533),4)</f>
        <v>0.31819999999999998</v>
      </c>
      <c r="AH533" t="str">
        <f>IF(AND(C533&lt;&gt;"",E533&lt;&gt;""),E533 - C533,"")</f>
        <v/>
      </c>
      <c r="AI533" t="str">
        <f>IF(C533="","",TEXT(C533, "mmmm"))</f>
        <v/>
      </c>
      <c r="AJ533" t="str">
        <f>IF(C533="","",YEAR(C533))</f>
        <v/>
      </c>
      <c r="AM533" t="s">
        <v>4144</v>
      </c>
      <c r="AN533" t="s">
        <v>4127</v>
      </c>
    </row>
    <row r="534" spans="1:40">
      <c r="A534" t="s">
        <v>438</v>
      </c>
      <c r="B534" t="s">
        <v>439</v>
      </c>
      <c r="C534" s="6">
        <v>45846</v>
      </c>
      <c r="D534" t="s">
        <v>440</v>
      </c>
      <c r="E534" s="6">
        <v>45850</v>
      </c>
      <c r="F534" t="s">
        <v>441</v>
      </c>
      <c r="G534" t="s">
        <v>169</v>
      </c>
      <c r="H534" t="s">
        <v>169</v>
      </c>
      <c r="I534" t="s">
        <v>110</v>
      </c>
      <c r="J534" t="s">
        <v>110</v>
      </c>
      <c r="K534" t="s">
        <v>26</v>
      </c>
      <c r="L534" t="str">
        <f>IF(TRIM(K534)="","Unknown",PROPER(TRIM(K534)))</f>
        <v>North</v>
      </c>
      <c r="M534" t="s">
        <v>163</v>
      </c>
      <c r="N534" t="s">
        <v>164</v>
      </c>
      <c r="O534" t="s">
        <v>44</v>
      </c>
      <c r="P534" t="str">
        <f>IF(TRIM(O534)="","Unknown",PROPER(TRIM(O534)))</f>
        <v>Furniture</v>
      </c>
      <c r="Q534" t="s">
        <v>63</v>
      </c>
      <c r="R534" t="s">
        <v>442</v>
      </c>
      <c r="S534" t="s">
        <v>65</v>
      </c>
      <c r="T534" t="str">
        <f>IF(TRIM(S534)="","Unknown",PROPER(TRIM(S534)))</f>
        <v>Standard Class</v>
      </c>
      <c r="U534">
        <v>1</v>
      </c>
      <c r="V534">
        <v>2582.1999999999998</v>
      </c>
      <c r="W534">
        <v>0.15</v>
      </c>
      <c r="Y534">
        <v>0.15</v>
      </c>
      <c r="Z534">
        <v>2194.87</v>
      </c>
      <c r="AA534">
        <v>1223.17</v>
      </c>
      <c r="AB534">
        <v>971.7</v>
      </c>
      <c r="AC534" t="s">
        <v>119</v>
      </c>
      <c r="AD534" t="s">
        <v>76</v>
      </c>
      <c r="AE534">
        <f>ROUND((U534*V534)-(U534*V534*Y534),2)</f>
        <v>2194.87</v>
      </c>
      <c r="AF534">
        <f>AE534-AA534</f>
        <v>971.69999999999982</v>
      </c>
      <c r="AG534" s="7">
        <f>ROUND((AF534/AE534),4)</f>
        <v>0.44269999999999998</v>
      </c>
      <c r="AH534">
        <f>IF(AND(C534&lt;&gt;"",E534&lt;&gt;""),E534 - C534,"")</f>
        <v>4</v>
      </c>
      <c r="AI534" t="str">
        <f>IF(C534="","",TEXT(C534, "mmmm"))</f>
        <v>July</v>
      </c>
      <c r="AJ534">
        <f>IF(C534="","",YEAR(C534))</f>
        <v>2025</v>
      </c>
      <c r="AM534" t="str">
        <f>IF(AN534="","clean","")</f>
        <v>clean</v>
      </c>
      <c r="AN534" t="s">
        <v>3595</v>
      </c>
    </row>
    <row r="535" spans="1:40">
      <c r="A535" t="s">
        <v>443</v>
      </c>
      <c r="B535" t="s">
        <v>3652</v>
      </c>
      <c r="C535" s="6">
        <v>45854</v>
      </c>
      <c r="D535" t="s">
        <v>444</v>
      </c>
      <c r="F535" t="s">
        <v>445</v>
      </c>
      <c r="G535" t="s">
        <v>158</v>
      </c>
      <c r="H535" t="s">
        <v>158</v>
      </c>
      <c r="I535" t="s">
        <v>104</v>
      </c>
      <c r="J535" t="s">
        <v>104</v>
      </c>
      <c r="K535" t="s">
        <v>41</v>
      </c>
      <c r="L535" t="str">
        <f>IF(TRIM(K535)="","Unknown",PROPER(TRIM(K535)))</f>
        <v>East</v>
      </c>
      <c r="M535" t="s">
        <v>116</v>
      </c>
      <c r="N535" t="s">
        <v>117</v>
      </c>
      <c r="O535" t="s">
        <v>44</v>
      </c>
      <c r="P535" t="str">
        <f>IF(TRIM(O535)="","Unknown",PROPER(TRIM(O535)))</f>
        <v>Furniture</v>
      </c>
      <c r="Q535" t="s">
        <v>45</v>
      </c>
      <c r="R535" t="s">
        <v>446</v>
      </c>
      <c r="S535" t="s">
        <v>55</v>
      </c>
      <c r="T535" t="str">
        <f>IF(TRIM(S535)="","Unknown",PROPER(TRIM(S535)))</f>
        <v>First Class</v>
      </c>
      <c r="U535">
        <v>5</v>
      </c>
      <c r="V535">
        <v>2129.5100000000002</v>
      </c>
      <c r="W535">
        <v>0.15</v>
      </c>
      <c r="Y535">
        <v>0.15</v>
      </c>
      <c r="Z535">
        <v>9050.42</v>
      </c>
      <c r="AA535">
        <v>6778.85</v>
      </c>
      <c r="AB535">
        <v>2271.5700000000002</v>
      </c>
      <c r="AC535" t="s">
        <v>33</v>
      </c>
      <c r="AD535" t="s">
        <v>34</v>
      </c>
      <c r="AE535">
        <f>ROUND((U535*V535)-(U535*V535*Y535),2)</f>
        <v>9050.42</v>
      </c>
      <c r="AF535">
        <f>AE535-AA535</f>
        <v>2271.5699999999997</v>
      </c>
      <c r="AG535" s="7">
        <f>ROUND((AF535/AE535),4)</f>
        <v>0.251</v>
      </c>
      <c r="AH535" t="str">
        <f>IF(AND(C535&lt;&gt;"",E535&lt;&gt;""),E535 - C535,"")</f>
        <v/>
      </c>
      <c r="AI535" t="str">
        <f>IF(C535="","",TEXT(C535, "mmmm"))</f>
        <v>July</v>
      </c>
      <c r="AJ535">
        <f>IF(C535="","",YEAR(C535))</f>
        <v>2025</v>
      </c>
      <c r="AM535" t="s">
        <v>4144</v>
      </c>
      <c r="AN535" t="s">
        <v>4136</v>
      </c>
    </row>
    <row r="536" spans="1:40">
      <c r="A536" t="s">
        <v>447</v>
      </c>
      <c r="B536" t="s">
        <v>3653</v>
      </c>
      <c r="C536" s="6">
        <v>45927</v>
      </c>
      <c r="D536" t="s">
        <v>448</v>
      </c>
      <c r="E536" s="6">
        <v>45933</v>
      </c>
      <c r="F536" t="s">
        <v>449</v>
      </c>
      <c r="G536" t="s">
        <v>196</v>
      </c>
      <c r="H536" t="s">
        <v>196</v>
      </c>
      <c r="I536" t="s">
        <v>110</v>
      </c>
      <c r="J536" t="s">
        <v>110</v>
      </c>
      <c r="K536" t="s">
        <v>60</v>
      </c>
      <c r="L536" t="str">
        <f>IF(TRIM(K536)="","Unknown",PROPER(TRIM(K536)))</f>
        <v>South</v>
      </c>
      <c r="M536" t="s">
        <v>309</v>
      </c>
      <c r="N536" t="s">
        <v>310</v>
      </c>
      <c r="O536" t="s">
        <v>44</v>
      </c>
      <c r="P536" t="str">
        <f>IF(TRIM(O536)="","Unknown",PROPER(TRIM(O536)))</f>
        <v>Furniture</v>
      </c>
      <c r="Q536" t="s">
        <v>74</v>
      </c>
      <c r="R536" t="s">
        <v>450</v>
      </c>
      <c r="S536" t="s">
        <v>47</v>
      </c>
      <c r="T536" t="str">
        <f>IF(TRIM(S536)="","Unknown",PROPER(TRIM(S536)))</f>
        <v>Same Day</v>
      </c>
      <c r="U536">
        <v>9</v>
      </c>
      <c r="V536">
        <v>4131.5200000000004</v>
      </c>
      <c r="W536">
        <v>0.1</v>
      </c>
      <c r="Y536">
        <v>0.1</v>
      </c>
      <c r="Z536">
        <v>33465.31</v>
      </c>
      <c r="AA536">
        <v>24781.26</v>
      </c>
      <c r="AB536">
        <v>8684.0499999999993</v>
      </c>
      <c r="AC536" t="s">
        <v>33</v>
      </c>
      <c r="AD536" t="s">
        <v>34</v>
      </c>
      <c r="AE536">
        <f>ROUND((U536*V536)-(U536*V536*Y536),2)</f>
        <v>33465.31</v>
      </c>
      <c r="AF536">
        <f>AE536-AA536</f>
        <v>8684.0499999999993</v>
      </c>
      <c r="AG536" s="7">
        <f>ROUND((AF536/AE536),4)</f>
        <v>0.25950000000000001</v>
      </c>
      <c r="AH536">
        <f>IF(AND(C536&lt;&gt;"",E536&lt;&gt;""),E536 - C536,"")</f>
        <v>6</v>
      </c>
      <c r="AI536" t="str">
        <f>IF(C536="","",TEXT(C536, "mmmm"))</f>
        <v>September</v>
      </c>
      <c r="AJ536">
        <f>IF(C536="","",YEAR(C536))</f>
        <v>2025</v>
      </c>
      <c r="AM536" t="str">
        <f>IF(AN536="","clean","")</f>
        <v>clean</v>
      </c>
      <c r="AN536" t="s">
        <v>3595</v>
      </c>
    </row>
    <row r="537" spans="1:40">
      <c r="A537" t="s">
        <v>457</v>
      </c>
      <c r="B537" t="s">
        <v>3655</v>
      </c>
      <c r="C537" s="6">
        <v>45732</v>
      </c>
      <c r="D537" t="s">
        <v>458</v>
      </c>
      <c r="E537" s="6">
        <v>45733</v>
      </c>
      <c r="F537" t="s">
        <v>459</v>
      </c>
      <c r="G537" t="s">
        <v>24</v>
      </c>
      <c r="H537" t="s">
        <v>24</v>
      </c>
      <c r="I537" t="s">
        <v>110</v>
      </c>
      <c r="J537" t="s">
        <v>110</v>
      </c>
      <c r="K537" t="s">
        <v>71</v>
      </c>
      <c r="L537" t="str">
        <f>IF(TRIM(K537)="","Unknown",PROPER(TRIM(K537)))</f>
        <v>West</v>
      </c>
      <c r="M537" t="s">
        <v>230</v>
      </c>
      <c r="N537" t="s">
        <v>231</v>
      </c>
      <c r="O537" t="s">
        <v>29</v>
      </c>
      <c r="P537" t="str">
        <f>IF(TRIM(O537)="","Unknown",PROPER(TRIM(O537)))</f>
        <v>Office Supplies</v>
      </c>
      <c r="Q537" t="s">
        <v>105</v>
      </c>
      <c r="R537" t="s">
        <v>460</v>
      </c>
      <c r="S537" t="s">
        <v>47</v>
      </c>
      <c r="T537" t="str">
        <f>IF(TRIM(S537)="","Unknown",PROPER(TRIM(S537)))</f>
        <v>Same Day</v>
      </c>
      <c r="U537">
        <v>3</v>
      </c>
      <c r="V537">
        <v>1841.91</v>
      </c>
      <c r="W537">
        <v>0</v>
      </c>
      <c r="Y537">
        <v>0</v>
      </c>
      <c r="Z537">
        <v>5525.73</v>
      </c>
      <c r="AA537">
        <v>3093.42</v>
      </c>
      <c r="AB537">
        <v>2432.31</v>
      </c>
      <c r="AC537" t="s">
        <v>33</v>
      </c>
      <c r="AD537" t="s">
        <v>34</v>
      </c>
      <c r="AE537">
        <f>ROUND((U537*V537)-(U537*V537*Y537),2)</f>
        <v>5525.73</v>
      </c>
      <c r="AF537">
        <f>AE537-AA537</f>
        <v>2432.3099999999995</v>
      </c>
      <c r="AG537" s="7">
        <f>ROUND((AF537/AE537),4)</f>
        <v>0.44019999999999998</v>
      </c>
      <c r="AH537">
        <f>IF(AND(C537&lt;&gt;"",E537&lt;&gt;""),E537 - C537,"")</f>
        <v>1</v>
      </c>
      <c r="AI537" t="str">
        <f>IF(C537="","",TEXT(C537, "mmmm"))</f>
        <v>March</v>
      </c>
      <c r="AJ537">
        <f>IF(C537="","",YEAR(C537))</f>
        <v>2025</v>
      </c>
      <c r="AM537" t="str">
        <f>IF(AN537="","clean","")</f>
        <v>clean</v>
      </c>
      <c r="AN537" t="s">
        <v>3595</v>
      </c>
    </row>
    <row r="538" spans="1:40">
      <c r="A538" t="s">
        <v>494</v>
      </c>
      <c r="B538" t="s">
        <v>3658</v>
      </c>
      <c r="C538" s="6">
        <v>45893</v>
      </c>
      <c r="D538" t="s">
        <v>67</v>
      </c>
      <c r="E538" s="6">
        <v>45898</v>
      </c>
      <c r="F538" t="s">
        <v>495</v>
      </c>
      <c r="G538" t="s">
        <v>153</v>
      </c>
      <c r="H538" t="s">
        <v>153</v>
      </c>
      <c r="I538" t="s">
        <v>40</v>
      </c>
      <c r="J538" t="s">
        <v>40</v>
      </c>
      <c r="K538" t="s">
        <v>41</v>
      </c>
      <c r="L538" t="str">
        <f>IF(TRIM(K538)="","Unknown",PROPER(TRIM(K538)))</f>
        <v>East</v>
      </c>
      <c r="M538" t="s">
        <v>174</v>
      </c>
      <c r="N538" t="s">
        <v>175</v>
      </c>
      <c r="O538" t="s">
        <v>83</v>
      </c>
      <c r="P538" t="str">
        <f>IF(TRIM(O538)="","Unknown",PROPER(TRIM(O538)))</f>
        <v>Technology</v>
      </c>
      <c r="Q538" t="s">
        <v>91</v>
      </c>
      <c r="R538" t="s">
        <v>496</v>
      </c>
      <c r="S538" t="s">
        <v>55</v>
      </c>
      <c r="T538" t="str">
        <f>IF(TRIM(S538)="","Unknown",PROPER(TRIM(S538)))</f>
        <v>First Class</v>
      </c>
      <c r="U538">
        <v>3</v>
      </c>
      <c r="V538">
        <v>3703.96</v>
      </c>
      <c r="W538">
        <v>0.15</v>
      </c>
      <c r="Y538">
        <v>0.15</v>
      </c>
      <c r="Z538">
        <v>9445.1</v>
      </c>
      <c r="AA538">
        <v>5586.28</v>
      </c>
      <c r="AB538">
        <v>3858.82</v>
      </c>
      <c r="AC538" t="s">
        <v>33</v>
      </c>
      <c r="AD538" t="s">
        <v>34</v>
      </c>
      <c r="AE538">
        <f>ROUND((U538*V538)-(U538*V538*Y538),2)</f>
        <v>9445.1</v>
      </c>
      <c r="AF538">
        <f>AE538-AA538</f>
        <v>3858.8200000000006</v>
      </c>
      <c r="AG538" s="7">
        <f>ROUND((AF538/AE538),4)</f>
        <v>0.40860000000000002</v>
      </c>
      <c r="AH538">
        <f>IF(AND(C538&lt;&gt;"",E538&lt;&gt;""),E538 - C538,"")</f>
        <v>5</v>
      </c>
      <c r="AI538" t="str">
        <f>IF(C538="","",TEXT(C538, "mmmm"))</f>
        <v>August</v>
      </c>
      <c r="AJ538">
        <f>IF(C538="","",YEAR(C538))</f>
        <v>2025</v>
      </c>
      <c r="AM538" t="str">
        <f>IF(AN538="","clean","")</f>
        <v>clean</v>
      </c>
      <c r="AN538" t="s">
        <v>3595</v>
      </c>
    </row>
    <row r="539" spans="1:40">
      <c r="A539" t="s">
        <v>494</v>
      </c>
      <c r="B539" t="s">
        <v>3658</v>
      </c>
      <c r="C539" s="6">
        <v>45893</v>
      </c>
      <c r="D539" t="s">
        <v>67</v>
      </c>
      <c r="E539" s="6">
        <v>45898</v>
      </c>
      <c r="F539" t="s">
        <v>495</v>
      </c>
      <c r="G539" t="s">
        <v>153</v>
      </c>
      <c r="H539" t="s">
        <v>153</v>
      </c>
      <c r="I539" t="s">
        <v>40</v>
      </c>
      <c r="J539" t="s">
        <v>40</v>
      </c>
      <c r="K539" t="s">
        <v>41</v>
      </c>
      <c r="L539" t="str">
        <f>IF(TRIM(K539)="","Unknown",PROPER(TRIM(K539)))</f>
        <v>East</v>
      </c>
      <c r="M539" t="s">
        <v>174</v>
      </c>
      <c r="N539" t="s">
        <v>175</v>
      </c>
      <c r="O539" t="s">
        <v>83</v>
      </c>
      <c r="P539" t="str">
        <f>IF(TRIM(O539)="","Unknown",PROPER(TRIM(O539)))</f>
        <v>Technology</v>
      </c>
      <c r="Q539" t="s">
        <v>91</v>
      </c>
      <c r="R539" t="s">
        <v>496</v>
      </c>
      <c r="S539" t="s">
        <v>55</v>
      </c>
      <c r="T539" t="str">
        <f>IF(TRIM(S539)="","Unknown",PROPER(TRIM(S539)))</f>
        <v>First Class</v>
      </c>
      <c r="U539">
        <v>3</v>
      </c>
      <c r="V539">
        <v>3703.96</v>
      </c>
      <c r="W539">
        <v>0.15</v>
      </c>
      <c r="Y539">
        <v>0.14000000000000001</v>
      </c>
      <c r="Z539">
        <v>9549.44</v>
      </c>
      <c r="AA539">
        <v>5586.28</v>
      </c>
      <c r="AB539">
        <v>3858.82</v>
      </c>
      <c r="AC539" t="s">
        <v>33</v>
      </c>
      <c r="AD539" t="s">
        <v>120</v>
      </c>
      <c r="AE539">
        <f>ROUND((U539*V539)-(U539*V539*Y539),2)</f>
        <v>9556.2199999999993</v>
      </c>
      <c r="AF539">
        <f>AE539-AA539</f>
        <v>3969.9399999999996</v>
      </c>
      <c r="AG539" s="7">
        <f>ROUND((AF539/AE539),4)</f>
        <v>0.41539999999999999</v>
      </c>
      <c r="AH539">
        <f>IF(AND(C539&lt;&gt;"",E539&lt;&gt;""),E539 - C539,"")</f>
        <v>5</v>
      </c>
      <c r="AI539" t="str">
        <f>IF(C539="","",TEXT(C539, "mmmm"))</f>
        <v>August</v>
      </c>
      <c r="AJ539">
        <f>IF(C539="","",YEAR(C539))</f>
        <v>2025</v>
      </c>
      <c r="AK539" t="s">
        <v>4152</v>
      </c>
      <c r="AM539" t="s">
        <v>4145</v>
      </c>
      <c r="AN539" t="s">
        <v>4155</v>
      </c>
    </row>
    <row r="540" spans="1:40">
      <c r="A540" t="s">
        <v>497</v>
      </c>
      <c r="B540" t="s">
        <v>3659</v>
      </c>
      <c r="C540" s="6">
        <v>45718</v>
      </c>
      <c r="D540" t="s">
        <v>498</v>
      </c>
      <c r="E540" s="6">
        <v>45724</v>
      </c>
      <c r="F540" t="s">
        <v>499</v>
      </c>
      <c r="G540" t="s">
        <v>158</v>
      </c>
      <c r="H540" t="s">
        <v>158</v>
      </c>
      <c r="I540" t="s">
        <v>104</v>
      </c>
      <c r="J540" t="s">
        <v>104</v>
      </c>
      <c r="K540" t="s">
        <v>71</v>
      </c>
      <c r="L540" t="str">
        <f>IF(TRIM(K540)="","Unknown",PROPER(TRIM(K540)))</f>
        <v>West</v>
      </c>
      <c r="M540" t="s">
        <v>81</v>
      </c>
      <c r="N540" t="s">
        <v>82</v>
      </c>
      <c r="O540" t="s">
        <v>83</v>
      </c>
      <c r="P540" t="str">
        <f>IF(TRIM(O540)="","Unknown",PROPER(TRIM(O540)))</f>
        <v>Technology</v>
      </c>
      <c r="Q540" t="s">
        <v>91</v>
      </c>
      <c r="R540" t="s">
        <v>500</v>
      </c>
      <c r="S540" t="s">
        <v>32</v>
      </c>
      <c r="T540" t="str">
        <f>IF(TRIM(S540)="","Unknown",PROPER(TRIM(S540)))</f>
        <v>Second Class</v>
      </c>
      <c r="U540">
        <v>9</v>
      </c>
      <c r="V540">
        <v>269.68</v>
      </c>
      <c r="W540">
        <v>0</v>
      </c>
      <c r="Y540">
        <v>0</v>
      </c>
      <c r="Z540">
        <v>2427.12</v>
      </c>
      <c r="AA540">
        <v>1538.35</v>
      </c>
      <c r="AB540">
        <v>804.53</v>
      </c>
      <c r="AC540" t="s">
        <v>33</v>
      </c>
      <c r="AD540" t="s">
        <v>34</v>
      </c>
      <c r="AE540">
        <f>ROUND((U540*V540)-(U540*V540*Y540),2)</f>
        <v>2427.12</v>
      </c>
      <c r="AF540">
        <f>AE540-AA540</f>
        <v>888.77</v>
      </c>
      <c r="AG540" s="7">
        <f>ROUND((AF540/AE540),4)</f>
        <v>0.36620000000000003</v>
      </c>
      <c r="AH540">
        <f>IF(AND(C540&lt;&gt;"",E540&lt;&gt;""),E540 - C540,"")</f>
        <v>6</v>
      </c>
      <c r="AI540" t="str">
        <f>IF(C540="","",TEXT(C540, "mmmm"))</f>
        <v>March</v>
      </c>
      <c r="AJ540">
        <f>IF(C540="","",YEAR(C540))</f>
        <v>2025</v>
      </c>
      <c r="AM540" t="str">
        <f>IF(AN540="","clean","")</f>
        <v>clean</v>
      </c>
      <c r="AN540" t="s">
        <v>3595</v>
      </c>
    </row>
    <row r="541" spans="1:40">
      <c r="A541" t="s">
        <v>501</v>
      </c>
      <c r="B541" t="s">
        <v>172</v>
      </c>
      <c r="C541" s="6">
        <v>45680</v>
      </c>
      <c r="D541" t="s">
        <v>502</v>
      </c>
      <c r="E541" s="6">
        <v>45683</v>
      </c>
      <c r="F541" t="s">
        <v>503</v>
      </c>
      <c r="G541" t="s">
        <v>153</v>
      </c>
      <c r="H541" t="s">
        <v>153</v>
      </c>
      <c r="I541" t="s">
        <v>25</v>
      </c>
      <c r="J541" t="s">
        <v>25</v>
      </c>
      <c r="K541" t="s">
        <v>71</v>
      </c>
      <c r="L541" t="str">
        <f>IF(TRIM(K541)="","Unknown",PROPER(TRIM(K541)))</f>
        <v>West</v>
      </c>
      <c r="M541" t="s">
        <v>81</v>
      </c>
      <c r="N541" t="s">
        <v>82</v>
      </c>
      <c r="O541" t="s">
        <v>29</v>
      </c>
      <c r="P541" t="str">
        <f>IF(TRIM(O541)="","Unknown",PROPER(TRIM(O541)))</f>
        <v>Office Supplies</v>
      </c>
      <c r="Q541" t="s">
        <v>30</v>
      </c>
      <c r="R541" t="s">
        <v>504</v>
      </c>
      <c r="S541" t="s">
        <v>65</v>
      </c>
      <c r="T541" t="str">
        <f>IF(TRIM(S541)="","Unknown",PROPER(TRIM(S541)))</f>
        <v>Standard Class</v>
      </c>
      <c r="U541">
        <v>9</v>
      </c>
      <c r="V541">
        <v>4458.26</v>
      </c>
      <c r="W541">
        <v>0.1</v>
      </c>
      <c r="Y541">
        <v>0.1</v>
      </c>
      <c r="Z541">
        <v>36111.910000000003</v>
      </c>
      <c r="AA541">
        <v>29194.5</v>
      </c>
      <c r="AB541">
        <v>6917.41</v>
      </c>
      <c r="AC541" t="s">
        <v>33</v>
      </c>
      <c r="AD541" t="s">
        <v>34</v>
      </c>
      <c r="AE541">
        <f>ROUND((U541*V541)-(U541*V541*Y541),2)</f>
        <v>36111.910000000003</v>
      </c>
      <c r="AF541">
        <f>AE541-AA541</f>
        <v>6917.4100000000035</v>
      </c>
      <c r="AG541" s="7">
        <f>ROUND((AF541/AE541),4)</f>
        <v>0.19159999999999999</v>
      </c>
      <c r="AH541">
        <f>IF(AND(C541&lt;&gt;"",E541&lt;&gt;""),E541 - C541,"")</f>
        <v>3</v>
      </c>
      <c r="AI541" t="str">
        <f>IF(C541="","",TEXT(C541, "mmmm"))</f>
        <v>January</v>
      </c>
      <c r="AJ541">
        <f>IF(C541="","",YEAR(C541))</f>
        <v>2025</v>
      </c>
      <c r="AM541" t="str">
        <f>IF(AN541="","clean","")</f>
        <v>clean</v>
      </c>
      <c r="AN541" t="s">
        <v>3595</v>
      </c>
    </row>
    <row r="542" spans="1:40">
      <c r="A542" t="s">
        <v>513</v>
      </c>
      <c r="B542" t="s">
        <v>514</v>
      </c>
      <c r="C542" s="6">
        <v>45905</v>
      </c>
      <c r="D542" t="s">
        <v>515</v>
      </c>
      <c r="E542" s="6">
        <v>45910</v>
      </c>
      <c r="F542" t="s">
        <v>516</v>
      </c>
      <c r="G542" t="s">
        <v>158</v>
      </c>
      <c r="H542" t="s">
        <v>158</v>
      </c>
      <c r="I542" t="s">
        <v>104</v>
      </c>
      <c r="J542" t="s">
        <v>104</v>
      </c>
      <c r="K542" t="s">
        <v>71</v>
      </c>
      <c r="L542" t="str">
        <f>IF(TRIM(K542)="","Unknown",PROPER(TRIM(K542)))</f>
        <v>West</v>
      </c>
      <c r="M542" t="s">
        <v>230</v>
      </c>
      <c r="N542" t="s">
        <v>231</v>
      </c>
      <c r="O542" t="s">
        <v>44</v>
      </c>
      <c r="P542" t="str">
        <f>IF(TRIM(O542)="","Unknown",PROPER(TRIM(O542)))</f>
        <v>Furniture</v>
      </c>
      <c r="Q542" t="s">
        <v>190</v>
      </c>
      <c r="R542" t="s">
        <v>517</v>
      </c>
      <c r="S542" t="s">
        <v>47</v>
      </c>
      <c r="T542" t="str">
        <f>IF(TRIM(S542)="","Unknown",PROPER(TRIM(S542)))</f>
        <v>Same Day</v>
      </c>
      <c r="U542">
        <v>6</v>
      </c>
      <c r="V542">
        <v>1754.13</v>
      </c>
      <c r="W542">
        <v>0</v>
      </c>
      <c r="Y542">
        <v>0</v>
      </c>
      <c r="Z542">
        <v>10524.78</v>
      </c>
      <c r="AA542">
        <v>8841.0499999999993</v>
      </c>
      <c r="AB542">
        <v>1683.73</v>
      </c>
      <c r="AC542" t="s">
        <v>33</v>
      </c>
      <c r="AD542" t="s">
        <v>34</v>
      </c>
      <c r="AE542">
        <f>ROUND((U542*V542)-(U542*V542*Y542),2)</f>
        <v>10524.78</v>
      </c>
      <c r="AF542">
        <f>AE542-AA542</f>
        <v>1683.7300000000014</v>
      </c>
      <c r="AG542" s="7">
        <f>ROUND((AF542/AE542),4)</f>
        <v>0.16</v>
      </c>
      <c r="AH542">
        <f>IF(AND(C542&lt;&gt;"",E542&lt;&gt;""),E542 - C542,"")</f>
        <v>5</v>
      </c>
      <c r="AI542" t="str">
        <f>IF(C542="","",TEXT(C542, "mmmm"))</f>
        <v>September</v>
      </c>
      <c r="AJ542">
        <f>IF(C542="","",YEAR(C542))</f>
        <v>2025</v>
      </c>
      <c r="AM542" t="str">
        <f>IF(AN542="","clean","")</f>
        <v>clean</v>
      </c>
      <c r="AN542" t="s">
        <v>3595</v>
      </c>
    </row>
    <row r="543" spans="1:40">
      <c r="A543" t="s">
        <v>523</v>
      </c>
      <c r="B543" t="s">
        <v>3661</v>
      </c>
      <c r="C543" s="6">
        <v>45877</v>
      </c>
      <c r="D543" t="s">
        <v>524</v>
      </c>
      <c r="E543" s="6">
        <v>45880</v>
      </c>
      <c r="F543" t="s">
        <v>525</v>
      </c>
      <c r="G543" t="s">
        <v>196</v>
      </c>
      <c r="H543" t="s">
        <v>196</v>
      </c>
      <c r="I543" t="s">
        <v>40</v>
      </c>
      <c r="J543" t="s">
        <v>40</v>
      </c>
      <c r="K543" t="s">
        <v>71</v>
      </c>
      <c r="L543" t="str">
        <f>IF(TRIM(K543)="","Unknown",PROPER(TRIM(K543)))</f>
        <v>West</v>
      </c>
      <c r="M543" t="s">
        <v>218</v>
      </c>
      <c r="N543" t="s">
        <v>219</v>
      </c>
      <c r="O543" t="s">
        <v>29</v>
      </c>
      <c r="P543" t="str">
        <f>IF(TRIM(O543)="","Unknown",PROPER(TRIM(O543)))</f>
        <v>Office Supplies</v>
      </c>
      <c r="Q543" t="s">
        <v>148</v>
      </c>
      <c r="R543" t="s">
        <v>526</v>
      </c>
      <c r="S543" t="s">
        <v>47</v>
      </c>
      <c r="T543" t="str">
        <f>IF(TRIM(S543)="","Unknown",PROPER(TRIM(S543)))</f>
        <v>Same Day</v>
      </c>
      <c r="U543">
        <v>5</v>
      </c>
      <c r="V543">
        <v>3602.36</v>
      </c>
      <c r="W543">
        <v>0.2</v>
      </c>
      <c r="Y543">
        <v>0.2</v>
      </c>
      <c r="Z543">
        <v>14409.44</v>
      </c>
      <c r="AA543">
        <v>8809.9699999999993</v>
      </c>
      <c r="AB543">
        <v>5599.47</v>
      </c>
      <c r="AC543" t="s">
        <v>131</v>
      </c>
      <c r="AD543" t="s">
        <v>120</v>
      </c>
      <c r="AE543">
        <f>ROUND((U543*V543)-(U543*V543*Y543),2)</f>
        <v>14409.44</v>
      </c>
      <c r="AF543">
        <f>AE543-AA543</f>
        <v>5599.4700000000012</v>
      </c>
      <c r="AG543" s="7">
        <f>ROUND((AF543/AE543),4)</f>
        <v>0.3886</v>
      </c>
      <c r="AH543">
        <f>IF(AND(C543&lt;&gt;"",E543&lt;&gt;""),E543 - C543,"")</f>
        <v>3</v>
      </c>
      <c r="AI543" t="str">
        <f>IF(C543="","",TEXT(C543, "mmmm"))</f>
        <v>August</v>
      </c>
      <c r="AJ543">
        <f>IF(C543="","",YEAR(C543))</f>
        <v>2025</v>
      </c>
      <c r="AM543" t="str">
        <f>IF(AN543="","clean","")</f>
        <v>clean</v>
      </c>
      <c r="AN543" t="s">
        <v>3595</v>
      </c>
    </row>
    <row r="544" spans="1:40">
      <c r="A544" t="s">
        <v>531</v>
      </c>
      <c r="B544" t="s">
        <v>532</v>
      </c>
      <c r="C544" s="6">
        <v>45668</v>
      </c>
      <c r="D544" t="s">
        <v>532</v>
      </c>
      <c r="E544" s="6">
        <v>45668</v>
      </c>
      <c r="F544" t="s">
        <v>533</v>
      </c>
      <c r="G544" t="s">
        <v>103</v>
      </c>
      <c r="H544" t="s">
        <v>103</v>
      </c>
      <c r="I544" t="s">
        <v>40</v>
      </c>
      <c r="J544" t="s">
        <v>40</v>
      </c>
      <c r="K544" t="s">
        <v>71</v>
      </c>
      <c r="L544" t="str">
        <f>IF(TRIM(K544)="","Unknown",PROPER(TRIM(K544)))</f>
        <v>West</v>
      </c>
      <c r="M544" t="s">
        <v>27</v>
      </c>
      <c r="N544" t="s">
        <v>129</v>
      </c>
      <c r="O544" t="s">
        <v>83</v>
      </c>
      <c r="P544" t="str">
        <f>IF(TRIM(O544)="","Unknown",PROPER(TRIM(O544)))</f>
        <v>Technology</v>
      </c>
      <c r="Q544" t="s">
        <v>84</v>
      </c>
      <c r="R544" t="s">
        <v>534</v>
      </c>
      <c r="S544" t="s">
        <v>47</v>
      </c>
      <c r="T544" t="str">
        <f>IF(TRIM(S544)="","Unknown",PROPER(TRIM(S544)))</f>
        <v>Same Day</v>
      </c>
      <c r="U544">
        <v>3</v>
      </c>
      <c r="V544">
        <v>2165.29</v>
      </c>
      <c r="W544">
        <v>0</v>
      </c>
      <c r="Y544">
        <v>0</v>
      </c>
      <c r="Z544">
        <v>6495.87</v>
      </c>
      <c r="AA544">
        <v>4700.8900000000003</v>
      </c>
      <c r="AB544">
        <v>1794.98</v>
      </c>
      <c r="AC544" t="s">
        <v>33</v>
      </c>
      <c r="AD544" t="s">
        <v>34</v>
      </c>
      <c r="AE544">
        <f>ROUND((U544*V544)-(U544*V544*Y544),2)</f>
        <v>6495.87</v>
      </c>
      <c r="AF544">
        <f>AE544-AA544</f>
        <v>1794.9799999999996</v>
      </c>
      <c r="AG544" s="7">
        <f>ROUND((AF544/AE544),4)</f>
        <v>0.27629999999999999</v>
      </c>
      <c r="AH544">
        <f>IF(AND(C544&lt;&gt;"",E544&lt;&gt;""),E544 - C544,"")</f>
        <v>0</v>
      </c>
      <c r="AI544" t="str">
        <f>IF(C544="","",TEXT(C544, "mmmm"))</f>
        <v>January</v>
      </c>
      <c r="AJ544">
        <f>IF(C544="","",YEAR(C544))</f>
        <v>2025</v>
      </c>
      <c r="AM544" t="str">
        <f>IF(AN544="","clean","")</f>
        <v>clean</v>
      </c>
      <c r="AN544" t="s">
        <v>3595</v>
      </c>
    </row>
    <row r="545" spans="1:40">
      <c r="A545" t="s">
        <v>535</v>
      </c>
      <c r="B545" t="s">
        <v>3663</v>
      </c>
      <c r="C545" s="6">
        <v>45912</v>
      </c>
      <c r="D545" t="s">
        <v>536</v>
      </c>
      <c r="E545" s="6">
        <v>45918</v>
      </c>
      <c r="F545" t="s">
        <v>537</v>
      </c>
      <c r="G545" t="s">
        <v>153</v>
      </c>
      <c r="H545" t="s">
        <v>153</v>
      </c>
      <c r="I545" t="s">
        <v>110</v>
      </c>
      <c r="J545" t="s">
        <v>110</v>
      </c>
      <c r="K545" t="s">
        <v>60</v>
      </c>
      <c r="L545" t="str">
        <f>IF(TRIM(K545)="","Unknown",PROPER(TRIM(K545)))</f>
        <v>South</v>
      </c>
      <c r="M545" t="s">
        <v>224</v>
      </c>
      <c r="N545" t="s">
        <v>225</v>
      </c>
      <c r="O545" t="s">
        <v>29</v>
      </c>
      <c r="P545" t="str">
        <f>IF(TRIM(O545)="","Unknown",PROPER(TRIM(O545)))</f>
        <v>Office Supplies</v>
      </c>
      <c r="Q545" t="s">
        <v>148</v>
      </c>
      <c r="R545" t="s">
        <v>538</v>
      </c>
      <c r="S545" t="s">
        <v>65</v>
      </c>
      <c r="T545" t="str">
        <f>IF(TRIM(S545)="","Unknown",PROPER(TRIM(S545)))</f>
        <v>Standard Class</v>
      </c>
      <c r="U545">
        <v>6</v>
      </c>
      <c r="V545">
        <v>1673.8</v>
      </c>
      <c r="W545">
        <v>0.05</v>
      </c>
      <c r="Y545">
        <v>0.05</v>
      </c>
      <c r="Z545">
        <v>9540.66</v>
      </c>
      <c r="AA545">
        <v>5561.49</v>
      </c>
      <c r="AB545">
        <v>3979.17</v>
      </c>
      <c r="AC545" t="s">
        <v>33</v>
      </c>
      <c r="AD545" t="s">
        <v>34</v>
      </c>
      <c r="AE545">
        <f>ROUND((U545*V545)-(U545*V545*Y545),2)</f>
        <v>9540.66</v>
      </c>
      <c r="AF545">
        <f>AE545-AA545</f>
        <v>3979.17</v>
      </c>
      <c r="AG545" s="7">
        <f>ROUND((AF545/AE545),4)</f>
        <v>0.41710000000000003</v>
      </c>
      <c r="AH545">
        <f>IF(AND(C545&lt;&gt;"",E545&lt;&gt;""),E545 - C545,"")</f>
        <v>6</v>
      </c>
      <c r="AI545" t="str">
        <f>IF(C545="","",TEXT(C545, "mmmm"))</f>
        <v>September</v>
      </c>
      <c r="AJ545">
        <f>IF(C545="","",YEAR(C545))</f>
        <v>2025</v>
      </c>
      <c r="AM545" t="str">
        <f>IF(AN545="","clean","")</f>
        <v>clean</v>
      </c>
      <c r="AN545" t="s">
        <v>3595</v>
      </c>
    </row>
    <row r="546" spans="1:40">
      <c r="A546" t="s">
        <v>543</v>
      </c>
      <c r="B546" t="s">
        <v>3664</v>
      </c>
      <c r="C546" s="6">
        <v>45850</v>
      </c>
      <c r="D546" t="s">
        <v>544</v>
      </c>
      <c r="E546" s="6">
        <v>45854</v>
      </c>
      <c r="F546" t="s">
        <v>545</v>
      </c>
      <c r="G546" t="s">
        <v>80</v>
      </c>
      <c r="H546" t="s">
        <v>80</v>
      </c>
      <c r="I546" t="s">
        <v>25</v>
      </c>
      <c r="J546" t="s">
        <v>25</v>
      </c>
      <c r="K546" t="s">
        <v>60</v>
      </c>
      <c r="L546" t="str">
        <f>IF(TRIM(K546)="","Unknown",PROPER(TRIM(K546)))</f>
        <v>South</v>
      </c>
      <c r="M546" t="s">
        <v>212</v>
      </c>
      <c r="N546" t="s">
        <v>213</v>
      </c>
      <c r="O546" t="s">
        <v>44</v>
      </c>
      <c r="P546" t="str">
        <f>IF(TRIM(O546)="","Unknown",PROPER(TRIM(O546)))</f>
        <v>Furniture</v>
      </c>
      <c r="Q546" t="s">
        <v>74</v>
      </c>
      <c r="R546" t="s">
        <v>546</v>
      </c>
      <c r="S546" t="s">
        <v>55</v>
      </c>
      <c r="T546" t="str">
        <f>IF(TRIM(S546)="","Unknown",PROPER(TRIM(S546)))</f>
        <v>First Class</v>
      </c>
      <c r="U546">
        <v>4</v>
      </c>
      <c r="V546">
        <v>2865.71</v>
      </c>
      <c r="W546">
        <v>0</v>
      </c>
      <c r="Y546">
        <v>0</v>
      </c>
      <c r="Z546">
        <v>11462.84</v>
      </c>
      <c r="AA546">
        <v>8979.7800000000007</v>
      </c>
      <c r="AB546">
        <v>2483.06</v>
      </c>
      <c r="AC546" t="s">
        <v>119</v>
      </c>
      <c r="AD546" t="s">
        <v>76</v>
      </c>
      <c r="AE546">
        <f>ROUND((U546*V546)-(U546*V546*Y546),2)</f>
        <v>11462.84</v>
      </c>
      <c r="AF546">
        <f>AE546-AA546</f>
        <v>2483.0599999999995</v>
      </c>
      <c r="AG546" s="7">
        <f>ROUND((AF546/AE546),4)</f>
        <v>0.21659999999999999</v>
      </c>
      <c r="AH546">
        <f>IF(AND(C546&lt;&gt;"",E546&lt;&gt;""),E546 - C546,"")</f>
        <v>4</v>
      </c>
      <c r="AI546" t="str">
        <f>IF(C546="","",TEXT(C546, "mmmm"))</f>
        <v>July</v>
      </c>
      <c r="AJ546">
        <f>IF(C546="","",YEAR(C546))</f>
        <v>2025</v>
      </c>
      <c r="AM546" t="str">
        <f>IF(AN546="","clean","")</f>
        <v>clean</v>
      </c>
      <c r="AN546" t="s">
        <v>3595</v>
      </c>
    </row>
    <row r="547" spans="1:40">
      <c r="A547" t="s">
        <v>547</v>
      </c>
      <c r="B547" t="s">
        <v>3665</v>
      </c>
      <c r="C547" s="6">
        <v>45779</v>
      </c>
      <c r="D547" t="s">
        <v>548</v>
      </c>
      <c r="E547" s="6">
        <v>45787</v>
      </c>
      <c r="F547" t="s">
        <v>549</v>
      </c>
      <c r="G547" t="s">
        <v>334</v>
      </c>
      <c r="H547" t="s">
        <v>334</v>
      </c>
      <c r="I547" t="s">
        <v>104</v>
      </c>
      <c r="J547" t="s">
        <v>104</v>
      </c>
      <c r="K547" t="s">
        <v>71</v>
      </c>
      <c r="L547" t="str">
        <f>IF(TRIM(K547)="","Unknown",PROPER(TRIM(K547)))</f>
        <v>West</v>
      </c>
      <c r="M547" t="s">
        <v>72</v>
      </c>
      <c r="N547" t="s">
        <v>73</v>
      </c>
      <c r="O547" t="s">
        <v>44</v>
      </c>
      <c r="P547" t="str">
        <f>IF(TRIM(O547)="","Unknown",PROPER(TRIM(O547)))</f>
        <v>Furniture</v>
      </c>
      <c r="Q547" t="s">
        <v>45</v>
      </c>
      <c r="R547" t="s">
        <v>550</v>
      </c>
      <c r="S547" t="s">
        <v>55</v>
      </c>
      <c r="T547" t="str">
        <f>IF(TRIM(S547)="","Unknown",PROPER(TRIM(S547)))</f>
        <v>First Class</v>
      </c>
      <c r="U547">
        <v>4</v>
      </c>
      <c r="V547">
        <v>2440.34</v>
      </c>
      <c r="W547">
        <v>0.2</v>
      </c>
      <c r="Y547">
        <v>0.2</v>
      </c>
      <c r="Z547">
        <v>7809.09</v>
      </c>
      <c r="AA547">
        <v>6657.75</v>
      </c>
      <c r="AB547">
        <v>1151.3399999999999</v>
      </c>
      <c r="AC547" t="s">
        <v>33</v>
      </c>
      <c r="AD547" t="s">
        <v>34</v>
      </c>
      <c r="AE547">
        <f>ROUND((U547*V547)-(U547*V547*Y547),2)</f>
        <v>7809.09</v>
      </c>
      <c r="AF547">
        <f>AE547-AA547</f>
        <v>1151.3400000000001</v>
      </c>
      <c r="AG547" s="7">
        <f>ROUND((AF547/AE547),4)</f>
        <v>0.1474</v>
      </c>
      <c r="AH547">
        <f>IF(AND(C547&lt;&gt;"",E547&lt;&gt;""),E547 - C547,"")</f>
        <v>8</v>
      </c>
      <c r="AI547" t="str">
        <f>IF(C547="","",TEXT(C547, "mmmm"))</f>
        <v>May</v>
      </c>
      <c r="AJ547">
        <f>IF(C547="","",YEAR(C547))</f>
        <v>2025</v>
      </c>
      <c r="AM547" t="str">
        <f>IF(AN547="","clean","")</f>
        <v>clean</v>
      </c>
      <c r="AN547" t="s">
        <v>3595</v>
      </c>
    </row>
    <row r="548" spans="1:40">
      <c r="A548" t="s">
        <v>551</v>
      </c>
      <c r="B548" t="s">
        <v>3666</v>
      </c>
      <c r="C548" s="6">
        <v>45689</v>
      </c>
      <c r="D548" t="s">
        <v>552</v>
      </c>
      <c r="E548" s="6">
        <v>45696</v>
      </c>
      <c r="F548" t="s">
        <v>553</v>
      </c>
      <c r="G548" t="s">
        <v>70</v>
      </c>
      <c r="H548" t="s">
        <v>70</v>
      </c>
      <c r="I548" t="s">
        <v>25</v>
      </c>
      <c r="J548" t="s">
        <v>25</v>
      </c>
      <c r="K548" t="s">
        <v>60</v>
      </c>
      <c r="L548" t="str">
        <f>IF(TRIM(K548)="","Unknown",PROPER(TRIM(K548)))</f>
        <v>South</v>
      </c>
      <c r="M548" t="s">
        <v>212</v>
      </c>
      <c r="N548" t="s">
        <v>213</v>
      </c>
      <c r="O548" t="s">
        <v>29</v>
      </c>
      <c r="P548" t="str">
        <f>IF(TRIM(O548)="","Unknown",PROPER(TRIM(O548)))</f>
        <v>Office Supplies</v>
      </c>
      <c r="Q548" t="s">
        <v>105</v>
      </c>
      <c r="R548" t="s">
        <v>554</v>
      </c>
      <c r="S548" t="s">
        <v>47</v>
      </c>
      <c r="T548" t="str">
        <f>IF(TRIM(S548)="","Unknown",PROPER(TRIM(S548)))</f>
        <v>Same Day</v>
      </c>
      <c r="U548">
        <v>5</v>
      </c>
      <c r="V548">
        <v>2112.54</v>
      </c>
      <c r="W548">
        <v>0.25</v>
      </c>
      <c r="Y548">
        <v>0.22</v>
      </c>
      <c r="Z548">
        <v>8260.4599999999991</v>
      </c>
      <c r="AA548">
        <v>5619.95</v>
      </c>
      <c r="AB548">
        <v>2302.08</v>
      </c>
      <c r="AC548" t="s">
        <v>33</v>
      </c>
      <c r="AD548" t="s">
        <v>76</v>
      </c>
      <c r="AE548">
        <f>ROUND((U548*V548)-(U548*V548*Y548),2)</f>
        <v>8238.91</v>
      </c>
      <c r="AF548">
        <f>AE548-AA548</f>
        <v>2618.96</v>
      </c>
      <c r="AG548" s="7">
        <f>ROUND((AF548/AE548),4)</f>
        <v>0.31790000000000002</v>
      </c>
      <c r="AH548">
        <f>IF(AND(C548&lt;&gt;"",E548&lt;&gt;""),E548 - C548,"")</f>
        <v>7</v>
      </c>
      <c r="AI548" t="str">
        <f>IF(C548="","",TEXT(C548, "mmmm"))</f>
        <v>February</v>
      </c>
      <c r="AJ548">
        <f>IF(C548="","",YEAR(C548))</f>
        <v>2025</v>
      </c>
      <c r="AM548" t="s">
        <v>4145</v>
      </c>
      <c r="AN548" t="s">
        <v>3596</v>
      </c>
    </row>
    <row r="549" spans="1:40">
      <c r="A549" t="s">
        <v>571</v>
      </c>
      <c r="B549" t="s">
        <v>572</v>
      </c>
      <c r="D549" t="s">
        <v>430</v>
      </c>
      <c r="E549" s="6">
        <v>45896</v>
      </c>
      <c r="F549" t="s">
        <v>573</v>
      </c>
      <c r="G549" t="s">
        <v>158</v>
      </c>
      <c r="H549" t="s">
        <v>158</v>
      </c>
      <c r="I549" t="s">
        <v>25</v>
      </c>
      <c r="J549" t="s">
        <v>25</v>
      </c>
      <c r="K549" t="s">
        <v>26</v>
      </c>
      <c r="L549" t="str">
        <f>IF(TRIM(K549)="","Unknown",PROPER(TRIM(K549)))</f>
        <v>North</v>
      </c>
      <c r="M549" t="s">
        <v>454</v>
      </c>
      <c r="N549" t="s">
        <v>455</v>
      </c>
      <c r="O549" t="s">
        <v>29</v>
      </c>
      <c r="P549" t="str">
        <f>IF(TRIM(O549)="","Unknown",PROPER(TRIM(O549)))</f>
        <v>Office Supplies</v>
      </c>
      <c r="Q549" t="s">
        <v>184</v>
      </c>
      <c r="R549" t="s">
        <v>574</v>
      </c>
      <c r="S549" t="s">
        <v>32</v>
      </c>
      <c r="T549" t="str">
        <f>IF(TRIM(S549)="","Unknown",PROPER(TRIM(S549)))</f>
        <v>Second Class</v>
      </c>
      <c r="U549">
        <v>1</v>
      </c>
      <c r="V549">
        <v>2788.62</v>
      </c>
      <c r="W549">
        <v>0.25</v>
      </c>
      <c r="Y549">
        <v>0.25</v>
      </c>
      <c r="Z549">
        <v>2091.4699999999998</v>
      </c>
      <c r="AA549">
        <v>1317.22</v>
      </c>
      <c r="AB549">
        <v>774.25</v>
      </c>
      <c r="AC549" t="s">
        <v>33</v>
      </c>
      <c r="AD549" t="s">
        <v>34</v>
      </c>
      <c r="AE549">
        <f>ROUND((U549*V549)-(U549*V549*Y549),2)</f>
        <v>2091.4699999999998</v>
      </c>
      <c r="AF549">
        <f>AE549-AA549</f>
        <v>774.24999999999977</v>
      </c>
      <c r="AG549" s="7">
        <f>ROUND((AF549/AE549),4)</f>
        <v>0.37019999999999997</v>
      </c>
      <c r="AH549" t="str">
        <f>IF(AND(C549&lt;&gt;"",E549&lt;&gt;""),E549 - C549,"")</f>
        <v/>
      </c>
      <c r="AI549" t="str">
        <f>IF(C549="","",TEXT(C549, "mmmm"))</f>
        <v/>
      </c>
      <c r="AJ549" t="str">
        <f>IF(C549="","",YEAR(C549))</f>
        <v/>
      </c>
      <c r="AM549" t="s">
        <v>4144</v>
      </c>
      <c r="AN549" t="s">
        <v>4127</v>
      </c>
    </row>
    <row r="550" spans="1:40">
      <c r="A550" t="s">
        <v>579</v>
      </c>
      <c r="B550" t="s">
        <v>580</v>
      </c>
      <c r="C550" s="6">
        <v>45835</v>
      </c>
      <c r="D550" t="s">
        <v>581</v>
      </c>
      <c r="E550" s="6">
        <v>45838</v>
      </c>
      <c r="F550" t="s">
        <v>582</v>
      </c>
      <c r="G550" t="s">
        <v>90</v>
      </c>
      <c r="H550" t="s">
        <v>90</v>
      </c>
      <c r="I550" t="s">
        <v>104</v>
      </c>
      <c r="J550" t="s">
        <v>104</v>
      </c>
      <c r="K550" t="s">
        <v>41</v>
      </c>
      <c r="L550" t="str">
        <f>IF(TRIM(K550)="","Unknown",PROPER(TRIM(K550)))</f>
        <v>East</v>
      </c>
      <c r="M550" t="s">
        <v>174</v>
      </c>
      <c r="N550" t="s">
        <v>175</v>
      </c>
      <c r="O550" t="s">
        <v>83</v>
      </c>
      <c r="P550" t="str">
        <f>IF(TRIM(O550)="","Unknown",PROPER(TRIM(O550)))</f>
        <v>Technology</v>
      </c>
      <c r="Q550" t="s">
        <v>84</v>
      </c>
      <c r="R550" t="s">
        <v>583</v>
      </c>
      <c r="S550" t="s">
        <v>55</v>
      </c>
      <c r="T550" t="str">
        <f>IF(TRIM(S550)="","Unknown",PROPER(TRIM(S550)))</f>
        <v>First Class</v>
      </c>
      <c r="U550">
        <v>1</v>
      </c>
      <c r="V550">
        <v>1708.44</v>
      </c>
      <c r="W550">
        <v>0.05</v>
      </c>
      <c r="Y550">
        <v>0.05</v>
      </c>
      <c r="Z550">
        <v>1623.02</v>
      </c>
      <c r="AA550">
        <v>1077.46</v>
      </c>
      <c r="AB550">
        <v>545.55999999999995</v>
      </c>
      <c r="AC550" t="s">
        <v>131</v>
      </c>
      <c r="AD550" t="s">
        <v>76</v>
      </c>
      <c r="AE550">
        <f>ROUND((U550*V550)-(U550*V550*Y550),2)</f>
        <v>1623.02</v>
      </c>
      <c r="AF550">
        <f>AE550-AA550</f>
        <v>545.55999999999995</v>
      </c>
      <c r="AG550" s="7">
        <f>ROUND((AF550/AE550),4)</f>
        <v>0.33610000000000001</v>
      </c>
      <c r="AH550">
        <f>IF(AND(C550&lt;&gt;"",E550&lt;&gt;""),E550 - C550,"")</f>
        <v>3</v>
      </c>
      <c r="AI550" t="str">
        <f>IF(C550="","",TEXT(C550, "mmmm"))</f>
        <v>June</v>
      </c>
      <c r="AJ550">
        <f>IF(C550="","",YEAR(C550))</f>
        <v>2025</v>
      </c>
      <c r="AM550" t="str">
        <f>IF(AN550="","clean","")</f>
        <v>clean</v>
      </c>
      <c r="AN550" t="s">
        <v>3595</v>
      </c>
    </row>
    <row r="551" spans="1:40">
      <c r="A551" t="s">
        <v>599</v>
      </c>
      <c r="B551" t="s">
        <v>3675</v>
      </c>
      <c r="C551" s="6">
        <v>45703</v>
      </c>
      <c r="D551" t="s">
        <v>600</v>
      </c>
      <c r="E551" s="6">
        <v>45707</v>
      </c>
      <c r="F551" t="s">
        <v>601</v>
      </c>
      <c r="G551" t="s">
        <v>70</v>
      </c>
      <c r="H551" t="s">
        <v>70</v>
      </c>
      <c r="I551" t="s">
        <v>40</v>
      </c>
      <c r="J551" t="s">
        <v>40</v>
      </c>
      <c r="L551" t="str">
        <f>IF(TRIM(K551)="","Unknown",PROPER(TRIM(K551)))</f>
        <v>Unknown</v>
      </c>
      <c r="M551" t="s">
        <v>81</v>
      </c>
      <c r="N551" t="s">
        <v>82</v>
      </c>
      <c r="O551" t="s">
        <v>29</v>
      </c>
      <c r="P551" t="str">
        <f>IF(TRIM(O551)="","Unknown",PROPER(TRIM(O551)))</f>
        <v>Office Supplies</v>
      </c>
      <c r="Q551" t="s">
        <v>184</v>
      </c>
      <c r="R551" t="s">
        <v>602</v>
      </c>
      <c r="S551" t="s">
        <v>55</v>
      </c>
      <c r="T551" t="str">
        <f>IF(TRIM(S551)="","Unknown",PROPER(TRIM(S551)))</f>
        <v>First Class</v>
      </c>
      <c r="U551">
        <v>9</v>
      </c>
      <c r="V551">
        <v>531.99</v>
      </c>
      <c r="W551">
        <v>0.25</v>
      </c>
      <c r="Y551">
        <v>0.25</v>
      </c>
      <c r="Z551">
        <v>3590.93</v>
      </c>
      <c r="AA551">
        <v>3061.39</v>
      </c>
      <c r="AB551">
        <v>529.54</v>
      </c>
      <c r="AC551" t="s">
        <v>186</v>
      </c>
      <c r="AD551" t="s">
        <v>76</v>
      </c>
      <c r="AE551">
        <f>ROUND((U551*V551)-(U551*V551*Y551),2)</f>
        <v>3590.93</v>
      </c>
      <c r="AF551">
        <f>AE551-AA551</f>
        <v>529.54</v>
      </c>
      <c r="AG551" s="7">
        <f>ROUND((AF551/AE551),4)</f>
        <v>0.14749999999999999</v>
      </c>
      <c r="AH551">
        <f>IF(AND(C551&lt;&gt;"",E551&lt;&gt;""),E551 - C551,"")</f>
        <v>4</v>
      </c>
      <c r="AI551" t="str">
        <f>IF(C551="","",TEXT(C551, "mmmm"))</f>
        <v>February</v>
      </c>
      <c r="AJ551">
        <f>IF(C551="","",YEAR(C551))</f>
        <v>2025</v>
      </c>
      <c r="AM551" t="s">
        <v>4145</v>
      </c>
      <c r="AN551" t="s">
        <v>3597</v>
      </c>
    </row>
    <row r="552" spans="1:40">
      <c r="A552" t="s">
        <v>621</v>
      </c>
      <c r="B552" t="s">
        <v>622</v>
      </c>
      <c r="C552" s="6">
        <v>45891</v>
      </c>
      <c r="D552" t="s">
        <v>623</v>
      </c>
      <c r="E552" s="6">
        <v>45895</v>
      </c>
      <c r="F552" t="s">
        <v>624</v>
      </c>
      <c r="G552" t="s">
        <v>334</v>
      </c>
      <c r="H552" t="s">
        <v>334</v>
      </c>
      <c r="I552" t="s">
        <v>625</v>
      </c>
      <c r="J552" t="s">
        <v>40</v>
      </c>
      <c r="K552" t="s">
        <v>60</v>
      </c>
      <c r="L552" t="str">
        <f>IF(TRIM(K552)="","Unknown",PROPER(TRIM(K552)))</f>
        <v>South</v>
      </c>
      <c r="M552" t="s">
        <v>97</v>
      </c>
      <c r="N552" t="s">
        <v>98</v>
      </c>
      <c r="O552" t="s">
        <v>83</v>
      </c>
      <c r="P552" t="str">
        <f>IF(TRIM(O552)="","Unknown",PROPER(TRIM(O552)))</f>
        <v>Technology</v>
      </c>
      <c r="Q552" t="s">
        <v>347</v>
      </c>
      <c r="R552" t="s">
        <v>626</v>
      </c>
      <c r="S552" t="s">
        <v>32</v>
      </c>
      <c r="T552" t="str">
        <f>IF(TRIM(S552)="","Unknown",PROPER(TRIM(S552)))</f>
        <v>Second Class</v>
      </c>
      <c r="U552">
        <v>5</v>
      </c>
      <c r="V552">
        <v>3482.92</v>
      </c>
      <c r="W552">
        <v>0</v>
      </c>
      <c r="Y552">
        <v>0</v>
      </c>
      <c r="Z552">
        <v>17414.599999999999</v>
      </c>
      <c r="AA552">
        <v>11760.91</v>
      </c>
      <c r="AB552">
        <v>5653.69</v>
      </c>
      <c r="AC552" t="s">
        <v>119</v>
      </c>
      <c r="AD552" t="s">
        <v>76</v>
      </c>
      <c r="AE552">
        <f>ROUND((U552*V552)-(U552*V552*Y552),2)</f>
        <v>17414.599999999999</v>
      </c>
      <c r="AF552">
        <f>AE552-AA552</f>
        <v>5653.6899999999987</v>
      </c>
      <c r="AG552" s="7">
        <f>ROUND((AF552/AE552),4)</f>
        <v>0.32469999999999999</v>
      </c>
      <c r="AH552">
        <f>IF(AND(C552&lt;&gt;"",E552&lt;&gt;""),E552 - C552,"")</f>
        <v>4</v>
      </c>
      <c r="AI552" t="str">
        <f>IF(C552="","",TEXT(C552, "mmmm"))</f>
        <v>August</v>
      </c>
      <c r="AJ552">
        <f>IF(C552="","",YEAR(C552))</f>
        <v>2025</v>
      </c>
      <c r="AM552" t="str">
        <f>IF(AN552="","clean","")</f>
        <v>clean</v>
      </c>
      <c r="AN552" t="s">
        <v>3595</v>
      </c>
    </row>
    <row r="553" spans="1:40">
      <c r="A553" t="s">
        <v>641</v>
      </c>
      <c r="B553" t="s">
        <v>3680</v>
      </c>
      <c r="C553" s="6">
        <v>45855</v>
      </c>
      <c r="D553" t="s">
        <v>642</v>
      </c>
      <c r="E553" s="6">
        <v>45856</v>
      </c>
      <c r="F553" t="s">
        <v>643</v>
      </c>
      <c r="G553" t="s">
        <v>90</v>
      </c>
      <c r="H553" t="s">
        <v>90</v>
      </c>
      <c r="I553" t="s">
        <v>40</v>
      </c>
      <c r="J553" t="s">
        <v>40</v>
      </c>
      <c r="K553" t="s">
        <v>71</v>
      </c>
      <c r="L553" t="str">
        <f>IF(TRIM(K553)="","Unknown",PROPER(TRIM(K553)))</f>
        <v>West</v>
      </c>
      <c r="M553" t="s">
        <v>27</v>
      </c>
      <c r="N553" t="s">
        <v>129</v>
      </c>
      <c r="O553" t="s">
        <v>44</v>
      </c>
      <c r="P553" t="str">
        <f>IF(TRIM(O553)="","Unknown",PROPER(TRIM(O553)))</f>
        <v>Furniture</v>
      </c>
      <c r="Q553" t="s">
        <v>45</v>
      </c>
      <c r="R553" t="s">
        <v>644</v>
      </c>
      <c r="S553" t="s">
        <v>47</v>
      </c>
      <c r="T553" t="str">
        <f>IF(TRIM(S553)="","Unknown",PROPER(TRIM(S553)))</f>
        <v>Same Day</v>
      </c>
      <c r="U553">
        <v>6</v>
      </c>
      <c r="V553">
        <v>3235.27</v>
      </c>
      <c r="W553">
        <v>0.25</v>
      </c>
      <c r="Y553">
        <v>0.25</v>
      </c>
      <c r="Z553">
        <v>14558.72</v>
      </c>
      <c r="AA553">
        <v>9591.48</v>
      </c>
      <c r="AB553">
        <v>4967.24</v>
      </c>
      <c r="AC553" t="s">
        <v>119</v>
      </c>
      <c r="AD553" t="s">
        <v>120</v>
      </c>
      <c r="AE553">
        <f>ROUND((U553*V553)-(U553*V553*Y553),2)</f>
        <v>14558.72</v>
      </c>
      <c r="AF553">
        <f>AE553-AA553</f>
        <v>4967.24</v>
      </c>
      <c r="AG553" s="7">
        <f>ROUND((AF553/AE553),4)</f>
        <v>0.3412</v>
      </c>
      <c r="AH553">
        <f>IF(AND(C553&lt;&gt;"",E553&lt;&gt;""),E553 - C553,"")</f>
        <v>1</v>
      </c>
      <c r="AI553" t="str">
        <f>IF(C553="","",TEXT(C553, "mmmm"))</f>
        <v>July</v>
      </c>
      <c r="AJ553">
        <f>IF(C553="","",YEAR(C553))</f>
        <v>2025</v>
      </c>
      <c r="AM553" t="str">
        <f>IF(AN553="","clean","")</f>
        <v>clean</v>
      </c>
      <c r="AN553" t="s">
        <v>3595</v>
      </c>
    </row>
    <row r="554" spans="1:40">
      <c r="A554" t="s">
        <v>645</v>
      </c>
      <c r="B554" t="s">
        <v>3681</v>
      </c>
      <c r="D554" t="s">
        <v>646</v>
      </c>
      <c r="E554" s="6">
        <v>45926</v>
      </c>
      <c r="F554" t="s">
        <v>647</v>
      </c>
      <c r="G554" t="s">
        <v>136</v>
      </c>
      <c r="H554" t="s">
        <v>136</v>
      </c>
      <c r="I554" t="s">
        <v>104</v>
      </c>
      <c r="J554" t="s">
        <v>104</v>
      </c>
      <c r="K554" t="s">
        <v>26</v>
      </c>
      <c r="L554" t="str">
        <f>IF(TRIM(K554)="","Unknown",PROPER(TRIM(K554)))</f>
        <v>North</v>
      </c>
      <c r="M554" t="s">
        <v>454</v>
      </c>
      <c r="N554" t="s">
        <v>455</v>
      </c>
      <c r="O554" t="s">
        <v>83</v>
      </c>
      <c r="P554" t="str">
        <f>IF(TRIM(O554)="","Unknown",PROPER(TRIM(O554)))</f>
        <v>Technology</v>
      </c>
      <c r="Q554" t="s">
        <v>91</v>
      </c>
      <c r="R554" t="s">
        <v>648</v>
      </c>
      <c r="S554" t="s">
        <v>65</v>
      </c>
      <c r="T554" t="str">
        <f>IF(TRIM(S554)="","Unknown",PROPER(TRIM(S554)))</f>
        <v>Standard Class</v>
      </c>
      <c r="U554">
        <v>3</v>
      </c>
      <c r="V554">
        <v>1593.86</v>
      </c>
      <c r="W554">
        <v>0.1</v>
      </c>
      <c r="Y554">
        <v>0.1</v>
      </c>
      <c r="Z554">
        <v>4303.42</v>
      </c>
      <c r="AA554">
        <v>2568.5700000000002</v>
      </c>
      <c r="AB554">
        <v>1734.85</v>
      </c>
      <c r="AC554" t="s">
        <v>33</v>
      </c>
      <c r="AD554" t="s">
        <v>34</v>
      </c>
      <c r="AE554">
        <f>ROUND((U554*V554)-(U554*V554*Y554),2)</f>
        <v>4303.42</v>
      </c>
      <c r="AF554">
        <f>AE554-AA554</f>
        <v>1734.85</v>
      </c>
      <c r="AG554" s="7">
        <f>ROUND((AF554/AE554),4)</f>
        <v>0.40310000000000001</v>
      </c>
      <c r="AH554" t="str">
        <f>IF(AND(C554&lt;&gt;"",E554&lt;&gt;""),E554 - C554,"")</f>
        <v/>
      </c>
      <c r="AI554" t="str">
        <f>IF(C554="","",TEXT(C554, "mmmm"))</f>
        <v/>
      </c>
      <c r="AJ554" t="str">
        <f>IF(C554="","",YEAR(C554))</f>
        <v/>
      </c>
      <c r="AM554" t="s">
        <v>4144</v>
      </c>
      <c r="AN554" t="s">
        <v>4127</v>
      </c>
    </row>
    <row r="555" spans="1:40">
      <c r="A555" t="s">
        <v>649</v>
      </c>
      <c r="B555" t="s">
        <v>178</v>
      </c>
      <c r="C555" s="6">
        <v>45687</v>
      </c>
      <c r="D555" t="s">
        <v>650</v>
      </c>
      <c r="F555" t="s">
        <v>651</v>
      </c>
      <c r="G555" t="s">
        <v>136</v>
      </c>
      <c r="H555" t="s">
        <v>136</v>
      </c>
      <c r="I555" t="s">
        <v>104</v>
      </c>
      <c r="J555" t="s">
        <v>104</v>
      </c>
      <c r="K555" t="s">
        <v>71</v>
      </c>
      <c r="L555" t="str">
        <f>IF(TRIM(K555)="","Unknown",PROPER(TRIM(K555)))</f>
        <v>West</v>
      </c>
      <c r="M555" t="s">
        <v>81</v>
      </c>
      <c r="N555" t="s">
        <v>82</v>
      </c>
      <c r="O555" t="s">
        <v>29</v>
      </c>
      <c r="P555" t="str">
        <f>IF(TRIM(O555)="","Unknown",PROPER(TRIM(O555)))</f>
        <v>Office Supplies</v>
      </c>
      <c r="Q555" t="s">
        <v>148</v>
      </c>
      <c r="R555" t="s">
        <v>652</v>
      </c>
      <c r="S555" t="s">
        <v>32</v>
      </c>
      <c r="T555" t="str">
        <f>IF(TRIM(S555)="","Unknown",PROPER(TRIM(S555)))</f>
        <v>Second Class</v>
      </c>
      <c r="U555">
        <v>2</v>
      </c>
      <c r="V555">
        <v>3039.3</v>
      </c>
      <c r="W555">
        <v>0.05</v>
      </c>
      <c r="Y555">
        <v>0.05</v>
      </c>
      <c r="Z555">
        <v>5774.67</v>
      </c>
      <c r="AA555">
        <v>3518.36</v>
      </c>
      <c r="AB555">
        <v>2256.31</v>
      </c>
      <c r="AC555" t="s">
        <v>33</v>
      </c>
      <c r="AD555" t="s">
        <v>34</v>
      </c>
      <c r="AE555">
        <f>ROUND((U555*V555)-(U555*V555*Y555),2)</f>
        <v>5774.67</v>
      </c>
      <c r="AF555">
        <f>AE555-AA555</f>
        <v>2256.31</v>
      </c>
      <c r="AG555" s="7">
        <f>ROUND((AF555/AE555),4)</f>
        <v>0.39069999999999999</v>
      </c>
      <c r="AH555" t="str">
        <f>IF(AND(C555&lt;&gt;"",E555&lt;&gt;""),E555 - C555,"")</f>
        <v/>
      </c>
      <c r="AI555" t="str">
        <f>IF(C555="","",TEXT(C555, "mmmm"))</f>
        <v>January</v>
      </c>
      <c r="AJ555">
        <f>IF(C555="","",YEAR(C555))</f>
        <v>2025</v>
      </c>
      <c r="AM555" t="s">
        <v>4144</v>
      </c>
      <c r="AN555" t="s">
        <v>4136</v>
      </c>
    </row>
    <row r="556" spans="1:40">
      <c r="A556" t="s">
        <v>649</v>
      </c>
      <c r="B556" t="s">
        <v>178</v>
      </c>
      <c r="C556" s="6">
        <v>45687</v>
      </c>
      <c r="D556" t="s">
        <v>650</v>
      </c>
      <c r="F556" t="s">
        <v>651</v>
      </c>
      <c r="G556" t="s">
        <v>136</v>
      </c>
      <c r="H556" t="s">
        <v>136</v>
      </c>
      <c r="I556" t="s">
        <v>104</v>
      </c>
      <c r="J556" t="s">
        <v>104</v>
      </c>
      <c r="K556" t="s">
        <v>71</v>
      </c>
      <c r="L556" t="str">
        <f>IF(TRIM(K556)="","Unknown",PROPER(TRIM(K556)))</f>
        <v>West</v>
      </c>
      <c r="M556" t="s">
        <v>81</v>
      </c>
      <c r="N556" t="s">
        <v>82</v>
      </c>
      <c r="O556" t="s">
        <v>29</v>
      </c>
      <c r="P556" t="str">
        <f>IF(TRIM(O556)="","Unknown",PROPER(TRIM(O556)))</f>
        <v>Office Supplies</v>
      </c>
      <c r="Q556" t="s">
        <v>148</v>
      </c>
      <c r="R556" t="s">
        <v>652</v>
      </c>
      <c r="S556" t="s">
        <v>32</v>
      </c>
      <c r="T556" t="str">
        <f>IF(TRIM(S556)="","Unknown",PROPER(TRIM(S556)))</f>
        <v>Second Class</v>
      </c>
      <c r="U556">
        <v>2</v>
      </c>
      <c r="V556">
        <v>3039.3</v>
      </c>
      <c r="W556">
        <v>0.05</v>
      </c>
      <c r="Y556">
        <v>0.05</v>
      </c>
      <c r="Z556">
        <v>5774.67</v>
      </c>
      <c r="AA556">
        <v>3518.36</v>
      </c>
      <c r="AB556">
        <v>2256.31</v>
      </c>
      <c r="AC556" t="s">
        <v>33</v>
      </c>
      <c r="AD556" t="s">
        <v>34</v>
      </c>
      <c r="AE556">
        <f>ROUND((U556*V556)-(U556*V556*Y556),2)</f>
        <v>5774.67</v>
      </c>
      <c r="AF556">
        <f>AE556-AA556</f>
        <v>2256.31</v>
      </c>
      <c r="AG556" s="7">
        <f>ROUND((AF556/AE556),4)</f>
        <v>0.39069999999999999</v>
      </c>
      <c r="AH556" t="str">
        <f>IF(AND(C556&lt;&gt;"",E556&lt;&gt;""),E556 - C556,"")</f>
        <v/>
      </c>
      <c r="AI556" t="str">
        <f>IF(C556="","",TEXT(C556, "mmmm"))</f>
        <v>January</v>
      </c>
      <c r="AJ556">
        <f>IF(C556="","",YEAR(C556))</f>
        <v>2025</v>
      </c>
      <c r="AL556" t="s">
        <v>4152</v>
      </c>
      <c r="AM556" t="s">
        <v>4144</v>
      </c>
      <c r="AN556" t="s">
        <v>4148</v>
      </c>
    </row>
    <row r="557" spans="1:40">
      <c r="A557" t="s">
        <v>666</v>
      </c>
      <c r="B557" t="s">
        <v>667</v>
      </c>
      <c r="C557" s="6">
        <v>45929</v>
      </c>
      <c r="D557" t="s">
        <v>668</v>
      </c>
      <c r="E557" s="6">
        <v>45934</v>
      </c>
      <c r="F557" t="s">
        <v>669</v>
      </c>
      <c r="G557" t="s">
        <v>70</v>
      </c>
      <c r="H557" t="s">
        <v>70</v>
      </c>
      <c r="I557" t="s">
        <v>110</v>
      </c>
      <c r="J557" t="s">
        <v>110</v>
      </c>
      <c r="K557" t="s">
        <v>41</v>
      </c>
      <c r="L557" t="str">
        <f>IF(TRIM(K557)="","Unknown",PROPER(TRIM(K557)))</f>
        <v>East</v>
      </c>
      <c r="M557" t="s">
        <v>284</v>
      </c>
      <c r="N557" t="s">
        <v>285</v>
      </c>
      <c r="O557" t="s">
        <v>29</v>
      </c>
      <c r="P557" t="str">
        <f>IF(TRIM(O557)="","Unknown",PROPER(TRIM(O557)))</f>
        <v>Office Supplies</v>
      </c>
      <c r="Q557" t="s">
        <v>30</v>
      </c>
      <c r="R557" t="s">
        <v>670</v>
      </c>
      <c r="S557" t="s">
        <v>47</v>
      </c>
      <c r="T557" t="str">
        <f>IF(TRIM(S557)="","Unknown",PROPER(TRIM(S557)))</f>
        <v>Same Day</v>
      </c>
      <c r="U557">
        <v>9</v>
      </c>
      <c r="V557">
        <v>373.91</v>
      </c>
      <c r="W557">
        <v>0.2</v>
      </c>
      <c r="Y557">
        <v>0.2</v>
      </c>
      <c r="Z557">
        <v>2692.15</v>
      </c>
      <c r="AA557">
        <v>2044.49</v>
      </c>
      <c r="AB557">
        <v>647.66</v>
      </c>
      <c r="AC557" t="s">
        <v>33</v>
      </c>
      <c r="AD557" t="s">
        <v>34</v>
      </c>
      <c r="AE557">
        <f>ROUND((U557*V557)-(U557*V557*Y557),2)</f>
        <v>2692.15</v>
      </c>
      <c r="AF557">
        <f>AE557-AA557</f>
        <v>647.66000000000008</v>
      </c>
      <c r="AG557" s="7">
        <f>ROUND((AF557/AE557),4)</f>
        <v>0.24060000000000001</v>
      </c>
      <c r="AH557">
        <f>IF(AND(C557&lt;&gt;"",E557&lt;&gt;""),E557 - C557,"")</f>
        <v>5</v>
      </c>
      <c r="AI557" t="str">
        <f>IF(C557="","",TEXT(C557, "mmmm"))</f>
        <v>September</v>
      </c>
      <c r="AJ557">
        <f>IF(C557="","",YEAR(C557))</f>
        <v>2025</v>
      </c>
      <c r="AM557" t="str">
        <f>IF(AN557="","clean","")</f>
        <v>clean</v>
      </c>
      <c r="AN557" t="s">
        <v>3595</v>
      </c>
    </row>
    <row r="558" spans="1:40">
      <c r="A558" t="s">
        <v>679</v>
      </c>
      <c r="B558" t="s">
        <v>3684</v>
      </c>
      <c r="C558" s="6">
        <v>45852</v>
      </c>
      <c r="D558" t="s">
        <v>680</v>
      </c>
      <c r="E558" s="6">
        <v>45852</v>
      </c>
      <c r="F558" t="s">
        <v>681</v>
      </c>
      <c r="G558" t="s">
        <v>80</v>
      </c>
      <c r="H558" t="s">
        <v>80</v>
      </c>
      <c r="I558" t="s">
        <v>110</v>
      </c>
      <c r="J558" t="s">
        <v>110</v>
      </c>
      <c r="K558" t="s">
        <v>41</v>
      </c>
      <c r="L558" t="str">
        <f>IF(TRIM(K558)="","Unknown",PROPER(TRIM(K558)))</f>
        <v>East</v>
      </c>
      <c r="M558" t="s">
        <v>116</v>
      </c>
      <c r="N558" t="s">
        <v>117</v>
      </c>
      <c r="O558" t="s">
        <v>44</v>
      </c>
      <c r="P558" t="str">
        <f>IF(TRIM(O558)="","Unknown",PROPER(TRIM(O558)))</f>
        <v>Furniture</v>
      </c>
      <c r="Q558" t="s">
        <v>190</v>
      </c>
      <c r="R558" t="s">
        <v>682</v>
      </c>
      <c r="T558" t="str">
        <f>IF(TRIM(S558)="","Unknown",PROPER(TRIM(S558)))</f>
        <v>Unknown</v>
      </c>
      <c r="U558">
        <v>5</v>
      </c>
      <c r="V558">
        <v>383.1</v>
      </c>
      <c r="W558">
        <v>0.25</v>
      </c>
      <c r="Y558">
        <v>0.25</v>
      </c>
      <c r="Z558">
        <v>1436.62</v>
      </c>
      <c r="AA558">
        <v>912.52</v>
      </c>
      <c r="AB558">
        <v>524.1</v>
      </c>
      <c r="AC558" t="s">
        <v>131</v>
      </c>
      <c r="AD558" t="s">
        <v>76</v>
      </c>
      <c r="AE558">
        <f>ROUND((U558*V558)-(U558*V558*Y558),2)</f>
        <v>1436.63</v>
      </c>
      <c r="AF558">
        <f>AE558-AA558</f>
        <v>524.11000000000013</v>
      </c>
      <c r="AG558" s="7">
        <f>ROUND((AF558/AE558),4)</f>
        <v>0.36480000000000001</v>
      </c>
      <c r="AH558">
        <f>IF(AND(C558&lt;&gt;"",E558&lt;&gt;""),E558 - C558,"")</f>
        <v>0</v>
      </c>
      <c r="AI558" t="str">
        <f>IF(C558="","",TEXT(C558, "mmmm"))</f>
        <v>July</v>
      </c>
      <c r="AJ558">
        <f>IF(C558="","",YEAR(C558))</f>
        <v>2025</v>
      </c>
      <c r="AM558" t="s">
        <v>4145</v>
      </c>
      <c r="AN558" t="s">
        <v>3600</v>
      </c>
    </row>
    <row r="559" spans="1:40">
      <c r="A559" t="s">
        <v>683</v>
      </c>
      <c r="B559" t="s">
        <v>684</v>
      </c>
      <c r="C559" s="6">
        <v>45893</v>
      </c>
      <c r="D559" t="s">
        <v>684</v>
      </c>
      <c r="E559" s="6">
        <v>45893</v>
      </c>
      <c r="F559" t="s">
        <v>685</v>
      </c>
      <c r="G559" t="s">
        <v>196</v>
      </c>
      <c r="H559" t="s">
        <v>196</v>
      </c>
      <c r="I559" t="s">
        <v>40</v>
      </c>
      <c r="J559" t="s">
        <v>40</v>
      </c>
      <c r="K559" t="s">
        <v>60</v>
      </c>
      <c r="L559" t="str">
        <f>IF(TRIM(K559)="","Unknown",PROPER(TRIM(K559)))</f>
        <v>South</v>
      </c>
      <c r="M559" t="s">
        <v>224</v>
      </c>
      <c r="N559" t="s">
        <v>225</v>
      </c>
      <c r="O559" t="s">
        <v>44</v>
      </c>
      <c r="P559" t="str">
        <f>IF(TRIM(O559)="","Unknown",PROPER(TRIM(O559)))</f>
        <v>Furniture</v>
      </c>
      <c r="Q559" t="s">
        <v>190</v>
      </c>
      <c r="R559" t="s">
        <v>686</v>
      </c>
      <c r="S559" t="s">
        <v>65</v>
      </c>
      <c r="T559" t="str">
        <f>IF(TRIM(S559)="","Unknown",PROPER(TRIM(S559)))</f>
        <v>Standard Class</v>
      </c>
      <c r="U559">
        <v>1</v>
      </c>
      <c r="V559">
        <v>3424.78</v>
      </c>
      <c r="W559">
        <v>0</v>
      </c>
      <c r="Y559">
        <v>0</v>
      </c>
      <c r="Z559">
        <v>3424.78</v>
      </c>
      <c r="AA559">
        <v>1951.45</v>
      </c>
      <c r="AB559">
        <v>1473.33</v>
      </c>
      <c r="AC559" t="s">
        <v>33</v>
      </c>
      <c r="AD559" t="s">
        <v>34</v>
      </c>
      <c r="AE559">
        <f>ROUND((U559*V559)-(U559*V559*Y559),2)</f>
        <v>3424.78</v>
      </c>
      <c r="AF559">
        <f>AE559-AA559</f>
        <v>1473.3300000000002</v>
      </c>
      <c r="AG559" s="7">
        <f>ROUND((AF559/AE559),4)</f>
        <v>0.43020000000000003</v>
      </c>
      <c r="AH559">
        <f>IF(AND(C559&lt;&gt;"",E559&lt;&gt;""),E559 - C559,"")</f>
        <v>0</v>
      </c>
      <c r="AI559" t="str">
        <f>IF(C559="","",TEXT(C559, "mmmm"))</f>
        <v>August</v>
      </c>
      <c r="AJ559">
        <f>IF(C559="","",YEAR(C559))</f>
        <v>2025</v>
      </c>
      <c r="AM559" t="str">
        <f>IF(AN559="","clean","")</f>
        <v>clean</v>
      </c>
      <c r="AN559" t="s">
        <v>3595</v>
      </c>
    </row>
    <row r="560" spans="1:40">
      <c r="A560" t="s">
        <v>687</v>
      </c>
      <c r="B560" t="s">
        <v>3685</v>
      </c>
      <c r="C560" s="6">
        <v>45697</v>
      </c>
      <c r="D560" t="s">
        <v>688</v>
      </c>
      <c r="E560" s="6">
        <v>45703</v>
      </c>
      <c r="F560" t="s">
        <v>689</v>
      </c>
      <c r="G560" t="s">
        <v>39</v>
      </c>
      <c r="H560" t="s">
        <v>39</v>
      </c>
      <c r="I560" t="s">
        <v>110</v>
      </c>
      <c r="J560" t="s">
        <v>110</v>
      </c>
      <c r="K560" t="s">
        <v>41</v>
      </c>
      <c r="L560" t="str">
        <f>IF(TRIM(K560)="","Unknown",PROPER(TRIM(K560)))</f>
        <v>East</v>
      </c>
      <c r="M560" t="s">
        <v>284</v>
      </c>
      <c r="N560" t="s">
        <v>285</v>
      </c>
      <c r="O560" t="s">
        <v>29</v>
      </c>
      <c r="P560" t="str">
        <f>IF(TRIM(O560)="","Unknown",PROPER(TRIM(O560)))</f>
        <v>Office Supplies</v>
      </c>
      <c r="Q560" t="s">
        <v>184</v>
      </c>
      <c r="R560" t="s">
        <v>690</v>
      </c>
      <c r="S560" t="s">
        <v>691</v>
      </c>
      <c r="T560" t="str">
        <f>IF(TRIM(S560)="","Unknown",PROPER(TRIM(S560)))</f>
        <v>Standard Class</v>
      </c>
      <c r="U560">
        <v>9</v>
      </c>
      <c r="V560">
        <v>4330.33</v>
      </c>
      <c r="W560">
        <v>0.2</v>
      </c>
      <c r="Y560">
        <v>0.2</v>
      </c>
      <c r="Z560">
        <v>31178.38</v>
      </c>
      <c r="AA560">
        <v>21421.09</v>
      </c>
      <c r="AB560">
        <v>9757.2900000000009</v>
      </c>
      <c r="AC560" t="s">
        <v>33</v>
      </c>
      <c r="AD560" t="s">
        <v>34</v>
      </c>
      <c r="AE560">
        <f>ROUND((U560*V560)-(U560*V560*Y560),2)</f>
        <v>31178.38</v>
      </c>
      <c r="AF560">
        <f>AE560-AA560</f>
        <v>9757.2900000000009</v>
      </c>
      <c r="AG560" s="7">
        <f>ROUND((AF560/AE560),4)</f>
        <v>0.313</v>
      </c>
      <c r="AH560">
        <f>IF(AND(C560&lt;&gt;"",E560&lt;&gt;""),E560 - C560,"")</f>
        <v>6</v>
      </c>
      <c r="AI560" t="str">
        <f>IF(C560="","",TEXT(C560, "mmmm"))</f>
        <v>February</v>
      </c>
      <c r="AJ560">
        <f>IF(C560="","",YEAR(C560))</f>
        <v>2025</v>
      </c>
      <c r="AM560" t="str">
        <f>IF(AN560="","clean","")</f>
        <v>clean</v>
      </c>
      <c r="AN560" t="s">
        <v>3595</v>
      </c>
    </row>
    <row r="561" spans="1:40">
      <c r="A561" t="s">
        <v>692</v>
      </c>
      <c r="B561" t="s">
        <v>3686</v>
      </c>
      <c r="C561" s="6">
        <v>45666</v>
      </c>
      <c r="D561" t="s">
        <v>693</v>
      </c>
      <c r="E561" s="6">
        <v>45666</v>
      </c>
      <c r="F561" t="s">
        <v>694</v>
      </c>
      <c r="G561" t="s">
        <v>158</v>
      </c>
      <c r="H561" t="s">
        <v>158</v>
      </c>
      <c r="I561" t="s">
        <v>40</v>
      </c>
      <c r="J561" t="s">
        <v>40</v>
      </c>
      <c r="K561" t="s">
        <v>26</v>
      </c>
      <c r="L561" t="str">
        <f>IF(TRIM(K561)="","Unknown",PROPER(TRIM(K561)))</f>
        <v>North</v>
      </c>
      <c r="M561" t="s">
        <v>27</v>
      </c>
      <c r="N561" t="s">
        <v>28</v>
      </c>
      <c r="O561" t="s">
        <v>44</v>
      </c>
      <c r="P561" t="str">
        <f>IF(TRIM(O561)="","Unknown",PROPER(TRIM(O561)))</f>
        <v>Furniture</v>
      </c>
      <c r="Q561" t="s">
        <v>74</v>
      </c>
      <c r="R561" t="s">
        <v>695</v>
      </c>
      <c r="S561" t="s">
        <v>47</v>
      </c>
      <c r="T561" t="str">
        <f>IF(TRIM(S561)="","Unknown",PROPER(TRIM(S561)))</f>
        <v>Same Day</v>
      </c>
      <c r="U561">
        <v>8</v>
      </c>
      <c r="V561">
        <v>2667.07</v>
      </c>
      <c r="W561">
        <v>0.1</v>
      </c>
      <c r="Y561">
        <v>0.1</v>
      </c>
      <c r="Z561">
        <v>19202.900000000001</v>
      </c>
      <c r="AA561">
        <v>15526.62</v>
      </c>
      <c r="AB561">
        <v>3676.28</v>
      </c>
      <c r="AC561" t="s">
        <v>33</v>
      </c>
      <c r="AD561" t="s">
        <v>34</v>
      </c>
      <c r="AE561">
        <f>ROUND((U561*V561)-(U561*V561*Y561),2)</f>
        <v>19202.900000000001</v>
      </c>
      <c r="AF561">
        <f>AE561-AA561</f>
        <v>3676.2800000000007</v>
      </c>
      <c r="AG561" s="7">
        <f>ROUND((AF561/AE561),4)</f>
        <v>0.19139999999999999</v>
      </c>
      <c r="AH561">
        <f>IF(AND(C561&lt;&gt;"",E561&lt;&gt;""),E561 - C561,"")</f>
        <v>0</v>
      </c>
      <c r="AI561" t="str">
        <f>IF(C561="","",TEXT(C561, "mmmm"))</f>
        <v>January</v>
      </c>
      <c r="AJ561">
        <f>IF(C561="","",YEAR(C561))</f>
        <v>2025</v>
      </c>
      <c r="AM561" t="str">
        <f>IF(AN561="","clean","")</f>
        <v>clean</v>
      </c>
      <c r="AN561" t="s">
        <v>3595</v>
      </c>
    </row>
    <row r="562" spans="1:40">
      <c r="A562" t="s">
        <v>700</v>
      </c>
      <c r="B562" t="s">
        <v>3688</v>
      </c>
      <c r="C562" s="6">
        <v>45718</v>
      </c>
      <c r="D562" t="s">
        <v>701</v>
      </c>
      <c r="E562" s="6">
        <v>45723</v>
      </c>
      <c r="F562" t="s">
        <v>702</v>
      </c>
      <c r="G562" t="s">
        <v>90</v>
      </c>
      <c r="H562" t="s">
        <v>90</v>
      </c>
      <c r="I562" t="s">
        <v>110</v>
      </c>
      <c r="J562" t="s">
        <v>110</v>
      </c>
      <c r="K562" t="s">
        <v>60</v>
      </c>
      <c r="L562" t="str">
        <f>IF(TRIM(K562)="","Unknown",PROPER(TRIM(K562)))</f>
        <v>South</v>
      </c>
      <c r="M562" t="s">
        <v>212</v>
      </c>
      <c r="N562" t="s">
        <v>213</v>
      </c>
      <c r="O562" t="s">
        <v>29</v>
      </c>
      <c r="P562" t="str">
        <f>IF(TRIM(O562)="","Unknown",PROPER(TRIM(O562)))</f>
        <v>Office Supplies</v>
      </c>
      <c r="Q562" t="s">
        <v>105</v>
      </c>
      <c r="R562" t="s">
        <v>703</v>
      </c>
      <c r="S562" t="s">
        <v>65</v>
      </c>
      <c r="T562" t="str">
        <f>IF(TRIM(S562)="","Unknown",PROPER(TRIM(S562)))</f>
        <v>Standard Class</v>
      </c>
      <c r="U562">
        <v>8</v>
      </c>
      <c r="V562">
        <v>1287.6300000000001</v>
      </c>
      <c r="W562">
        <v>0</v>
      </c>
      <c r="Y562">
        <v>0</v>
      </c>
      <c r="Z562">
        <v>10301.040000000001</v>
      </c>
      <c r="AA562">
        <v>6564.06</v>
      </c>
      <c r="AB562">
        <v>3736.98</v>
      </c>
      <c r="AC562" t="s">
        <v>33</v>
      </c>
      <c r="AD562" t="s">
        <v>34</v>
      </c>
      <c r="AE562">
        <f>ROUND((U562*V562)-(U562*V562*Y562),2)</f>
        <v>10301.040000000001</v>
      </c>
      <c r="AF562">
        <f>AE562-AA562</f>
        <v>3736.9800000000005</v>
      </c>
      <c r="AG562" s="7">
        <f>ROUND((AF562/AE562),4)</f>
        <v>0.36280000000000001</v>
      </c>
      <c r="AH562">
        <f>IF(AND(C562&lt;&gt;"",E562&lt;&gt;""),E562 - C562,"")</f>
        <v>5</v>
      </c>
      <c r="AI562" t="str">
        <f>IF(C562="","",TEXT(C562, "mmmm"))</f>
        <v>March</v>
      </c>
      <c r="AJ562">
        <f>IF(C562="","",YEAR(C562))</f>
        <v>2025</v>
      </c>
      <c r="AM562" t="str">
        <f>IF(AN562="","clean","")</f>
        <v>clean</v>
      </c>
      <c r="AN562" t="s">
        <v>3595</v>
      </c>
    </row>
    <row r="563" spans="1:40">
      <c r="A563" t="s">
        <v>724</v>
      </c>
      <c r="B563" t="s">
        <v>3692</v>
      </c>
      <c r="C563" s="6">
        <v>45758</v>
      </c>
      <c r="D563" t="s">
        <v>725</v>
      </c>
      <c r="E563" s="6">
        <v>45760</v>
      </c>
      <c r="F563" t="s">
        <v>726</v>
      </c>
      <c r="G563" t="s">
        <v>39</v>
      </c>
      <c r="H563" t="s">
        <v>39</v>
      </c>
      <c r="I563" t="s">
        <v>40</v>
      </c>
      <c r="J563" t="s">
        <v>40</v>
      </c>
      <c r="K563" t="s">
        <v>71</v>
      </c>
      <c r="L563" t="str">
        <f>IF(TRIM(K563)="","Unknown",PROPER(TRIM(K563)))</f>
        <v>West</v>
      </c>
      <c r="M563" t="s">
        <v>230</v>
      </c>
      <c r="N563" t="s">
        <v>231</v>
      </c>
      <c r="O563" t="s">
        <v>29</v>
      </c>
      <c r="P563" t="str">
        <f>IF(TRIM(O563)="","Unknown",PROPER(TRIM(O563)))</f>
        <v>Office Supplies</v>
      </c>
      <c r="Q563" t="s">
        <v>30</v>
      </c>
      <c r="R563" t="s">
        <v>727</v>
      </c>
      <c r="S563" t="s">
        <v>65</v>
      </c>
      <c r="T563" t="str">
        <f>IF(TRIM(S563)="","Unknown",PROPER(TRIM(S563)))</f>
        <v>Standard Class</v>
      </c>
      <c r="U563">
        <v>4</v>
      </c>
      <c r="V563">
        <v>4182.1499999999996</v>
      </c>
      <c r="W563">
        <v>0.1</v>
      </c>
      <c r="Y563">
        <v>0.1</v>
      </c>
      <c r="Z563">
        <v>15055.74</v>
      </c>
      <c r="AA563">
        <v>9808.83</v>
      </c>
      <c r="AB563">
        <v>5246.91</v>
      </c>
      <c r="AC563" t="s">
        <v>33</v>
      </c>
      <c r="AD563" t="s">
        <v>34</v>
      </c>
      <c r="AE563">
        <f>ROUND((U563*V563)-(U563*V563*Y563),2)</f>
        <v>15055.74</v>
      </c>
      <c r="AF563">
        <f>AE563-AA563</f>
        <v>5246.91</v>
      </c>
      <c r="AG563" s="7">
        <f>ROUND((AF563/AE563),4)</f>
        <v>0.34849999999999998</v>
      </c>
      <c r="AH563">
        <f>IF(AND(C563&lt;&gt;"",E563&lt;&gt;""),E563 - C563,"")</f>
        <v>2</v>
      </c>
      <c r="AI563" t="str">
        <f>IF(C563="","",TEXT(C563, "mmmm"))</f>
        <v>April</v>
      </c>
      <c r="AJ563">
        <f>IF(C563="","",YEAR(C563))</f>
        <v>2025</v>
      </c>
      <c r="AM563" t="str">
        <f>IF(AN563="","clean","")</f>
        <v>clean</v>
      </c>
      <c r="AN563" t="s">
        <v>3595</v>
      </c>
    </row>
    <row r="564" spans="1:40">
      <c r="A564" t="s">
        <v>728</v>
      </c>
      <c r="B564" t="s">
        <v>3693</v>
      </c>
      <c r="C564" s="6">
        <v>45868</v>
      </c>
      <c r="D564" t="s">
        <v>729</v>
      </c>
      <c r="E564" s="6">
        <v>45870</v>
      </c>
      <c r="F564" t="s">
        <v>730</v>
      </c>
      <c r="G564" t="s">
        <v>158</v>
      </c>
      <c r="H564" t="s">
        <v>158</v>
      </c>
      <c r="I564" t="s">
        <v>40</v>
      </c>
      <c r="J564" t="s">
        <v>40</v>
      </c>
      <c r="K564" t="s">
        <v>60</v>
      </c>
      <c r="L564" t="str">
        <f>IF(TRIM(K564)="","Unknown",PROPER(TRIM(K564)))</f>
        <v>South</v>
      </c>
      <c r="M564" t="s">
        <v>309</v>
      </c>
      <c r="N564" t="s">
        <v>310</v>
      </c>
      <c r="O564" t="s">
        <v>29</v>
      </c>
      <c r="P564" t="str">
        <f>IF(TRIM(O564)="","Unknown",PROPER(TRIM(O564)))</f>
        <v>Office Supplies</v>
      </c>
      <c r="Q564" t="s">
        <v>148</v>
      </c>
      <c r="R564" t="s">
        <v>731</v>
      </c>
      <c r="S564" t="s">
        <v>47</v>
      </c>
      <c r="T564" t="str">
        <f>IF(TRIM(S564)="","Unknown",PROPER(TRIM(S564)))</f>
        <v>Same Day</v>
      </c>
      <c r="U564">
        <v>9</v>
      </c>
      <c r="V564">
        <v>3165.43</v>
      </c>
      <c r="W564">
        <v>0.1</v>
      </c>
      <c r="Y564">
        <v>0.1</v>
      </c>
      <c r="Z564">
        <v>25639.98</v>
      </c>
      <c r="AA564">
        <v>21635.08</v>
      </c>
      <c r="AB564">
        <v>4004.9</v>
      </c>
      <c r="AC564" t="s">
        <v>33</v>
      </c>
      <c r="AD564" t="s">
        <v>34</v>
      </c>
      <c r="AE564">
        <f>ROUND((U564*V564)-(U564*V564*Y564),2)</f>
        <v>25639.98</v>
      </c>
      <c r="AF564">
        <f>AE564-AA564</f>
        <v>4004.8999999999978</v>
      </c>
      <c r="AG564" s="7">
        <f>ROUND((AF564/AE564),4)</f>
        <v>0.15620000000000001</v>
      </c>
      <c r="AH564">
        <f>IF(AND(C564&lt;&gt;"",E564&lt;&gt;""),E564 - C564,"")</f>
        <v>2</v>
      </c>
      <c r="AI564" t="str">
        <f>IF(C564="","",TEXT(C564, "mmmm"))</f>
        <v>July</v>
      </c>
      <c r="AJ564">
        <f>IF(C564="","",YEAR(C564))</f>
        <v>2025</v>
      </c>
      <c r="AM564" t="str">
        <f>IF(AN564="","clean","")</f>
        <v>clean</v>
      </c>
      <c r="AN564" t="s">
        <v>3595</v>
      </c>
    </row>
    <row r="565" spans="1:40">
      <c r="A565" t="s">
        <v>737</v>
      </c>
      <c r="B565" t="s">
        <v>3694</v>
      </c>
      <c r="C565" s="6">
        <v>45697</v>
      </c>
      <c r="D565" t="s">
        <v>738</v>
      </c>
      <c r="E565" s="6">
        <v>45701</v>
      </c>
      <c r="F565" t="s">
        <v>739</v>
      </c>
      <c r="G565" t="s">
        <v>39</v>
      </c>
      <c r="H565" t="s">
        <v>39</v>
      </c>
      <c r="I565" t="s">
        <v>110</v>
      </c>
      <c r="J565" t="s">
        <v>110</v>
      </c>
      <c r="K565" t="s">
        <v>71</v>
      </c>
      <c r="L565" t="str">
        <f>IF(TRIM(K565)="","Unknown",PROPER(TRIM(K565)))</f>
        <v>West</v>
      </c>
      <c r="M565" t="s">
        <v>81</v>
      </c>
      <c r="N565" t="s">
        <v>82</v>
      </c>
      <c r="O565" t="s">
        <v>83</v>
      </c>
      <c r="P565" t="str">
        <f>IF(TRIM(O565)="","Unknown",PROPER(TRIM(O565)))</f>
        <v>Technology</v>
      </c>
      <c r="Q565" t="s">
        <v>207</v>
      </c>
      <c r="R565" t="s">
        <v>740</v>
      </c>
      <c r="T565" t="str">
        <f>IF(TRIM(S565)="","Unknown",PROPER(TRIM(S565)))</f>
        <v>Unknown</v>
      </c>
      <c r="U565">
        <v>8</v>
      </c>
      <c r="V565">
        <v>1696.07</v>
      </c>
      <c r="W565">
        <v>0.25</v>
      </c>
      <c r="Y565">
        <v>0.25</v>
      </c>
      <c r="Z565">
        <v>10176.42</v>
      </c>
      <c r="AA565">
        <v>7604.47</v>
      </c>
      <c r="AB565">
        <v>2571.9499999999998</v>
      </c>
      <c r="AC565" t="s">
        <v>33</v>
      </c>
      <c r="AD565" t="s">
        <v>34</v>
      </c>
      <c r="AE565">
        <f>ROUND((U565*V565)-(U565*V565*Y565),2)</f>
        <v>10176.42</v>
      </c>
      <c r="AF565">
        <f>AE565-AA565</f>
        <v>2571.9499999999998</v>
      </c>
      <c r="AG565" s="7">
        <f>ROUND((AF565/AE565),4)</f>
        <v>0.25269999999999998</v>
      </c>
      <c r="AH565">
        <f>IF(AND(C565&lt;&gt;"",E565&lt;&gt;""),E565 - C565,"")</f>
        <v>4</v>
      </c>
      <c r="AI565" t="str">
        <f>IF(C565="","",TEXT(C565, "mmmm"))</f>
        <v>February</v>
      </c>
      <c r="AJ565">
        <f>IF(C565="","",YEAR(C565))</f>
        <v>2025</v>
      </c>
      <c r="AM565" t="s">
        <v>4145</v>
      </c>
      <c r="AN565" t="s">
        <v>3600</v>
      </c>
    </row>
    <row r="566" spans="1:40">
      <c r="A566" t="s">
        <v>758</v>
      </c>
      <c r="B566" t="s">
        <v>3698</v>
      </c>
      <c r="C566" s="6">
        <v>45923</v>
      </c>
      <c r="D566" t="s">
        <v>759</v>
      </c>
      <c r="E566" s="6">
        <v>45925</v>
      </c>
      <c r="F566" t="s">
        <v>760</v>
      </c>
      <c r="G566" t="s">
        <v>103</v>
      </c>
      <c r="H566" t="s">
        <v>103</v>
      </c>
      <c r="I566" t="s">
        <v>25</v>
      </c>
      <c r="J566" t="s">
        <v>25</v>
      </c>
      <c r="K566" t="s">
        <v>41</v>
      </c>
      <c r="L566" t="str">
        <f>IF(TRIM(K566)="","Unknown",PROPER(TRIM(K566)))</f>
        <v>East</v>
      </c>
      <c r="M566" t="s">
        <v>42</v>
      </c>
      <c r="N566" t="s">
        <v>43</v>
      </c>
      <c r="O566" t="s">
        <v>29</v>
      </c>
      <c r="P566" t="str">
        <f>IF(TRIM(O566)="","Unknown",PROPER(TRIM(O566)))</f>
        <v>Office Supplies</v>
      </c>
      <c r="Q566" t="s">
        <v>105</v>
      </c>
      <c r="R566" t="s">
        <v>761</v>
      </c>
      <c r="S566" t="s">
        <v>65</v>
      </c>
      <c r="T566" t="str">
        <f>IF(TRIM(S566)="","Unknown",PROPER(TRIM(S566)))</f>
        <v>Standard Class</v>
      </c>
      <c r="U566">
        <v>7</v>
      </c>
      <c r="V566">
        <v>3280.31</v>
      </c>
      <c r="W566">
        <v>0</v>
      </c>
      <c r="Y566">
        <v>0</v>
      </c>
      <c r="Z566">
        <v>22962.17</v>
      </c>
      <c r="AA566">
        <v>15716.5</v>
      </c>
      <c r="AB566">
        <v>7245.67</v>
      </c>
      <c r="AC566" t="s">
        <v>119</v>
      </c>
      <c r="AD566" t="s">
        <v>120</v>
      </c>
      <c r="AE566">
        <f>ROUND((U566*V566)-(U566*V566*Y566),2)</f>
        <v>22962.17</v>
      </c>
      <c r="AF566">
        <f>AE566-AA566</f>
        <v>7245.6699999999983</v>
      </c>
      <c r="AG566" s="7">
        <f>ROUND((AF566/AE566),4)</f>
        <v>0.3155</v>
      </c>
      <c r="AH566">
        <f>IF(AND(C566&lt;&gt;"",E566&lt;&gt;""),E566 - C566,"")</f>
        <v>2</v>
      </c>
      <c r="AI566" t="str">
        <f>IF(C566="","",TEXT(C566, "mmmm"))</f>
        <v>September</v>
      </c>
      <c r="AJ566">
        <f>IF(C566="","",YEAR(C566))</f>
        <v>2025</v>
      </c>
      <c r="AM566" t="str">
        <f>IF(AN566="","clean","")</f>
        <v>clean</v>
      </c>
      <c r="AN566" t="s">
        <v>3595</v>
      </c>
    </row>
    <row r="567" spans="1:40">
      <c r="A567" t="s">
        <v>765</v>
      </c>
      <c r="B567" t="s">
        <v>502</v>
      </c>
      <c r="C567" s="6">
        <v>45683</v>
      </c>
      <c r="D567" t="s">
        <v>397</v>
      </c>
      <c r="E567" s="6">
        <v>45691</v>
      </c>
      <c r="F567" t="s">
        <v>766</v>
      </c>
      <c r="G567" t="s">
        <v>24</v>
      </c>
      <c r="H567" t="s">
        <v>24</v>
      </c>
      <c r="I567" t="s">
        <v>104</v>
      </c>
      <c r="J567" t="s">
        <v>104</v>
      </c>
      <c r="K567" t="s">
        <v>71</v>
      </c>
      <c r="L567" t="str">
        <f>IF(TRIM(K567)="","Unknown",PROPER(TRIM(K567)))</f>
        <v>West</v>
      </c>
      <c r="M567" t="s">
        <v>27</v>
      </c>
      <c r="N567" t="s">
        <v>129</v>
      </c>
      <c r="O567" t="s">
        <v>44</v>
      </c>
      <c r="P567" t="str">
        <f>IF(TRIM(O567)="","Unknown",PROPER(TRIM(O567)))</f>
        <v>Furniture</v>
      </c>
      <c r="Q567" t="s">
        <v>63</v>
      </c>
      <c r="R567" t="s">
        <v>767</v>
      </c>
      <c r="S567" t="s">
        <v>47</v>
      </c>
      <c r="T567" t="str">
        <f>IF(TRIM(S567)="","Unknown",PROPER(TRIM(S567)))</f>
        <v>Same Day</v>
      </c>
      <c r="U567">
        <v>3</v>
      </c>
      <c r="V567">
        <v>2859.32</v>
      </c>
      <c r="W567">
        <v>0.1</v>
      </c>
      <c r="Y567">
        <v>0.1</v>
      </c>
      <c r="Z567">
        <v>7720.16</v>
      </c>
      <c r="AA567">
        <v>5881</v>
      </c>
      <c r="AB567">
        <v>1839.16</v>
      </c>
      <c r="AC567" t="s">
        <v>119</v>
      </c>
      <c r="AD567" t="s">
        <v>120</v>
      </c>
      <c r="AE567">
        <f>ROUND((U567*V567)-(U567*V567*Y567),2)</f>
        <v>7720.16</v>
      </c>
      <c r="AF567">
        <f>AE567-AA567</f>
        <v>1839.1599999999999</v>
      </c>
      <c r="AG567" s="7">
        <f>ROUND((AF567/AE567),4)</f>
        <v>0.2382</v>
      </c>
      <c r="AH567">
        <f>IF(AND(C567&lt;&gt;"",E567&lt;&gt;""),E567 - C567,"")</f>
        <v>8</v>
      </c>
      <c r="AI567" t="str">
        <f>IF(C567="","",TEXT(C567, "mmmm"))</f>
        <v>January</v>
      </c>
      <c r="AJ567">
        <f>IF(C567="","",YEAR(C567))</f>
        <v>2025</v>
      </c>
      <c r="AM567" t="str">
        <f>IF(AN567="","clean","")</f>
        <v>clean</v>
      </c>
      <c r="AN567" t="s">
        <v>3595</v>
      </c>
    </row>
    <row r="568" spans="1:40">
      <c r="A568" t="s">
        <v>768</v>
      </c>
      <c r="B568" t="s">
        <v>3700</v>
      </c>
      <c r="D568" t="s">
        <v>769</v>
      </c>
      <c r="E568" s="6">
        <v>45743</v>
      </c>
      <c r="F568" t="s">
        <v>770</v>
      </c>
      <c r="G568" t="s">
        <v>80</v>
      </c>
      <c r="H568" t="s">
        <v>80</v>
      </c>
      <c r="I568" t="s">
        <v>40</v>
      </c>
      <c r="J568" t="s">
        <v>40</v>
      </c>
      <c r="K568" t="s">
        <v>41</v>
      </c>
      <c r="L568" t="str">
        <f>IF(TRIM(K568)="","Unknown",PROPER(TRIM(K568)))</f>
        <v>East</v>
      </c>
      <c r="M568" t="s">
        <v>174</v>
      </c>
      <c r="N568" t="s">
        <v>175</v>
      </c>
      <c r="O568" t="s">
        <v>83</v>
      </c>
      <c r="P568" t="str">
        <f>IF(TRIM(O568)="","Unknown",PROPER(TRIM(O568)))</f>
        <v>Technology</v>
      </c>
      <c r="Q568" t="s">
        <v>347</v>
      </c>
      <c r="R568" t="s">
        <v>771</v>
      </c>
      <c r="S568" t="s">
        <v>32</v>
      </c>
      <c r="T568" t="str">
        <f>IF(TRIM(S568)="","Unknown",PROPER(TRIM(S568)))</f>
        <v>Second Class</v>
      </c>
      <c r="U568">
        <v>7</v>
      </c>
      <c r="V568">
        <v>2305.37</v>
      </c>
      <c r="W568">
        <v>0.25</v>
      </c>
      <c r="Y568">
        <v>0.25</v>
      </c>
      <c r="Z568">
        <v>12103.19</v>
      </c>
      <c r="AA568">
        <v>6717.87</v>
      </c>
      <c r="AB568">
        <v>5385.32</v>
      </c>
      <c r="AC568" t="s">
        <v>33</v>
      </c>
      <c r="AD568" t="s">
        <v>34</v>
      </c>
      <c r="AE568">
        <f>ROUND((U568*V568)-(U568*V568*Y568),2)</f>
        <v>12103.19</v>
      </c>
      <c r="AF568">
        <f>AE568-AA568</f>
        <v>5385.3200000000006</v>
      </c>
      <c r="AG568" s="7">
        <f>ROUND((AF568/AE568),4)</f>
        <v>0.44500000000000001</v>
      </c>
      <c r="AH568" t="str">
        <f>IF(AND(C568&lt;&gt;"",E568&lt;&gt;""),E568 - C568,"")</f>
        <v/>
      </c>
      <c r="AI568" t="str">
        <f>IF(C568="","",TEXT(C568, "mmmm"))</f>
        <v/>
      </c>
      <c r="AJ568" t="str">
        <f>IF(C568="","",YEAR(C568))</f>
        <v/>
      </c>
      <c r="AM568" t="s">
        <v>4144</v>
      </c>
      <c r="AN568" t="s">
        <v>4127</v>
      </c>
    </row>
    <row r="569" spans="1:40">
      <c r="A569" t="s">
        <v>781</v>
      </c>
      <c r="B569" t="s">
        <v>3702</v>
      </c>
      <c r="C569" s="6">
        <v>45687</v>
      </c>
      <c r="D569" t="s">
        <v>782</v>
      </c>
      <c r="E569" s="6">
        <v>45692</v>
      </c>
      <c r="F569" t="s">
        <v>783</v>
      </c>
      <c r="G569" t="s">
        <v>136</v>
      </c>
      <c r="H569" t="s">
        <v>136</v>
      </c>
      <c r="I569" t="s">
        <v>104</v>
      </c>
      <c r="J569" t="s">
        <v>104</v>
      </c>
      <c r="K569" t="s">
        <v>26</v>
      </c>
      <c r="L569" t="str">
        <f>IF(TRIM(K569)="","Unknown",PROPER(TRIM(K569)))</f>
        <v>North</v>
      </c>
      <c r="M569" t="s">
        <v>294</v>
      </c>
      <c r="N569" t="s">
        <v>295</v>
      </c>
      <c r="O569" t="s">
        <v>44</v>
      </c>
      <c r="P569" t="str">
        <f>IF(TRIM(O569)="","Unknown",PROPER(TRIM(O569)))</f>
        <v>Furniture</v>
      </c>
      <c r="Q569" t="s">
        <v>74</v>
      </c>
      <c r="R569" t="s">
        <v>784</v>
      </c>
      <c r="S569" t="s">
        <v>47</v>
      </c>
      <c r="T569" t="str">
        <f>IF(TRIM(S569)="","Unknown",PROPER(TRIM(S569)))</f>
        <v>Same Day</v>
      </c>
      <c r="U569">
        <v>9</v>
      </c>
      <c r="V569">
        <v>4430.5</v>
      </c>
      <c r="W569">
        <v>0.15</v>
      </c>
      <c r="Y569">
        <v>0.15</v>
      </c>
      <c r="Z569">
        <v>33893.32</v>
      </c>
      <c r="AA569">
        <v>25750.35</v>
      </c>
      <c r="AB569">
        <v>8142.97</v>
      </c>
      <c r="AC569" t="s">
        <v>131</v>
      </c>
      <c r="AD569" t="s">
        <v>76</v>
      </c>
      <c r="AE569">
        <f>ROUND((U569*V569)-(U569*V569*Y569),2)</f>
        <v>33893.33</v>
      </c>
      <c r="AF569">
        <f>AE569-AA569</f>
        <v>8142.9800000000032</v>
      </c>
      <c r="AG569" s="7">
        <f>ROUND((AF569/AE569),4)</f>
        <v>0.24030000000000001</v>
      </c>
      <c r="AH569">
        <f>IF(AND(C569&lt;&gt;"",E569&lt;&gt;""),E569 - C569,"")</f>
        <v>5</v>
      </c>
      <c r="AI569" t="str">
        <f>IF(C569="","",TEXT(C569, "mmmm"))</f>
        <v>January</v>
      </c>
      <c r="AJ569">
        <f>IF(C569="","",YEAR(C569))</f>
        <v>2025</v>
      </c>
      <c r="AM569" t="str">
        <f>IF(AN569="","clean","")</f>
        <v>clean</v>
      </c>
    </row>
    <row r="570" spans="1:40">
      <c r="A570" t="s">
        <v>785</v>
      </c>
      <c r="B570" t="s">
        <v>3703</v>
      </c>
      <c r="C570" s="6">
        <v>45938</v>
      </c>
      <c r="D570" t="s">
        <v>786</v>
      </c>
      <c r="E570" s="6">
        <v>45936</v>
      </c>
      <c r="F570" t="s">
        <v>787</v>
      </c>
      <c r="G570" t="s">
        <v>80</v>
      </c>
      <c r="H570" t="s">
        <v>80</v>
      </c>
      <c r="I570" t="s">
        <v>40</v>
      </c>
      <c r="J570" t="s">
        <v>40</v>
      </c>
      <c r="K570" t="s">
        <v>71</v>
      </c>
      <c r="L570" t="str">
        <f>IF(TRIM(K570)="","Unknown",PROPER(TRIM(K570)))</f>
        <v>West</v>
      </c>
      <c r="M570" t="s">
        <v>72</v>
      </c>
      <c r="N570" t="s">
        <v>73</v>
      </c>
      <c r="O570" t="s">
        <v>29</v>
      </c>
      <c r="P570" t="str">
        <f>IF(TRIM(O570)="","Unknown",PROPER(TRIM(O570)))</f>
        <v>Office Supplies</v>
      </c>
      <c r="Q570" t="s">
        <v>30</v>
      </c>
      <c r="R570" t="s">
        <v>788</v>
      </c>
      <c r="S570" t="s">
        <v>32</v>
      </c>
      <c r="T570" t="str">
        <f>IF(TRIM(S570)="","Unknown",PROPER(TRIM(S570)))</f>
        <v>Second Class</v>
      </c>
      <c r="U570">
        <v>4</v>
      </c>
      <c r="V570">
        <v>1260.42</v>
      </c>
      <c r="W570">
        <v>0.05</v>
      </c>
      <c r="Y570">
        <v>0.05</v>
      </c>
      <c r="Z570">
        <v>4789.6000000000004</v>
      </c>
      <c r="AA570">
        <v>4037.64</v>
      </c>
      <c r="AB570">
        <v>751.96</v>
      </c>
      <c r="AC570" t="s">
        <v>131</v>
      </c>
      <c r="AD570" t="s">
        <v>76</v>
      </c>
      <c r="AE570">
        <f>ROUND((U570*V570)-(U570*V570*Y570),2)</f>
        <v>4789.6000000000004</v>
      </c>
      <c r="AF570">
        <f>AE570-AA570</f>
        <v>751.96000000000049</v>
      </c>
      <c r="AG570" s="7">
        <f>ROUND((AF570/AE570),4)</f>
        <v>0.157</v>
      </c>
      <c r="AH570">
        <f>IF(AND(C570&lt;&gt;"",E570&lt;&gt;""),E570 - C570,"")</f>
        <v>-2</v>
      </c>
      <c r="AI570" t="str">
        <f>IF(C570="","",TEXT(C570, "mmmm"))</f>
        <v>October</v>
      </c>
      <c r="AJ570">
        <f>IF(C570="","",YEAR(C570))</f>
        <v>2025</v>
      </c>
      <c r="AM570" t="s">
        <v>4145</v>
      </c>
      <c r="AN570" t="s">
        <v>4140</v>
      </c>
    </row>
    <row r="571" spans="1:40">
      <c r="A571" t="s">
        <v>789</v>
      </c>
      <c r="B571" t="s">
        <v>3704</v>
      </c>
      <c r="C571" s="6">
        <v>45862</v>
      </c>
      <c r="D571" t="s">
        <v>790</v>
      </c>
      <c r="F571" t="s">
        <v>791</v>
      </c>
      <c r="G571" t="s">
        <v>59</v>
      </c>
      <c r="H571" t="s">
        <v>59</v>
      </c>
      <c r="I571" t="s">
        <v>792</v>
      </c>
      <c r="J571" t="s">
        <v>792</v>
      </c>
      <c r="K571" t="s">
        <v>71</v>
      </c>
      <c r="L571" t="str">
        <f>IF(TRIM(K571)="","Unknown",PROPER(TRIM(K571)))</f>
        <v>West</v>
      </c>
      <c r="M571" t="s">
        <v>27</v>
      </c>
      <c r="N571" t="s">
        <v>129</v>
      </c>
      <c r="O571" t="s">
        <v>29</v>
      </c>
      <c r="P571" t="str">
        <f>IF(TRIM(O571)="","Unknown",PROPER(TRIM(O571)))</f>
        <v>Office Supplies</v>
      </c>
      <c r="Q571" t="s">
        <v>184</v>
      </c>
      <c r="R571" t="s">
        <v>793</v>
      </c>
      <c r="S571" t="s">
        <v>65</v>
      </c>
      <c r="T571" t="str">
        <f>IF(TRIM(S571)="","Unknown",PROPER(TRIM(S571)))</f>
        <v>Standard Class</v>
      </c>
      <c r="U571">
        <v>1</v>
      </c>
      <c r="V571">
        <v>1643.41</v>
      </c>
      <c r="W571">
        <v>0</v>
      </c>
      <c r="Y571">
        <v>0</v>
      </c>
      <c r="Z571">
        <v>1643.41</v>
      </c>
      <c r="AA571">
        <v>907.4</v>
      </c>
      <c r="AB571">
        <v>736.01</v>
      </c>
      <c r="AC571" t="s">
        <v>131</v>
      </c>
      <c r="AD571" t="s">
        <v>76</v>
      </c>
      <c r="AE571">
        <f>ROUND((U571*V571)-(U571*V571*Y571),2)</f>
        <v>1643.41</v>
      </c>
      <c r="AF571">
        <f>AE571-AA571</f>
        <v>736.0100000000001</v>
      </c>
      <c r="AG571" s="7">
        <f>ROUND((AF571/AE571),4)</f>
        <v>0.44790000000000002</v>
      </c>
      <c r="AH571" t="str">
        <f>IF(AND(C571&lt;&gt;"",E571&lt;&gt;""),E571 - C571,"")</f>
        <v/>
      </c>
      <c r="AI571" t="str">
        <f>IF(C571="","",TEXT(C571, "mmmm"))</f>
        <v>July</v>
      </c>
      <c r="AJ571">
        <f>IF(C571="","",YEAR(C571))</f>
        <v>2025</v>
      </c>
      <c r="AM571" t="s">
        <v>4144</v>
      </c>
      <c r="AN571" t="s">
        <v>4136</v>
      </c>
    </row>
    <row r="572" spans="1:40">
      <c r="A572" t="s">
        <v>799</v>
      </c>
      <c r="B572" t="s">
        <v>3705</v>
      </c>
      <c r="C572" s="6">
        <v>45921</v>
      </c>
      <c r="D572" t="s">
        <v>646</v>
      </c>
      <c r="E572" s="6">
        <v>45926</v>
      </c>
      <c r="F572" t="s">
        <v>800</v>
      </c>
      <c r="G572" t="s">
        <v>169</v>
      </c>
      <c r="H572" t="s">
        <v>169</v>
      </c>
      <c r="I572" t="s">
        <v>110</v>
      </c>
      <c r="J572" t="s">
        <v>110</v>
      </c>
      <c r="K572" t="s">
        <v>71</v>
      </c>
      <c r="L572" t="str">
        <f>IF(TRIM(K572)="","Unknown",PROPER(TRIM(K572)))</f>
        <v>West</v>
      </c>
      <c r="M572" t="s">
        <v>218</v>
      </c>
      <c r="N572" t="s">
        <v>219</v>
      </c>
      <c r="O572" t="s">
        <v>44</v>
      </c>
      <c r="P572" t="str">
        <f>IF(TRIM(O572)="","Unknown",PROPER(TRIM(O572)))</f>
        <v>Furniture</v>
      </c>
      <c r="Q572" t="s">
        <v>45</v>
      </c>
      <c r="R572" t="s">
        <v>801</v>
      </c>
      <c r="T572" t="str">
        <f>IF(TRIM(S572)="","Unknown",PROPER(TRIM(S572)))</f>
        <v>Unknown</v>
      </c>
      <c r="U572">
        <v>6</v>
      </c>
      <c r="V572">
        <v>2903.58</v>
      </c>
      <c r="W572">
        <v>0.1</v>
      </c>
      <c r="Y572">
        <v>0.1</v>
      </c>
      <c r="Z572">
        <v>15679.33</v>
      </c>
      <c r="AA572">
        <v>12477.82</v>
      </c>
      <c r="AB572">
        <v>3201.51</v>
      </c>
      <c r="AC572" t="s">
        <v>131</v>
      </c>
      <c r="AD572" t="s">
        <v>120</v>
      </c>
      <c r="AE572">
        <f>ROUND((U572*V572)-(U572*V572*Y572),2)</f>
        <v>15679.33</v>
      </c>
      <c r="AF572">
        <f>AE572-AA572</f>
        <v>3201.51</v>
      </c>
      <c r="AG572" s="7">
        <f>ROUND((AF572/AE572),4)</f>
        <v>0.20419999999999999</v>
      </c>
      <c r="AH572">
        <f>IF(AND(C572&lt;&gt;"",E572&lt;&gt;""),E572 - C572,"")</f>
        <v>5</v>
      </c>
      <c r="AI572" t="str">
        <f>IF(C572="","",TEXT(C572, "mmmm"))</f>
        <v>September</v>
      </c>
      <c r="AJ572">
        <f>IF(C572="","",YEAR(C572))</f>
        <v>2025</v>
      </c>
      <c r="AM572" t="s">
        <v>4145</v>
      </c>
      <c r="AN572" t="s">
        <v>3600</v>
      </c>
    </row>
    <row r="573" spans="1:40">
      <c r="A573" t="s">
        <v>802</v>
      </c>
      <c r="B573" t="s">
        <v>3706</v>
      </c>
      <c r="C573" s="6">
        <v>45909</v>
      </c>
      <c r="D573" t="s">
        <v>803</v>
      </c>
      <c r="E573" s="6">
        <v>45914</v>
      </c>
      <c r="F573" t="s">
        <v>804</v>
      </c>
      <c r="G573" t="s">
        <v>141</v>
      </c>
      <c r="H573" t="s">
        <v>141</v>
      </c>
      <c r="I573" t="s">
        <v>40</v>
      </c>
      <c r="J573" t="s">
        <v>40</v>
      </c>
      <c r="K573" t="s">
        <v>41</v>
      </c>
      <c r="L573" t="str">
        <f>IF(TRIM(K573)="","Unknown",PROPER(TRIM(K573)))</f>
        <v>East</v>
      </c>
      <c r="M573" t="s">
        <v>116</v>
      </c>
      <c r="N573" t="s">
        <v>117</v>
      </c>
      <c r="O573" t="s">
        <v>44</v>
      </c>
      <c r="P573" t="str">
        <f>IF(TRIM(O573)="","Unknown",PROPER(TRIM(O573)))</f>
        <v>Furniture</v>
      </c>
      <c r="Q573" t="s">
        <v>190</v>
      </c>
      <c r="R573" t="s">
        <v>805</v>
      </c>
      <c r="S573" t="s">
        <v>32</v>
      </c>
      <c r="T573" t="str">
        <f>IF(TRIM(S573)="","Unknown",PROPER(TRIM(S573)))</f>
        <v>Second Class</v>
      </c>
      <c r="U573">
        <v>1</v>
      </c>
      <c r="V573">
        <v>3154.42</v>
      </c>
      <c r="W573">
        <v>0.25</v>
      </c>
      <c r="Y573">
        <v>0.25</v>
      </c>
      <c r="Z573">
        <v>2365.8200000000002</v>
      </c>
      <c r="AA573">
        <v>1547.99</v>
      </c>
      <c r="AB573">
        <v>817.83</v>
      </c>
      <c r="AC573" t="s">
        <v>33</v>
      </c>
      <c r="AD573" t="s">
        <v>34</v>
      </c>
      <c r="AE573">
        <f>ROUND((U573*V573)-(U573*V573*Y573),2)</f>
        <v>2365.8200000000002</v>
      </c>
      <c r="AF573">
        <f>AE573-AA573</f>
        <v>817.83000000000015</v>
      </c>
      <c r="AG573" s="7">
        <f>ROUND((AF573/AE573),4)</f>
        <v>0.34570000000000001</v>
      </c>
      <c r="AH573">
        <f>IF(AND(C573&lt;&gt;"",E573&lt;&gt;""),E573 - C573,"")</f>
        <v>5</v>
      </c>
      <c r="AI573" t="str">
        <f>IF(C573="","",TEXT(C573, "mmmm"))</f>
        <v>September</v>
      </c>
      <c r="AJ573">
        <f>IF(C573="","",YEAR(C573))</f>
        <v>2025</v>
      </c>
      <c r="AM573" t="str">
        <f>IF(AN573="","clean","")</f>
        <v>clean</v>
      </c>
      <c r="AN573" t="s">
        <v>3595</v>
      </c>
    </row>
    <row r="574" spans="1:40">
      <c r="A574" t="s">
        <v>811</v>
      </c>
      <c r="B574" t="s">
        <v>3707</v>
      </c>
      <c r="D574" t="s">
        <v>95</v>
      </c>
      <c r="F574" t="s">
        <v>812</v>
      </c>
      <c r="G574" t="s">
        <v>24</v>
      </c>
      <c r="H574" t="s">
        <v>24</v>
      </c>
      <c r="I574" t="s">
        <v>40</v>
      </c>
      <c r="J574" t="s">
        <v>40</v>
      </c>
      <c r="K574" t="s">
        <v>71</v>
      </c>
      <c r="L574" t="str">
        <f>IF(TRIM(K574)="","Unknown",PROPER(TRIM(K574)))</f>
        <v>West</v>
      </c>
      <c r="M574" t="s">
        <v>218</v>
      </c>
      <c r="N574" t="s">
        <v>219</v>
      </c>
      <c r="O574" t="s">
        <v>813</v>
      </c>
      <c r="P574" t="str">
        <f>IF(TRIM(O574)="","Unknown",PROPER(TRIM(O574)))</f>
        <v>Office Supplies</v>
      </c>
      <c r="Q574" t="s">
        <v>105</v>
      </c>
      <c r="R574" t="s">
        <v>814</v>
      </c>
      <c r="S574" t="s">
        <v>55</v>
      </c>
      <c r="T574" t="str">
        <f>IF(TRIM(S574)="","Unknown",PROPER(TRIM(S574)))</f>
        <v>First Class</v>
      </c>
      <c r="U574">
        <v>1</v>
      </c>
      <c r="V574">
        <v>2557.85</v>
      </c>
      <c r="W574">
        <v>0.2</v>
      </c>
      <c r="Y574">
        <v>0.2</v>
      </c>
      <c r="Z574">
        <v>2046.28</v>
      </c>
      <c r="AA574">
        <v>1449.54</v>
      </c>
      <c r="AB574">
        <v>596.74</v>
      </c>
      <c r="AC574" t="s">
        <v>33</v>
      </c>
      <c r="AD574" t="s">
        <v>34</v>
      </c>
      <c r="AE574">
        <f>ROUND((U574*V574)-(U574*V574*Y574),2)</f>
        <v>2046.28</v>
      </c>
      <c r="AF574">
        <f>AE574-AA574</f>
        <v>596.74</v>
      </c>
      <c r="AG574" s="7">
        <f>ROUND((AF574/AE574),4)</f>
        <v>0.29160000000000003</v>
      </c>
      <c r="AH574" t="str">
        <f>IF(AND(C574&lt;&gt;"",E574&lt;&gt;""),E574 - C574,"")</f>
        <v/>
      </c>
      <c r="AI574" t="str">
        <f>IF(C574="","",TEXT(C574, "mmmm"))</f>
        <v/>
      </c>
      <c r="AJ574" t="str">
        <f>IF(C574="","",YEAR(C574))</f>
        <v/>
      </c>
      <c r="AM574" t="s">
        <v>4144</v>
      </c>
      <c r="AN574" t="s">
        <v>4123</v>
      </c>
    </row>
    <row r="575" spans="1:40">
      <c r="A575" t="s">
        <v>815</v>
      </c>
      <c r="B575" t="s">
        <v>816</v>
      </c>
      <c r="C575" s="6">
        <v>45887</v>
      </c>
      <c r="D575" t="s">
        <v>817</v>
      </c>
      <c r="E575" s="6">
        <v>45887</v>
      </c>
      <c r="F575" t="s">
        <v>818</v>
      </c>
      <c r="G575" t="s">
        <v>59</v>
      </c>
      <c r="H575" t="s">
        <v>59</v>
      </c>
      <c r="I575" t="s">
        <v>110</v>
      </c>
      <c r="J575" t="s">
        <v>110</v>
      </c>
      <c r="K575" t="s">
        <v>60</v>
      </c>
      <c r="L575" t="str">
        <f>IF(TRIM(K575)="","Unknown",PROPER(TRIM(K575)))</f>
        <v>South</v>
      </c>
      <c r="M575" t="s">
        <v>212</v>
      </c>
      <c r="N575" t="s">
        <v>213</v>
      </c>
      <c r="O575" t="s">
        <v>29</v>
      </c>
      <c r="P575" t="str">
        <f>IF(TRIM(O575)="","Unknown",PROPER(TRIM(O575)))</f>
        <v>Office Supplies</v>
      </c>
      <c r="Q575" t="s">
        <v>148</v>
      </c>
      <c r="R575" t="s">
        <v>819</v>
      </c>
      <c r="S575" t="s">
        <v>55</v>
      </c>
      <c r="T575" t="str">
        <f>IF(TRIM(S575)="","Unknown",PROPER(TRIM(S575)))</f>
        <v>First Class</v>
      </c>
      <c r="U575">
        <v>9</v>
      </c>
      <c r="V575">
        <v>3030.93</v>
      </c>
      <c r="W575">
        <v>0.15</v>
      </c>
      <c r="Y575">
        <v>0.15</v>
      </c>
      <c r="Z575">
        <v>23186.61</v>
      </c>
      <c r="AA575">
        <v>17906.54</v>
      </c>
      <c r="AB575">
        <v>5280.07</v>
      </c>
      <c r="AC575" t="s">
        <v>33</v>
      </c>
      <c r="AD575" t="s">
        <v>120</v>
      </c>
      <c r="AE575">
        <f>ROUND((U575*V575)-(U575*V575*Y575),2)</f>
        <v>23186.61</v>
      </c>
      <c r="AF575">
        <f>AE575-AA575</f>
        <v>5280.07</v>
      </c>
      <c r="AG575" s="7">
        <f>ROUND((AF575/AE575),4)</f>
        <v>0.22770000000000001</v>
      </c>
      <c r="AH575">
        <f>IF(AND(C575&lt;&gt;"",E575&lt;&gt;""),E575 - C575,"")</f>
        <v>0</v>
      </c>
      <c r="AI575" t="str">
        <f>IF(C575="","",TEXT(C575, "mmmm"))</f>
        <v>August</v>
      </c>
      <c r="AJ575">
        <f>IF(C575="","",YEAR(C575))</f>
        <v>2025</v>
      </c>
      <c r="AM575" t="str">
        <f>IF(AN575="","clean","")</f>
        <v>clean</v>
      </c>
      <c r="AN575" t="s">
        <v>3595</v>
      </c>
    </row>
    <row r="576" spans="1:40">
      <c r="A576" t="s">
        <v>820</v>
      </c>
      <c r="B576" t="s">
        <v>3708</v>
      </c>
      <c r="C576" s="6">
        <v>45677</v>
      </c>
      <c r="D576" t="s">
        <v>172</v>
      </c>
      <c r="E576" s="6">
        <v>45680</v>
      </c>
      <c r="F576" t="s">
        <v>821</v>
      </c>
      <c r="G576" t="s">
        <v>334</v>
      </c>
      <c r="H576" t="s">
        <v>334</v>
      </c>
      <c r="I576" t="s">
        <v>25</v>
      </c>
      <c r="J576" t="s">
        <v>25</v>
      </c>
      <c r="K576" t="s">
        <v>71</v>
      </c>
      <c r="L576" t="str">
        <f>IF(TRIM(K576)="","Unknown",PROPER(TRIM(K576)))</f>
        <v>West</v>
      </c>
      <c r="M576" t="s">
        <v>72</v>
      </c>
      <c r="N576" t="s">
        <v>73</v>
      </c>
      <c r="O576" t="s">
        <v>83</v>
      </c>
      <c r="P576" t="str">
        <f>IF(TRIM(O576)="","Unknown",PROPER(TRIM(O576)))</f>
        <v>Technology</v>
      </c>
      <c r="Q576" t="s">
        <v>84</v>
      </c>
      <c r="R576" t="s">
        <v>822</v>
      </c>
      <c r="S576" t="s">
        <v>47</v>
      </c>
      <c r="T576" t="str">
        <f>IF(TRIM(S576)="","Unknown",PROPER(TRIM(S576)))</f>
        <v>Same Day</v>
      </c>
      <c r="U576">
        <v>5</v>
      </c>
      <c r="V576">
        <v>639.27</v>
      </c>
      <c r="W576">
        <v>0.2</v>
      </c>
      <c r="Y576">
        <v>0.2</v>
      </c>
      <c r="Z576">
        <v>2557.08</v>
      </c>
      <c r="AA576">
        <v>2025.69</v>
      </c>
      <c r="AB576">
        <v>531.39</v>
      </c>
      <c r="AC576" t="s">
        <v>33</v>
      </c>
      <c r="AD576" t="s">
        <v>76</v>
      </c>
      <c r="AE576">
        <f>ROUND((U576*V576)-(U576*V576*Y576),2)</f>
        <v>2557.08</v>
      </c>
      <c r="AF576">
        <f>AE576-AA576</f>
        <v>531.38999999999987</v>
      </c>
      <c r="AG576" s="7">
        <f>ROUND((AF576/AE576),4)</f>
        <v>0.20780000000000001</v>
      </c>
      <c r="AH576">
        <f>IF(AND(C576&lt;&gt;"",E576&lt;&gt;""),E576 - C576,"")</f>
        <v>3</v>
      </c>
      <c r="AI576" t="str">
        <f>IF(C576="","",TEXT(C576, "mmmm"))</f>
        <v>January</v>
      </c>
      <c r="AJ576">
        <f>IF(C576="","",YEAR(C576))</f>
        <v>2025</v>
      </c>
      <c r="AM576" t="str">
        <f>IF(AN576="","clean","")</f>
        <v>clean</v>
      </c>
      <c r="AN576" t="s">
        <v>3595</v>
      </c>
    </row>
    <row r="577" spans="1:40">
      <c r="A577" t="s">
        <v>823</v>
      </c>
      <c r="B577" t="s">
        <v>3709</v>
      </c>
      <c r="C577" s="6">
        <v>45913</v>
      </c>
      <c r="D577" t="s">
        <v>824</v>
      </c>
      <c r="E577" s="6">
        <v>45913</v>
      </c>
      <c r="F577" t="s">
        <v>825</v>
      </c>
      <c r="G577" t="s">
        <v>196</v>
      </c>
      <c r="H577" t="s">
        <v>196</v>
      </c>
      <c r="I577" t="s">
        <v>25</v>
      </c>
      <c r="J577" t="s">
        <v>25</v>
      </c>
      <c r="K577" t="s">
        <v>41</v>
      </c>
      <c r="L577" t="str">
        <f>IF(TRIM(K577)="","Unknown",PROPER(TRIM(K577)))</f>
        <v>East</v>
      </c>
      <c r="M577" t="s">
        <v>201</v>
      </c>
      <c r="N577" t="s">
        <v>202</v>
      </c>
      <c r="O577" t="s">
        <v>29</v>
      </c>
      <c r="P577" t="str">
        <f>IF(TRIM(O577)="","Unknown",PROPER(TRIM(O577)))</f>
        <v>Office Supplies</v>
      </c>
      <c r="Q577" t="s">
        <v>53</v>
      </c>
      <c r="R577" t="s">
        <v>826</v>
      </c>
      <c r="S577" t="s">
        <v>65</v>
      </c>
      <c r="T577" t="str">
        <f>IF(TRIM(S577)="","Unknown",PROPER(TRIM(S577)))</f>
        <v>Standard Class</v>
      </c>
      <c r="U577">
        <v>8</v>
      </c>
      <c r="V577">
        <v>733.9</v>
      </c>
      <c r="W577">
        <v>0.05</v>
      </c>
      <c r="Y577">
        <v>0.05</v>
      </c>
      <c r="Z577">
        <v>5577.64</v>
      </c>
      <c r="AA577">
        <v>3541.29</v>
      </c>
      <c r="AB577">
        <v>2036.35</v>
      </c>
      <c r="AC577" t="s">
        <v>131</v>
      </c>
      <c r="AD577" t="s">
        <v>120</v>
      </c>
      <c r="AE577">
        <f>ROUND((U577*V577)-(U577*V577*Y577),2)</f>
        <v>5577.64</v>
      </c>
      <c r="AF577">
        <f>AE577-AA577</f>
        <v>2036.3500000000004</v>
      </c>
      <c r="AG577" s="7">
        <f>ROUND((AF577/AE577),4)</f>
        <v>0.36509999999999998</v>
      </c>
      <c r="AH577">
        <f>IF(AND(C577&lt;&gt;"",E577&lt;&gt;""),E577 - C577,"")</f>
        <v>0</v>
      </c>
      <c r="AI577" t="str">
        <f>IF(C577="","",TEXT(C577, "mmmm"))</f>
        <v>September</v>
      </c>
      <c r="AJ577">
        <f>IF(C577="","",YEAR(C577))</f>
        <v>2025</v>
      </c>
      <c r="AM577" t="str">
        <f>IF(AN577="","clean","")</f>
        <v>clean</v>
      </c>
      <c r="AN577" t="s">
        <v>3595</v>
      </c>
    </row>
    <row r="578" spans="1:40">
      <c r="A578" t="s">
        <v>827</v>
      </c>
      <c r="B578" t="s">
        <v>3607</v>
      </c>
      <c r="C578" s="6">
        <v>45907</v>
      </c>
      <c r="D578" t="s">
        <v>828</v>
      </c>
      <c r="E578" s="6">
        <v>45915</v>
      </c>
      <c r="F578" t="s">
        <v>829</v>
      </c>
      <c r="G578" t="s">
        <v>169</v>
      </c>
      <c r="H578" t="s">
        <v>169</v>
      </c>
      <c r="I578" t="s">
        <v>104</v>
      </c>
      <c r="J578" t="s">
        <v>104</v>
      </c>
      <c r="K578" t="s">
        <v>41</v>
      </c>
      <c r="L578" t="str">
        <f>IF(TRIM(K578)="","Unknown",PROPER(TRIM(K578)))</f>
        <v>East</v>
      </c>
      <c r="M578" t="s">
        <v>174</v>
      </c>
      <c r="N578" t="s">
        <v>175</v>
      </c>
      <c r="O578" t="s">
        <v>83</v>
      </c>
      <c r="P578" t="str">
        <f>IF(TRIM(O578)="","Unknown",PROPER(TRIM(O578)))</f>
        <v>Technology</v>
      </c>
      <c r="Q578" t="s">
        <v>91</v>
      </c>
      <c r="R578" t="s">
        <v>830</v>
      </c>
      <c r="S578" t="s">
        <v>65</v>
      </c>
      <c r="T578" t="str">
        <f>IF(TRIM(S578)="","Unknown",PROPER(TRIM(S578)))</f>
        <v>Standard Class</v>
      </c>
      <c r="U578">
        <v>3</v>
      </c>
      <c r="V578">
        <v>1711.32</v>
      </c>
      <c r="W578">
        <v>0</v>
      </c>
      <c r="Y578">
        <v>0</v>
      </c>
      <c r="Z578">
        <v>5133.96</v>
      </c>
      <c r="AA578">
        <v>3930</v>
      </c>
      <c r="AB578">
        <v>1203.96</v>
      </c>
      <c r="AC578" t="s">
        <v>33</v>
      </c>
      <c r="AD578" t="s">
        <v>34</v>
      </c>
      <c r="AE578">
        <f>ROUND((U578*V578)-(U578*V578*Y578),2)</f>
        <v>5133.96</v>
      </c>
      <c r="AF578">
        <f>AE578-AA578</f>
        <v>1203.96</v>
      </c>
      <c r="AG578" s="7">
        <f>ROUND((AF578/AE578),4)</f>
        <v>0.23449999999999999</v>
      </c>
      <c r="AH578">
        <f>IF(AND(C578&lt;&gt;"",E578&lt;&gt;""),E578 - C578,"")</f>
        <v>8</v>
      </c>
      <c r="AI578" t="str">
        <f>IF(C578="","",TEXT(C578, "mmmm"))</f>
        <v>September</v>
      </c>
      <c r="AJ578">
        <f>IF(C578="","",YEAR(C578))</f>
        <v>2025</v>
      </c>
      <c r="AM578" t="str">
        <f>IF(AN578="","clean","")</f>
        <v>clean</v>
      </c>
      <c r="AN578" t="s">
        <v>3595</v>
      </c>
    </row>
    <row r="579" spans="1:40">
      <c r="A579" t="s">
        <v>827</v>
      </c>
      <c r="B579" t="s">
        <v>3607</v>
      </c>
      <c r="C579" s="6">
        <v>45907</v>
      </c>
      <c r="D579" t="s">
        <v>828</v>
      </c>
      <c r="E579" s="6">
        <v>45915</v>
      </c>
      <c r="F579" t="s">
        <v>829</v>
      </c>
      <c r="G579" t="s">
        <v>169</v>
      </c>
      <c r="H579" t="s">
        <v>169</v>
      </c>
      <c r="I579" t="s">
        <v>104</v>
      </c>
      <c r="J579" t="s">
        <v>104</v>
      </c>
      <c r="K579" t="s">
        <v>41</v>
      </c>
      <c r="L579" t="str">
        <f>IF(TRIM(K579)="","Unknown",PROPER(TRIM(K579)))</f>
        <v>East</v>
      </c>
      <c r="M579" t="s">
        <v>174</v>
      </c>
      <c r="N579" t="s">
        <v>175</v>
      </c>
      <c r="O579" t="s">
        <v>83</v>
      </c>
      <c r="P579" t="str">
        <f>IF(TRIM(O579)="","Unknown",PROPER(TRIM(O579)))</f>
        <v>Technology</v>
      </c>
      <c r="Q579" t="s">
        <v>91</v>
      </c>
      <c r="R579" t="s">
        <v>830</v>
      </c>
      <c r="S579" t="s">
        <v>65</v>
      </c>
      <c r="T579" t="str">
        <f>IF(TRIM(S579)="","Unknown",PROPER(TRIM(S579)))</f>
        <v>Standard Class</v>
      </c>
      <c r="U579">
        <v>3</v>
      </c>
      <c r="V579">
        <v>1711.32</v>
      </c>
      <c r="W579">
        <v>0</v>
      </c>
      <c r="Y579">
        <v>0</v>
      </c>
      <c r="Z579">
        <v>5206.53</v>
      </c>
      <c r="AA579">
        <v>3930</v>
      </c>
      <c r="AB579">
        <v>1203.96</v>
      </c>
      <c r="AC579" t="s">
        <v>33</v>
      </c>
      <c r="AD579" t="s">
        <v>120</v>
      </c>
      <c r="AE579">
        <f>ROUND((U579*V579)-(U579*V579*Y579),2)</f>
        <v>5133.96</v>
      </c>
      <c r="AF579">
        <f>AE579-AA579</f>
        <v>1203.96</v>
      </c>
      <c r="AG579" s="7">
        <f>ROUND((AF579/AE579),4)</f>
        <v>0.23449999999999999</v>
      </c>
      <c r="AH579">
        <f>IF(AND(C579&lt;&gt;"",E579&lt;&gt;""),E579 - C579,"")</f>
        <v>8</v>
      </c>
      <c r="AI579" t="str">
        <f>IF(C579="","",TEXT(C579, "mmmm"))</f>
        <v>September</v>
      </c>
      <c r="AJ579">
        <f>IF(C579="","",YEAR(C579))</f>
        <v>2025</v>
      </c>
      <c r="AK579" t="s">
        <v>4152</v>
      </c>
      <c r="AM579" t="s">
        <v>4145</v>
      </c>
      <c r="AN579" t="s">
        <v>4155</v>
      </c>
    </row>
    <row r="580" spans="1:40">
      <c r="A580" t="s">
        <v>831</v>
      </c>
      <c r="B580" t="s">
        <v>94</v>
      </c>
      <c r="C580" s="6">
        <v>45711</v>
      </c>
      <c r="D580" t="s">
        <v>832</v>
      </c>
      <c r="E580" s="6">
        <v>45713</v>
      </c>
      <c r="F580" t="s">
        <v>833</v>
      </c>
      <c r="G580" t="s">
        <v>24</v>
      </c>
      <c r="H580" t="s">
        <v>24</v>
      </c>
      <c r="I580" t="s">
        <v>104</v>
      </c>
      <c r="J580" t="s">
        <v>104</v>
      </c>
      <c r="K580" t="s">
        <v>41</v>
      </c>
      <c r="L580" t="str">
        <f>IF(TRIM(K580)="","Unknown",PROPER(TRIM(K580)))</f>
        <v>East</v>
      </c>
      <c r="M580" t="s">
        <v>174</v>
      </c>
      <c r="N580" t="s">
        <v>175</v>
      </c>
      <c r="O580" t="s">
        <v>29</v>
      </c>
      <c r="P580" t="str">
        <f>IF(TRIM(O580)="","Unknown",PROPER(TRIM(O580)))</f>
        <v>Office Supplies</v>
      </c>
      <c r="Q580" t="s">
        <v>105</v>
      </c>
      <c r="R580" t="s">
        <v>834</v>
      </c>
      <c r="S580" t="s">
        <v>47</v>
      </c>
      <c r="T580" t="str">
        <f>IF(TRIM(S580)="","Unknown",PROPER(TRIM(S580)))</f>
        <v>Same Day</v>
      </c>
      <c r="U580">
        <v>5</v>
      </c>
      <c r="V580">
        <v>4246.2700000000004</v>
      </c>
      <c r="W580">
        <v>0.25</v>
      </c>
      <c r="Y580">
        <v>0.25</v>
      </c>
      <c r="Z580">
        <v>15923.51</v>
      </c>
      <c r="AA580">
        <v>11291.8</v>
      </c>
      <c r="AB580">
        <v>4631.71</v>
      </c>
      <c r="AC580" t="s">
        <v>33</v>
      </c>
      <c r="AD580" t="s">
        <v>34</v>
      </c>
      <c r="AE580">
        <f>ROUND((U580*V580)-(U580*V580*Y580),2)</f>
        <v>15923.51</v>
      </c>
      <c r="AF580">
        <f>AE580-AA580</f>
        <v>4631.7100000000009</v>
      </c>
      <c r="AG580" s="7">
        <f>ROUND((AF580/AE580),4)</f>
        <v>0.29089999999999999</v>
      </c>
      <c r="AH580">
        <f>IF(AND(C580&lt;&gt;"",E580&lt;&gt;""),E580 - C580,"")</f>
        <v>2</v>
      </c>
      <c r="AI580" t="str">
        <f>IF(C580="","",TEXT(C580, "mmmm"))</f>
        <v>February</v>
      </c>
      <c r="AJ580">
        <f>IF(C580="","",YEAR(C580))</f>
        <v>2025</v>
      </c>
      <c r="AM580" t="str">
        <f>IF(AN580="","clean","")</f>
        <v>clean</v>
      </c>
      <c r="AN580" t="s">
        <v>3595</v>
      </c>
    </row>
    <row r="581" spans="1:40">
      <c r="A581" t="s">
        <v>835</v>
      </c>
      <c r="B581" t="s">
        <v>836</v>
      </c>
      <c r="C581" s="6">
        <v>45871</v>
      </c>
      <c r="D581" t="s">
        <v>837</v>
      </c>
      <c r="E581" s="6">
        <v>45879</v>
      </c>
      <c r="F581" t="s">
        <v>838</v>
      </c>
      <c r="G581" t="s">
        <v>24</v>
      </c>
      <c r="H581" t="s">
        <v>24</v>
      </c>
      <c r="I581" t="s">
        <v>104</v>
      </c>
      <c r="J581" t="s">
        <v>104</v>
      </c>
      <c r="K581" t="s">
        <v>26</v>
      </c>
      <c r="L581" t="str">
        <f>IF(TRIM(K581)="","Unknown",PROPER(TRIM(K581)))</f>
        <v>North</v>
      </c>
      <c r="M581" t="s">
        <v>454</v>
      </c>
      <c r="N581" t="s">
        <v>455</v>
      </c>
      <c r="O581" t="s">
        <v>44</v>
      </c>
      <c r="P581" t="str">
        <f>IF(TRIM(O581)="","Unknown",PROPER(TRIM(O581)))</f>
        <v>Furniture</v>
      </c>
      <c r="Q581" t="s">
        <v>63</v>
      </c>
      <c r="R581" t="s">
        <v>839</v>
      </c>
      <c r="S581" t="s">
        <v>47</v>
      </c>
      <c r="T581" t="str">
        <f>IF(TRIM(S581)="","Unknown",PROPER(TRIM(S581)))</f>
        <v>Same Day</v>
      </c>
      <c r="U581">
        <v>9</v>
      </c>
      <c r="V581">
        <v>2962.62</v>
      </c>
      <c r="W581">
        <v>0.1</v>
      </c>
      <c r="Y581">
        <v>0.1</v>
      </c>
      <c r="Z581">
        <v>23997.22</v>
      </c>
      <c r="AA581">
        <v>16134.63</v>
      </c>
      <c r="AB581">
        <v>7862.59</v>
      </c>
      <c r="AC581" t="s">
        <v>119</v>
      </c>
      <c r="AD581" t="s">
        <v>120</v>
      </c>
      <c r="AE581">
        <f>ROUND((U581*V581)-(U581*V581*Y581),2)</f>
        <v>23997.22</v>
      </c>
      <c r="AF581">
        <f>AE581-AA581</f>
        <v>7862.590000000002</v>
      </c>
      <c r="AG581" s="7">
        <f>ROUND((AF581/AE581),4)</f>
        <v>0.3276</v>
      </c>
      <c r="AH581">
        <f>IF(AND(C581&lt;&gt;"",E581&lt;&gt;""),E581 - C581,"")</f>
        <v>8</v>
      </c>
      <c r="AI581" t="str">
        <f>IF(C581="","",TEXT(C581, "mmmm"))</f>
        <v>August</v>
      </c>
      <c r="AJ581">
        <f>IF(C581="","",YEAR(C581))</f>
        <v>2025</v>
      </c>
      <c r="AM581" t="str">
        <f>IF(AN581="","clean","")</f>
        <v>clean</v>
      </c>
      <c r="AN581" t="s">
        <v>3595</v>
      </c>
    </row>
    <row r="582" spans="1:40">
      <c r="A582" t="s">
        <v>846</v>
      </c>
      <c r="B582" t="s">
        <v>3710</v>
      </c>
      <c r="C582" s="6">
        <v>45928</v>
      </c>
      <c r="D582" t="s">
        <v>847</v>
      </c>
      <c r="E582" s="6">
        <v>45934</v>
      </c>
      <c r="F582" t="s">
        <v>848</v>
      </c>
      <c r="G582" t="s">
        <v>24</v>
      </c>
      <c r="H582" t="s">
        <v>24</v>
      </c>
      <c r="I582" t="s">
        <v>40</v>
      </c>
      <c r="J582" t="s">
        <v>40</v>
      </c>
      <c r="K582" t="s">
        <v>60</v>
      </c>
      <c r="L582" t="str">
        <f>IF(TRIM(K582)="","Unknown",PROPER(TRIM(K582)))</f>
        <v>South</v>
      </c>
      <c r="M582" t="s">
        <v>212</v>
      </c>
      <c r="N582" t="s">
        <v>213</v>
      </c>
      <c r="O582" t="s">
        <v>44</v>
      </c>
      <c r="P582" t="str">
        <f>IF(TRIM(O582)="","Unknown",PROPER(TRIM(O582)))</f>
        <v>Furniture</v>
      </c>
      <c r="Q582" t="s">
        <v>190</v>
      </c>
      <c r="R582" t="s">
        <v>849</v>
      </c>
      <c r="S582" t="s">
        <v>55</v>
      </c>
      <c r="T582" t="str">
        <f>IF(TRIM(S582)="","Unknown",PROPER(TRIM(S582)))</f>
        <v>First Class</v>
      </c>
      <c r="U582">
        <v>6</v>
      </c>
      <c r="V582">
        <v>1620.53</v>
      </c>
      <c r="W582">
        <v>0.15</v>
      </c>
      <c r="Y582">
        <v>0.15</v>
      </c>
      <c r="Z582">
        <v>8264.7000000000007</v>
      </c>
      <c r="AA582">
        <v>4768.75</v>
      </c>
      <c r="AB582">
        <v>3495.95</v>
      </c>
      <c r="AC582" t="s">
        <v>131</v>
      </c>
      <c r="AD582" t="s">
        <v>120</v>
      </c>
      <c r="AE582">
        <f>ROUND((U582*V582)-(U582*V582*Y582),2)</f>
        <v>8264.7000000000007</v>
      </c>
      <c r="AF582">
        <f>AE582-AA582</f>
        <v>3495.9500000000007</v>
      </c>
      <c r="AG582" s="7">
        <f>ROUND((AF582/AE582),4)</f>
        <v>0.42299999999999999</v>
      </c>
      <c r="AH582">
        <f>IF(AND(C582&lt;&gt;"",E582&lt;&gt;""),E582 - C582,"")</f>
        <v>6</v>
      </c>
      <c r="AI582" t="str">
        <f>IF(C582="","",TEXT(C582, "mmmm"))</f>
        <v>September</v>
      </c>
      <c r="AJ582">
        <f>IF(C582="","",YEAR(C582))</f>
        <v>2025</v>
      </c>
      <c r="AM582" t="str">
        <f>IF(AN582="","clean","")</f>
        <v>clean</v>
      </c>
      <c r="AN582" t="s">
        <v>3595</v>
      </c>
    </row>
    <row r="583" spans="1:40">
      <c r="A583" t="s">
        <v>854</v>
      </c>
      <c r="B583" t="s">
        <v>3711</v>
      </c>
      <c r="C583" s="6">
        <v>45734</v>
      </c>
      <c r="D583" t="s">
        <v>855</v>
      </c>
      <c r="E583" s="6">
        <v>45742</v>
      </c>
      <c r="F583" t="s">
        <v>856</v>
      </c>
      <c r="G583" t="s">
        <v>80</v>
      </c>
      <c r="H583" t="s">
        <v>80</v>
      </c>
      <c r="I583" t="s">
        <v>104</v>
      </c>
      <c r="J583" t="s">
        <v>104</v>
      </c>
      <c r="K583" t="s">
        <v>41</v>
      </c>
      <c r="L583" t="str">
        <f>IF(TRIM(K583)="","Unknown",PROPER(TRIM(K583)))</f>
        <v>East</v>
      </c>
      <c r="M583" t="s">
        <v>284</v>
      </c>
      <c r="N583" t="s">
        <v>285</v>
      </c>
      <c r="O583" t="s">
        <v>44</v>
      </c>
      <c r="P583" t="str">
        <f>IF(TRIM(O583)="","Unknown",PROPER(TRIM(O583)))</f>
        <v>Furniture</v>
      </c>
      <c r="Q583" t="s">
        <v>190</v>
      </c>
      <c r="R583" t="s">
        <v>857</v>
      </c>
      <c r="S583" t="s">
        <v>65</v>
      </c>
      <c r="T583" t="str">
        <f>IF(TRIM(S583)="","Unknown",PROPER(TRIM(S583)))</f>
        <v>Standard Class</v>
      </c>
      <c r="U583">
        <v>8</v>
      </c>
      <c r="V583">
        <v>3563.09</v>
      </c>
      <c r="W583">
        <v>0.15</v>
      </c>
      <c r="Y583">
        <v>0.15</v>
      </c>
      <c r="Z583">
        <v>24229.01</v>
      </c>
      <c r="AA583">
        <v>13910.64</v>
      </c>
      <c r="AB583">
        <v>10318.370000000001</v>
      </c>
      <c r="AC583" t="s">
        <v>33</v>
      </c>
      <c r="AD583" t="s">
        <v>34</v>
      </c>
      <c r="AE583">
        <f>ROUND((U583*V583)-(U583*V583*Y583),2)</f>
        <v>24229.01</v>
      </c>
      <c r="AF583">
        <f>AE583-AA583</f>
        <v>10318.369999999999</v>
      </c>
      <c r="AG583" s="7">
        <f>ROUND((AF583/AE583),4)</f>
        <v>0.4259</v>
      </c>
      <c r="AH583">
        <f>IF(AND(C583&lt;&gt;"",E583&lt;&gt;""),E583 - C583,"")</f>
        <v>8</v>
      </c>
      <c r="AI583" t="str">
        <f>IF(C583="","",TEXT(C583, "mmmm"))</f>
        <v>March</v>
      </c>
      <c r="AJ583">
        <f>IF(C583="","",YEAR(C583))</f>
        <v>2025</v>
      </c>
      <c r="AM583" t="str">
        <f>IF(AN583="","clean","")</f>
        <v>clean</v>
      </c>
      <c r="AN583" t="s">
        <v>3595</v>
      </c>
    </row>
    <row r="584" spans="1:40">
      <c r="A584" t="s">
        <v>874</v>
      </c>
      <c r="B584" t="s">
        <v>3716</v>
      </c>
      <c r="C584" s="6">
        <v>45909</v>
      </c>
      <c r="D584" t="s">
        <v>875</v>
      </c>
      <c r="E584" s="6">
        <v>45910</v>
      </c>
      <c r="F584" t="s">
        <v>876</v>
      </c>
      <c r="G584" t="s">
        <v>136</v>
      </c>
      <c r="H584" t="s">
        <v>136</v>
      </c>
      <c r="I584" t="s">
        <v>110</v>
      </c>
      <c r="J584" t="s">
        <v>110</v>
      </c>
      <c r="K584" t="s">
        <v>60</v>
      </c>
      <c r="L584" t="str">
        <f>IF(TRIM(K584)="","Unknown",PROPER(TRIM(K584)))</f>
        <v>South</v>
      </c>
      <c r="M584" t="s">
        <v>309</v>
      </c>
      <c r="N584" t="s">
        <v>310</v>
      </c>
      <c r="O584" t="s">
        <v>29</v>
      </c>
      <c r="P584" t="str">
        <f>IF(TRIM(O584)="","Unknown",PROPER(TRIM(O584)))</f>
        <v>Office Supplies</v>
      </c>
      <c r="Q584" t="s">
        <v>53</v>
      </c>
      <c r="R584" t="s">
        <v>877</v>
      </c>
      <c r="S584" t="s">
        <v>32</v>
      </c>
      <c r="T584" t="str">
        <f>IF(TRIM(S584)="","Unknown",PROPER(TRIM(S584)))</f>
        <v>Second Class</v>
      </c>
      <c r="U584">
        <v>4</v>
      </c>
      <c r="V584">
        <v>2551.4499999999998</v>
      </c>
      <c r="W584">
        <v>0</v>
      </c>
      <c r="Y584">
        <v>0</v>
      </c>
      <c r="Z584">
        <v>10205.799999999999</v>
      </c>
      <c r="AA584">
        <v>5986.31</v>
      </c>
      <c r="AB584">
        <v>4219.49</v>
      </c>
      <c r="AC584" t="s">
        <v>33</v>
      </c>
      <c r="AD584" t="s">
        <v>34</v>
      </c>
      <c r="AE584">
        <f>ROUND((U584*V584)-(U584*V584*Y584),2)</f>
        <v>10205.799999999999</v>
      </c>
      <c r="AF584">
        <f>AE584-AA584</f>
        <v>4219.4899999999989</v>
      </c>
      <c r="AG584" s="7">
        <f>ROUND((AF584/AE584),4)</f>
        <v>0.41339999999999999</v>
      </c>
      <c r="AH584">
        <f>IF(AND(C584&lt;&gt;"",E584&lt;&gt;""),E584 - C584,"")</f>
        <v>1</v>
      </c>
      <c r="AI584" t="str">
        <f>IF(C584="","",TEXT(C584, "mmmm"))</f>
        <v>September</v>
      </c>
      <c r="AJ584">
        <f>IF(C584="","",YEAR(C584))</f>
        <v>2025</v>
      </c>
      <c r="AM584" t="str">
        <f>IF(AN584="","clean","")</f>
        <v>clean</v>
      </c>
      <c r="AN584" t="s">
        <v>3595</v>
      </c>
    </row>
    <row r="585" spans="1:40">
      <c r="A585" t="s">
        <v>881</v>
      </c>
      <c r="B585" t="s">
        <v>882</v>
      </c>
      <c r="C585" s="6">
        <v>45832</v>
      </c>
      <c r="D585" t="s">
        <v>883</v>
      </c>
      <c r="F585" t="s">
        <v>884</v>
      </c>
      <c r="G585" t="s">
        <v>80</v>
      </c>
      <c r="H585" t="s">
        <v>80</v>
      </c>
      <c r="I585" t="s">
        <v>110</v>
      </c>
      <c r="J585" t="s">
        <v>110</v>
      </c>
      <c r="K585" t="s">
        <v>60</v>
      </c>
      <c r="L585" t="str">
        <f>IF(TRIM(K585)="","Unknown",PROPER(TRIM(K585)))</f>
        <v>South</v>
      </c>
      <c r="M585" t="s">
        <v>61</v>
      </c>
      <c r="N585" t="s">
        <v>62</v>
      </c>
      <c r="O585" t="s">
        <v>83</v>
      </c>
      <c r="P585" t="str">
        <f>IF(TRIM(O585)="","Unknown",PROPER(TRIM(O585)))</f>
        <v>Technology</v>
      </c>
      <c r="Q585" t="s">
        <v>91</v>
      </c>
      <c r="R585" t="s">
        <v>885</v>
      </c>
      <c r="S585" t="s">
        <v>65</v>
      </c>
      <c r="T585" t="str">
        <f>IF(TRIM(S585)="","Unknown",PROPER(TRIM(S585)))</f>
        <v>Standard Class</v>
      </c>
      <c r="U585">
        <v>7</v>
      </c>
      <c r="V585">
        <v>2304.86</v>
      </c>
      <c r="W585">
        <v>0.2</v>
      </c>
      <c r="Y585">
        <v>0.2</v>
      </c>
      <c r="Z585">
        <v>12907.22</v>
      </c>
      <c r="AA585">
        <v>8327.89</v>
      </c>
      <c r="AB585">
        <v>4579.33</v>
      </c>
      <c r="AC585" t="s">
        <v>33</v>
      </c>
      <c r="AD585" t="s">
        <v>120</v>
      </c>
      <c r="AE585">
        <f>ROUND((U585*V585)-(U585*V585*Y585),2)</f>
        <v>12907.22</v>
      </c>
      <c r="AF585">
        <f>AE585-AA585</f>
        <v>4579.33</v>
      </c>
      <c r="AG585" s="7">
        <f>ROUND((AF585/AE585),4)</f>
        <v>0.3548</v>
      </c>
      <c r="AH585" t="str">
        <f>IF(AND(C585&lt;&gt;"",E585&lt;&gt;""),E585 - C585,"")</f>
        <v/>
      </c>
      <c r="AI585" t="str">
        <f>IF(C585="","",TEXT(C585, "mmmm"))</f>
        <v>June</v>
      </c>
      <c r="AJ585">
        <f>IF(C585="","",YEAR(C585))</f>
        <v>2025</v>
      </c>
      <c r="AM585" t="s">
        <v>4144</v>
      </c>
      <c r="AN585" t="s">
        <v>4136</v>
      </c>
    </row>
    <row r="586" spans="1:40">
      <c r="A586" t="s">
        <v>896</v>
      </c>
      <c r="B586" t="s">
        <v>3718</v>
      </c>
      <c r="C586" s="6">
        <v>45778</v>
      </c>
      <c r="D586" t="s">
        <v>897</v>
      </c>
      <c r="E586" s="6">
        <v>45779</v>
      </c>
      <c r="F586" t="s">
        <v>898</v>
      </c>
      <c r="G586" t="s">
        <v>39</v>
      </c>
      <c r="H586" t="s">
        <v>39</v>
      </c>
      <c r="I586" t="s">
        <v>25</v>
      </c>
      <c r="J586" t="s">
        <v>25</v>
      </c>
      <c r="K586" t="s">
        <v>71</v>
      </c>
      <c r="L586" t="str">
        <f>IF(TRIM(K586)="","Unknown",PROPER(TRIM(K586)))</f>
        <v>West</v>
      </c>
      <c r="M586" t="s">
        <v>81</v>
      </c>
      <c r="N586" t="s">
        <v>82</v>
      </c>
      <c r="O586" t="s">
        <v>44</v>
      </c>
      <c r="P586" t="str">
        <f>IF(TRIM(O586)="","Unknown",PROPER(TRIM(O586)))</f>
        <v>Furniture</v>
      </c>
      <c r="Q586" t="s">
        <v>74</v>
      </c>
      <c r="R586" t="s">
        <v>899</v>
      </c>
      <c r="S586" t="s">
        <v>47</v>
      </c>
      <c r="T586" t="str">
        <f>IF(TRIM(S586)="","Unknown",PROPER(TRIM(S586)))</f>
        <v>Same Day</v>
      </c>
      <c r="U586">
        <v>3</v>
      </c>
      <c r="V586">
        <v>2905.74</v>
      </c>
      <c r="W586">
        <v>0</v>
      </c>
      <c r="Y586">
        <v>0</v>
      </c>
      <c r="Z586">
        <v>8717.2199999999993</v>
      </c>
      <c r="AA586">
        <v>6215.96</v>
      </c>
      <c r="AB586">
        <v>2501.2600000000002</v>
      </c>
      <c r="AC586" t="s">
        <v>33</v>
      </c>
      <c r="AD586" t="s">
        <v>120</v>
      </c>
      <c r="AE586">
        <f>ROUND((U586*V586)-(U586*V586*Y586),2)</f>
        <v>8717.2199999999993</v>
      </c>
      <c r="AF586">
        <f>AE586-AA586</f>
        <v>2501.2599999999993</v>
      </c>
      <c r="AG586" s="7">
        <f>ROUND((AF586/AE586),4)</f>
        <v>0.28689999999999999</v>
      </c>
      <c r="AH586">
        <f>IF(AND(C586&lt;&gt;"",E586&lt;&gt;""),E586 - C586,"")</f>
        <v>1</v>
      </c>
      <c r="AI586" t="str">
        <f>IF(C586="","",TEXT(C586, "mmmm"))</f>
        <v>May</v>
      </c>
      <c r="AJ586">
        <f>IF(C586="","",YEAR(C586))</f>
        <v>2025</v>
      </c>
      <c r="AM586" t="str">
        <f>IF(AN586="","clean","")</f>
        <v>clean</v>
      </c>
      <c r="AN586" t="s">
        <v>3595</v>
      </c>
    </row>
    <row r="587" spans="1:40">
      <c r="A587" t="s">
        <v>900</v>
      </c>
      <c r="B587" t="s">
        <v>3719</v>
      </c>
      <c r="C587" s="6">
        <v>45798</v>
      </c>
      <c r="D587" t="s">
        <v>901</v>
      </c>
      <c r="E587" s="6">
        <v>45805</v>
      </c>
      <c r="F587" t="s">
        <v>902</v>
      </c>
      <c r="G587" t="s">
        <v>136</v>
      </c>
      <c r="H587" t="s">
        <v>136</v>
      </c>
      <c r="I587" t="s">
        <v>104</v>
      </c>
      <c r="J587" t="s">
        <v>104</v>
      </c>
      <c r="K587" t="s">
        <v>41</v>
      </c>
      <c r="L587" t="str">
        <f>IF(TRIM(K587)="","Unknown",PROPER(TRIM(K587)))</f>
        <v>East</v>
      </c>
      <c r="M587" t="s">
        <v>116</v>
      </c>
      <c r="N587" t="s">
        <v>117</v>
      </c>
      <c r="O587" t="s">
        <v>44</v>
      </c>
      <c r="P587" t="str">
        <f>IF(TRIM(O587)="","Unknown",PROPER(TRIM(O587)))</f>
        <v>Furniture</v>
      </c>
      <c r="Q587" t="s">
        <v>190</v>
      </c>
      <c r="R587" t="s">
        <v>903</v>
      </c>
      <c r="S587" t="s">
        <v>47</v>
      </c>
      <c r="T587" t="str">
        <f>IF(TRIM(S587)="","Unknown",PROPER(TRIM(S587)))</f>
        <v>Same Day</v>
      </c>
      <c r="U587">
        <v>2</v>
      </c>
      <c r="V587">
        <v>3559.57</v>
      </c>
      <c r="W587">
        <v>0.1</v>
      </c>
      <c r="Y587">
        <v>0.08</v>
      </c>
      <c r="Z587">
        <v>6553.95</v>
      </c>
      <c r="AA587">
        <v>4923.09</v>
      </c>
      <c r="AB587">
        <v>1484.14</v>
      </c>
      <c r="AC587" t="s">
        <v>33</v>
      </c>
      <c r="AD587" t="s">
        <v>34</v>
      </c>
      <c r="AE587">
        <f>ROUND((U587*V587)-(U587*V587*Y587),2)</f>
        <v>6549.61</v>
      </c>
      <c r="AF587">
        <f>AE587-AA587</f>
        <v>1626.5199999999995</v>
      </c>
      <c r="AG587" s="7">
        <f>ROUND((AF587/AE587),4)</f>
        <v>0.24829999999999999</v>
      </c>
      <c r="AH587">
        <f>IF(AND(C587&lt;&gt;"",E587&lt;&gt;""),E587 - C587,"")</f>
        <v>7</v>
      </c>
      <c r="AI587" t="str">
        <f>IF(C587="","",TEXT(C587, "mmmm"))</f>
        <v>May</v>
      </c>
      <c r="AJ587">
        <f>IF(C587="","",YEAR(C587))</f>
        <v>2025</v>
      </c>
      <c r="AM587" t="s">
        <v>4145</v>
      </c>
      <c r="AN587" t="s">
        <v>3596</v>
      </c>
    </row>
    <row r="588" spans="1:40">
      <c r="A588" t="s">
        <v>904</v>
      </c>
      <c r="B588" t="s">
        <v>3720</v>
      </c>
      <c r="C588" s="6">
        <v>45783</v>
      </c>
      <c r="D588" t="s">
        <v>905</v>
      </c>
      <c r="E588" s="6">
        <v>45784</v>
      </c>
      <c r="F588" t="s">
        <v>906</v>
      </c>
      <c r="G588" t="s">
        <v>59</v>
      </c>
      <c r="H588" t="s">
        <v>59</v>
      </c>
      <c r="I588" t="s">
        <v>25</v>
      </c>
      <c r="J588" t="s">
        <v>25</v>
      </c>
      <c r="K588" t="s">
        <v>71</v>
      </c>
      <c r="L588" t="str">
        <f>IF(TRIM(K588)="","Unknown",PROPER(TRIM(K588)))</f>
        <v>West</v>
      </c>
      <c r="M588" t="s">
        <v>27</v>
      </c>
      <c r="N588" t="s">
        <v>129</v>
      </c>
      <c r="O588" t="s">
        <v>44</v>
      </c>
      <c r="P588" t="str">
        <f>IF(TRIM(O588)="","Unknown",PROPER(TRIM(O588)))</f>
        <v>Furniture</v>
      </c>
      <c r="Q588" t="s">
        <v>190</v>
      </c>
      <c r="R588" t="s">
        <v>907</v>
      </c>
      <c r="S588" t="s">
        <v>55</v>
      </c>
      <c r="T588" t="str">
        <f>IF(TRIM(S588)="","Unknown",PROPER(TRIM(S588)))</f>
        <v>First Class</v>
      </c>
      <c r="U588">
        <v>9</v>
      </c>
      <c r="V588">
        <v>3318.24</v>
      </c>
      <c r="Y588">
        <v>0.15</v>
      </c>
      <c r="Z588">
        <v>25384.54</v>
      </c>
      <c r="AA588">
        <v>16872.39</v>
      </c>
      <c r="AB588">
        <v>8512.15</v>
      </c>
      <c r="AC588" t="s">
        <v>33</v>
      </c>
      <c r="AD588" t="s">
        <v>908</v>
      </c>
      <c r="AE588">
        <f>ROUND((U588*V588)-(U588*V588*Y588),2)</f>
        <v>25384.54</v>
      </c>
      <c r="AF588">
        <f>AE588-AA588</f>
        <v>8512.1500000000015</v>
      </c>
      <c r="AG588" s="7">
        <f>ROUND((AF588/AE588),4)</f>
        <v>0.33529999999999999</v>
      </c>
      <c r="AH588">
        <f>IF(AND(C588&lt;&gt;"",E588&lt;&gt;""),E588 - C588,"")</f>
        <v>1</v>
      </c>
      <c r="AI588" t="str">
        <f>IF(C588="","",TEXT(C588, "mmmm"))</f>
        <v>May</v>
      </c>
      <c r="AJ588">
        <f>IF(C588="","",YEAR(C588))</f>
        <v>2025</v>
      </c>
      <c r="AM588" t="s">
        <v>4145</v>
      </c>
      <c r="AN588" t="s">
        <v>3596</v>
      </c>
    </row>
    <row r="589" spans="1:40">
      <c r="A589" t="s">
        <v>909</v>
      </c>
      <c r="B589" t="s">
        <v>910</v>
      </c>
      <c r="D589" t="s">
        <v>911</v>
      </c>
      <c r="E589" s="6">
        <v>45768</v>
      </c>
      <c r="F589" t="s">
        <v>912</v>
      </c>
      <c r="G589" t="s">
        <v>103</v>
      </c>
      <c r="H589" t="s">
        <v>103</v>
      </c>
      <c r="I589" t="s">
        <v>25</v>
      </c>
      <c r="J589" t="s">
        <v>25</v>
      </c>
      <c r="K589" t="s">
        <v>60</v>
      </c>
      <c r="L589" t="str">
        <f>IF(TRIM(K589)="","Unknown",PROPER(TRIM(K589)))</f>
        <v>South</v>
      </c>
      <c r="M589" t="s">
        <v>309</v>
      </c>
      <c r="N589" t="s">
        <v>310</v>
      </c>
      <c r="O589" t="s">
        <v>29</v>
      </c>
      <c r="P589" t="str">
        <f>IF(TRIM(O589)="","Unknown",PROPER(TRIM(O589)))</f>
        <v>Office Supplies</v>
      </c>
      <c r="Q589" t="s">
        <v>148</v>
      </c>
      <c r="R589" t="s">
        <v>913</v>
      </c>
      <c r="S589" t="s">
        <v>55</v>
      </c>
      <c r="T589" t="str">
        <f>IF(TRIM(S589)="","Unknown",PROPER(TRIM(S589)))</f>
        <v>First Class</v>
      </c>
      <c r="U589">
        <v>3</v>
      </c>
      <c r="V589">
        <v>540.09</v>
      </c>
      <c r="W589">
        <v>0.1</v>
      </c>
      <c r="Y589">
        <v>0.1</v>
      </c>
      <c r="Z589">
        <v>1458.24</v>
      </c>
      <c r="AA589">
        <v>943.32</v>
      </c>
      <c r="AB589">
        <v>514.91999999999996</v>
      </c>
      <c r="AC589" t="s">
        <v>33</v>
      </c>
      <c r="AD589" t="s">
        <v>34</v>
      </c>
      <c r="AE589">
        <f>ROUND((U589*V589)-(U589*V589*Y589),2)</f>
        <v>1458.24</v>
      </c>
      <c r="AF589">
        <f>AE589-AA589</f>
        <v>514.91999999999996</v>
      </c>
      <c r="AG589" s="7">
        <f>ROUND((AF589/AE589),4)</f>
        <v>0.35310000000000002</v>
      </c>
      <c r="AH589" t="str">
        <f>IF(AND(C589&lt;&gt;"",E589&lt;&gt;""),E589 - C589,"")</f>
        <v/>
      </c>
      <c r="AI589" t="str">
        <f>IF(C589="","",TEXT(C589, "mmmm"))</f>
        <v/>
      </c>
      <c r="AJ589" t="str">
        <f>IF(C589="","",YEAR(C589))</f>
        <v/>
      </c>
      <c r="AM589" t="s">
        <v>4144</v>
      </c>
      <c r="AN589" t="s">
        <v>4127</v>
      </c>
    </row>
    <row r="590" spans="1:40">
      <c r="A590" t="s">
        <v>925</v>
      </c>
      <c r="B590" t="s">
        <v>3724</v>
      </c>
      <c r="C590" s="6">
        <v>45685</v>
      </c>
      <c r="D590" t="s">
        <v>926</v>
      </c>
      <c r="E590" s="6">
        <v>45688</v>
      </c>
      <c r="F590" t="s">
        <v>927</v>
      </c>
      <c r="G590" t="s">
        <v>136</v>
      </c>
      <c r="H590" t="s">
        <v>136</v>
      </c>
      <c r="I590" t="s">
        <v>25</v>
      </c>
      <c r="J590" t="s">
        <v>25</v>
      </c>
      <c r="K590" t="s">
        <v>928</v>
      </c>
      <c r="L590" t="str">
        <f>IF(TRIM(K590)="","Unknown",PROPER(TRIM(K590)))</f>
        <v>West</v>
      </c>
      <c r="M590" t="s">
        <v>72</v>
      </c>
      <c r="N590" t="s">
        <v>73</v>
      </c>
      <c r="O590" t="s">
        <v>44</v>
      </c>
      <c r="P590" t="str">
        <f>IF(TRIM(O590)="","Unknown",PROPER(TRIM(O590)))</f>
        <v>Furniture</v>
      </c>
      <c r="Q590" t="s">
        <v>63</v>
      </c>
      <c r="R590" t="s">
        <v>929</v>
      </c>
      <c r="S590" t="s">
        <v>55</v>
      </c>
      <c r="T590" t="str">
        <f>IF(TRIM(S590)="","Unknown",PROPER(TRIM(S590)))</f>
        <v>First Class</v>
      </c>
      <c r="U590">
        <v>9</v>
      </c>
      <c r="V590">
        <v>858.39</v>
      </c>
      <c r="W590">
        <v>0.05</v>
      </c>
      <c r="Y590">
        <v>0.05</v>
      </c>
      <c r="Z590">
        <v>7339.23</v>
      </c>
      <c r="AA590">
        <v>5434.12</v>
      </c>
      <c r="AB590">
        <v>1905.11</v>
      </c>
      <c r="AC590" t="s">
        <v>131</v>
      </c>
      <c r="AD590" t="s">
        <v>120</v>
      </c>
      <c r="AE590">
        <f>ROUND((U590*V590)-(U590*V590*Y590),2)</f>
        <v>7339.23</v>
      </c>
      <c r="AF590">
        <f>AE590-AA590</f>
        <v>1905.1099999999997</v>
      </c>
      <c r="AG590" s="7">
        <f>ROUND((AF590/AE590),4)</f>
        <v>0.2596</v>
      </c>
      <c r="AH590">
        <f>IF(AND(C590&lt;&gt;"",E590&lt;&gt;""),E590 - C590,"")</f>
        <v>3</v>
      </c>
      <c r="AI590" t="str">
        <f>IF(C590="","",TEXT(C590, "mmmm"))</f>
        <v>January</v>
      </c>
      <c r="AJ590">
        <f>IF(C590="","",YEAR(C590))</f>
        <v>2025</v>
      </c>
      <c r="AM590" t="str">
        <f>IF(AN590="","clean","")</f>
        <v>clean</v>
      </c>
      <c r="AN590" t="s">
        <v>3595</v>
      </c>
    </row>
    <row r="591" spans="1:40">
      <c r="A591" t="s">
        <v>930</v>
      </c>
      <c r="B591" t="s">
        <v>3725</v>
      </c>
      <c r="C591" s="6">
        <v>45860</v>
      </c>
      <c r="D591" t="s">
        <v>931</v>
      </c>
      <c r="E591" s="6">
        <v>45862</v>
      </c>
      <c r="F591" t="s">
        <v>932</v>
      </c>
      <c r="G591" t="s">
        <v>90</v>
      </c>
      <c r="H591" t="s">
        <v>90</v>
      </c>
      <c r="I591" t="s">
        <v>110</v>
      </c>
      <c r="J591" t="s">
        <v>110</v>
      </c>
      <c r="K591" t="s">
        <v>60</v>
      </c>
      <c r="L591" t="str">
        <f>IF(TRIM(K591)="","Unknown",PROPER(TRIM(K591)))</f>
        <v>South</v>
      </c>
      <c r="M591" t="s">
        <v>97</v>
      </c>
      <c r="N591" t="s">
        <v>98</v>
      </c>
      <c r="O591" t="s">
        <v>44</v>
      </c>
      <c r="P591" t="str">
        <f>IF(TRIM(O591)="","Unknown",PROPER(TRIM(O591)))</f>
        <v>Furniture</v>
      </c>
      <c r="Q591" t="s">
        <v>63</v>
      </c>
      <c r="R591" t="s">
        <v>933</v>
      </c>
      <c r="S591" t="s">
        <v>47</v>
      </c>
      <c r="T591" t="str">
        <f>IF(TRIM(S591)="","Unknown",PROPER(TRIM(S591)))</f>
        <v>Same Day</v>
      </c>
      <c r="U591">
        <v>5</v>
      </c>
      <c r="V591">
        <v>1922.83</v>
      </c>
      <c r="W591">
        <v>0</v>
      </c>
      <c r="Y591">
        <v>0</v>
      </c>
      <c r="Z591">
        <v>9614.15</v>
      </c>
      <c r="AA591">
        <v>7576.84</v>
      </c>
      <c r="AB591">
        <v>2037.31</v>
      </c>
      <c r="AC591" t="s">
        <v>33</v>
      </c>
      <c r="AD591" t="s">
        <v>34</v>
      </c>
      <c r="AE591">
        <f>ROUND((U591*V591)-(U591*V591*Y591),2)</f>
        <v>9614.15</v>
      </c>
      <c r="AF591">
        <f>AE591-AA591</f>
        <v>2037.3099999999995</v>
      </c>
      <c r="AG591" s="7">
        <f>ROUND((AF591/AE591),4)</f>
        <v>0.21190000000000001</v>
      </c>
      <c r="AH591">
        <f>IF(AND(C591&lt;&gt;"",E591&lt;&gt;""),E591 - C591,"")</f>
        <v>2</v>
      </c>
      <c r="AI591" t="str">
        <f>IF(C591="","",TEXT(C591, "mmmm"))</f>
        <v>July</v>
      </c>
      <c r="AJ591">
        <f>IF(C591="","",YEAR(C591))</f>
        <v>2025</v>
      </c>
      <c r="AM591" t="str">
        <f>IF(AN591="","clean","")</f>
        <v>clean</v>
      </c>
      <c r="AN591" t="s">
        <v>3595</v>
      </c>
    </row>
    <row r="592" spans="1:40">
      <c r="A592" t="s">
        <v>939</v>
      </c>
      <c r="B592" t="s">
        <v>3635</v>
      </c>
      <c r="C592" s="6">
        <v>45747</v>
      </c>
      <c r="D592" t="s">
        <v>940</v>
      </c>
      <c r="E592" s="6">
        <v>45754</v>
      </c>
      <c r="F592" t="s">
        <v>507</v>
      </c>
      <c r="G592" t="s">
        <v>141</v>
      </c>
      <c r="H592" t="s">
        <v>141</v>
      </c>
      <c r="I592" t="s">
        <v>625</v>
      </c>
      <c r="J592" t="s">
        <v>40</v>
      </c>
      <c r="K592" t="s">
        <v>41</v>
      </c>
      <c r="L592" t="str">
        <f>IF(TRIM(K592)="","Unknown",PROPER(TRIM(K592)))</f>
        <v>East</v>
      </c>
      <c r="M592" t="s">
        <v>174</v>
      </c>
      <c r="N592" t="s">
        <v>175</v>
      </c>
      <c r="O592" t="s">
        <v>29</v>
      </c>
      <c r="P592" t="str">
        <f>IF(TRIM(O592)="","Unknown",PROPER(TRIM(O592)))</f>
        <v>Office Supplies</v>
      </c>
      <c r="Q592" t="s">
        <v>148</v>
      </c>
      <c r="R592" t="s">
        <v>941</v>
      </c>
      <c r="S592" t="s">
        <v>32</v>
      </c>
      <c r="T592" t="str">
        <f>IF(TRIM(S592)="","Unknown",PROPER(TRIM(S592)))</f>
        <v>Second Class</v>
      </c>
      <c r="U592">
        <v>5</v>
      </c>
      <c r="V592">
        <v>4096.4399999999996</v>
      </c>
      <c r="W592">
        <v>0.15</v>
      </c>
      <c r="Y592">
        <v>0.15</v>
      </c>
      <c r="Z592">
        <v>17409.87</v>
      </c>
      <c r="AA592">
        <v>14076.25</v>
      </c>
      <c r="AB592">
        <v>3333.62</v>
      </c>
      <c r="AC592" t="s">
        <v>33</v>
      </c>
      <c r="AD592" t="s">
        <v>34</v>
      </c>
      <c r="AE592">
        <f>ROUND((U592*V592)-(U592*V592*Y592),2)</f>
        <v>17409.87</v>
      </c>
      <c r="AF592">
        <f>AE592-AA592</f>
        <v>3333.619999999999</v>
      </c>
      <c r="AG592" s="7">
        <f>ROUND((AF592/AE592),4)</f>
        <v>0.1915</v>
      </c>
      <c r="AH592">
        <f>IF(AND(C592&lt;&gt;"",E592&lt;&gt;""),E592 - C592,"")</f>
        <v>7</v>
      </c>
      <c r="AI592" t="str">
        <f>IF(C592="","",TEXT(C592, "mmmm"))</f>
        <v>March</v>
      </c>
      <c r="AJ592">
        <f>IF(C592="","",YEAR(C592))</f>
        <v>2025</v>
      </c>
      <c r="AM592" t="str">
        <f>IF(AN592="","clean","")</f>
        <v>clean</v>
      </c>
      <c r="AN592" t="s">
        <v>3595</v>
      </c>
    </row>
    <row r="593" spans="1:40">
      <c r="A593" t="s">
        <v>950</v>
      </c>
      <c r="B593" t="s">
        <v>883</v>
      </c>
      <c r="D593" t="s">
        <v>951</v>
      </c>
      <c r="E593" s="6">
        <v>45843</v>
      </c>
      <c r="F593" t="s">
        <v>952</v>
      </c>
      <c r="G593" t="s">
        <v>136</v>
      </c>
      <c r="H593" t="s">
        <v>136</v>
      </c>
      <c r="I593" t="s">
        <v>40</v>
      </c>
      <c r="J593" t="s">
        <v>40</v>
      </c>
      <c r="K593" t="s">
        <v>26</v>
      </c>
      <c r="L593" t="str">
        <f>IF(TRIM(K593)="","Unknown",PROPER(TRIM(K593)))</f>
        <v>North</v>
      </c>
      <c r="M593" t="s">
        <v>27</v>
      </c>
      <c r="N593" t="s">
        <v>28</v>
      </c>
      <c r="O593" t="s">
        <v>83</v>
      </c>
      <c r="P593" t="str">
        <f>IF(TRIM(O593)="","Unknown",PROPER(TRIM(O593)))</f>
        <v>Technology</v>
      </c>
      <c r="Q593" t="s">
        <v>91</v>
      </c>
      <c r="R593" t="s">
        <v>953</v>
      </c>
      <c r="S593" t="s">
        <v>55</v>
      </c>
      <c r="T593" t="str">
        <f>IF(TRIM(S593)="","Unknown",PROPER(TRIM(S593)))</f>
        <v>First Class</v>
      </c>
      <c r="U593">
        <v>5</v>
      </c>
      <c r="V593">
        <v>2868.44</v>
      </c>
      <c r="W593">
        <v>0.1</v>
      </c>
      <c r="Y593">
        <v>0.1</v>
      </c>
      <c r="Z593">
        <v>12907.98</v>
      </c>
      <c r="AA593">
        <v>9197.08</v>
      </c>
      <c r="AB593">
        <v>3710.9</v>
      </c>
      <c r="AC593" t="s">
        <v>131</v>
      </c>
      <c r="AD593" t="s">
        <v>76</v>
      </c>
      <c r="AE593">
        <f>ROUND((U593*V593)-(U593*V593*Y593),2)</f>
        <v>12907.98</v>
      </c>
      <c r="AF593">
        <f>AE593-AA593</f>
        <v>3710.8999999999996</v>
      </c>
      <c r="AG593" s="7">
        <f>ROUND((AF593/AE593),4)</f>
        <v>0.28749999999999998</v>
      </c>
      <c r="AH593" t="str">
        <f>IF(AND(C593&lt;&gt;"",E593&lt;&gt;""),E593 - C593,"")</f>
        <v/>
      </c>
      <c r="AI593" t="str">
        <f>IF(C593="","",TEXT(C593, "mmmm"))</f>
        <v/>
      </c>
      <c r="AJ593" t="str">
        <f>IF(C593="","",YEAR(C593))</f>
        <v/>
      </c>
      <c r="AM593" t="s">
        <v>4144</v>
      </c>
      <c r="AN593" t="s">
        <v>4127</v>
      </c>
    </row>
    <row r="594" spans="1:40">
      <c r="A594" t="s">
        <v>954</v>
      </c>
      <c r="B594" t="s">
        <v>3727</v>
      </c>
      <c r="D594" t="s">
        <v>955</v>
      </c>
      <c r="E594" s="6">
        <v>45872</v>
      </c>
      <c r="F594" t="s">
        <v>956</v>
      </c>
      <c r="G594" t="s">
        <v>80</v>
      </c>
      <c r="H594" t="s">
        <v>80</v>
      </c>
      <c r="I594" t="s">
        <v>25</v>
      </c>
      <c r="J594" t="s">
        <v>25</v>
      </c>
      <c r="K594" t="s">
        <v>71</v>
      </c>
      <c r="L594" t="str">
        <f>IF(TRIM(K594)="","Unknown",PROPER(TRIM(K594)))</f>
        <v>West</v>
      </c>
      <c r="M594" t="s">
        <v>81</v>
      </c>
      <c r="N594" t="s">
        <v>82</v>
      </c>
      <c r="O594" t="s">
        <v>29</v>
      </c>
      <c r="P594" t="str">
        <f>IF(TRIM(O594)="","Unknown",PROPER(TRIM(O594)))</f>
        <v>Office Supplies</v>
      </c>
      <c r="Q594" t="s">
        <v>105</v>
      </c>
      <c r="R594" t="s">
        <v>957</v>
      </c>
      <c r="S594" t="s">
        <v>32</v>
      </c>
      <c r="T594" t="str">
        <f>IF(TRIM(S594)="","Unknown",PROPER(TRIM(S594)))</f>
        <v>Second Class</v>
      </c>
      <c r="U594">
        <v>2</v>
      </c>
      <c r="V594">
        <v>2503.5300000000002</v>
      </c>
      <c r="W594">
        <v>-0.16</v>
      </c>
      <c r="Y594">
        <v>0.05</v>
      </c>
      <c r="Z594">
        <v>4756.71</v>
      </c>
      <c r="AA594">
        <v>2954.86</v>
      </c>
      <c r="AB594">
        <v>1801.85</v>
      </c>
      <c r="AC594" t="s">
        <v>119</v>
      </c>
      <c r="AD594" t="s">
        <v>76</v>
      </c>
      <c r="AE594">
        <f>ROUND((U594*V594)-(U594*V594*Y594),2)</f>
        <v>4756.71</v>
      </c>
      <c r="AF594">
        <f>AE594-AA594</f>
        <v>1801.85</v>
      </c>
      <c r="AG594" s="7">
        <f>ROUND((AF594/AE594),4)</f>
        <v>0.37880000000000003</v>
      </c>
      <c r="AH594" t="str">
        <f>IF(AND(C594&lt;&gt;"",E594&lt;&gt;""),E594 - C594,"")</f>
        <v/>
      </c>
      <c r="AI594" t="str">
        <f>IF(C594="","",TEXT(C594, "mmmm"))</f>
        <v/>
      </c>
      <c r="AJ594" t="str">
        <f>IF(C594="","",YEAR(C594))</f>
        <v/>
      </c>
      <c r="AM594" t="s">
        <v>4144</v>
      </c>
      <c r="AN594" t="s">
        <v>4126</v>
      </c>
    </row>
    <row r="595" spans="1:40">
      <c r="A595" t="s">
        <v>958</v>
      </c>
      <c r="B595" t="s">
        <v>3728</v>
      </c>
      <c r="C595" s="6">
        <v>45744</v>
      </c>
      <c r="D595" t="s">
        <v>959</v>
      </c>
      <c r="E595" s="6">
        <v>45744</v>
      </c>
      <c r="F595" t="s">
        <v>960</v>
      </c>
      <c r="G595" t="s">
        <v>158</v>
      </c>
      <c r="H595" t="s">
        <v>158</v>
      </c>
      <c r="I595" t="s">
        <v>104</v>
      </c>
      <c r="J595" t="s">
        <v>104</v>
      </c>
      <c r="K595" t="s">
        <v>71</v>
      </c>
      <c r="L595" t="str">
        <f>IF(TRIM(K595)="","Unknown",PROPER(TRIM(K595)))</f>
        <v>West</v>
      </c>
      <c r="M595" t="s">
        <v>230</v>
      </c>
      <c r="N595" t="s">
        <v>231</v>
      </c>
      <c r="O595" t="s">
        <v>83</v>
      </c>
      <c r="P595" t="str">
        <f>IF(TRIM(O595)="","Unknown",PROPER(TRIM(O595)))</f>
        <v>Technology</v>
      </c>
      <c r="Q595" t="s">
        <v>84</v>
      </c>
      <c r="R595" t="s">
        <v>961</v>
      </c>
      <c r="S595" t="s">
        <v>65</v>
      </c>
      <c r="T595" t="str">
        <f>IF(TRIM(S595)="","Unknown",PROPER(TRIM(S595)))</f>
        <v>Standard Class</v>
      </c>
      <c r="U595">
        <v>8</v>
      </c>
      <c r="V595">
        <v>1740.94</v>
      </c>
      <c r="W595">
        <v>0.05</v>
      </c>
      <c r="Y595">
        <v>0.05</v>
      </c>
      <c r="Z595">
        <v>13231.14</v>
      </c>
      <c r="AA595">
        <v>11290.06</v>
      </c>
      <c r="AB595">
        <v>1941.08</v>
      </c>
      <c r="AC595" t="s">
        <v>33</v>
      </c>
      <c r="AD595" t="s">
        <v>34</v>
      </c>
      <c r="AE595">
        <f>ROUND((U595*V595)-(U595*V595*Y595),2)</f>
        <v>13231.14</v>
      </c>
      <c r="AF595">
        <f>AE595-AA595</f>
        <v>1941.08</v>
      </c>
      <c r="AG595" s="7">
        <f>ROUND((AF595/AE595),4)</f>
        <v>0.1467</v>
      </c>
      <c r="AH595">
        <f>IF(AND(C595&lt;&gt;"",E595&lt;&gt;""),E595 - C595,"")</f>
        <v>0</v>
      </c>
      <c r="AI595" t="str">
        <f>IF(C595="","",TEXT(C595, "mmmm"))</f>
        <v>March</v>
      </c>
      <c r="AJ595">
        <f>IF(C595="","",YEAR(C595))</f>
        <v>2025</v>
      </c>
      <c r="AM595" t="str">
        <f>IF(AN595="","clean","")</f>
        <v>clean</v>
      </c>
      <c r="AN595" t="s">
        <v>3595</v>
      </c>
    </row>
    <row r="596" spans="1:40">
      <c r="A596" t="s">
        <v>966</v>
      </c>
      <c r="B596" t="s">
        <v>3730</v>
      </c>
      <c r="D596" t="s">
        <v>967</v>
      </c>
      <c r="E596" s="6">
        <v>45861</v>
      </c>
      <c r="F596" t="s">
        <v>968</v>
      </c>
      <c r="G596" t="s">
        <v>39</v>
      </c>
      <c r="H596" t="s">
        <v>39</v>
      </c>
      <c r="I596" t="s">
        <v>110</v>
      </c>
      <c r="J596" t="s">
        <v>110</v>
      </c>
      <c r="K596" t="s">
        <v>41</v>
      </c>
      <c r="L596" t="str">
        <f>IF(TRIM(K596)="","Unknown",PROPER(TRIM(K596)))</f>
        <v>East</v>
      </c>
      <c r="M596" t="s">
        <v>116</v>
      </c>
      <c r="N596" t="s">
        <v>117</v>
      </c>
      <c r="O596" t="s">
        <v>44</v>
      </c>
      <c r="P596" t="str">
        <f>IF(TRIM(O596)="","Unknown",PROPER(TRIM(O596)))</f>
        <v>Furniture</v>
      </c>
      <c r="Q596" t="s">
        <v>45</v>
      </c>
      <c r="R596" t="s">
        <v>969</v>
      </c>
      <c r="S596" t="s">
        <v>32</v>
      </c>
      <c r="T596" t="str">
        <f>IF(TRIM(S596)="","Unknown",PROPER(TRIM(S596)))</f>
        <v>Second Class</v>
      </c>
      <c r="U596">
        <v>4</v>
      </c>
      <c r="V596">
        <v>477.69</v>
      </c>
      <c r="W596">
        <v>0.15</v>
      </c>
      <c r="Y596">
        <v>0.15</v>
      </c>
      <c r="Z596">
        <v>1624.15</v>
      </c>
      <c r="AA596">
        <v>1217.99</v>
      </c>
      <c r="AB596">
        <v>406.16</v>
      </c>
      <c r="AC596" t="s">
        <v>33</v>
      </c>
      <c r="AD596" t="s">
        <v>34</v>
      </c>
      <c r="AE596">
        <f>ROUND((U596*V596)-(U596*V596*Y596),2)</f>
        <v>1624.15</v>
      </c>
      <c r="AF596">
        <f>AE596-AA596</f>
        <v>406.16000000000008</v>
      </c>
      <c r="AG596" s="7">
        <f>ROUND((AF596/AE596),4)</f>
        <v>0.25009999999999999</v>
      </c>
      <c r="AH596" t="str">
        <f>IF(AND(C596&lt;&gt;"",E596&lt;&gt;""),E596 - C596,"")</f>
        <v/>
      </c>
      <c r="AI596" t="str">
        <f>IF(C596="","",TEXT(C596, "mmmm"))</f>
        <v/>
      </c>
      <c r="AJ596" t="str">
        <f>IF(C596="","",YEAR(C596))</f>
        <v/>
      </c>
      <c r="AM596" t="s">
        <v>4144</v>
      </c>
      <c r="AN596" t="s">
        <v>4127</v>
      </c>
    </row>
    <row r="597" spans="1:40">
      <c r="A597" t="s">
        <v>970</v>
      </c>
      <c r="B597" t="s">
        <v>3731</v>
      </c>
      <c r="D597" t="s">
        <v>971</v>
      </c>
      <c r="E597" s="6">
        <v>45773</v>
      </c>
      <c r="F597" t="s">
        <v>972</v>
      </c>
      <c r="G597" t="s">
        <v>70</v>
      </c>
      <c r="H597" t="s">
        <v>70</v>
      </c>
      <c r="I597" t="s">
        <v>25</v>
      </c>
      <c r="J597" t="s">
        <v>25</v>
      </c>
      <c r="K597" t="s">
        <v>71</v>
      </c>
      <c r="L597" t="str">
        <f>IF(TRIM(K597)="","Unknown",PROPER(TRIM(K597)))</f>
        <v>West</v>
      </c>
      <c r="M597" t="s">
        <v>72</v>
      </c>
      <c r="N597" t="s">
        <v>73</v>
      </c>
      <c r="O597" t="s">
        <v>813</v>
      </c>
      <c r="P597" t="str">
        <f>IF(TRIM(O597)="","Unknown",PROPER(TRIM(O597)))</f>
        <v>Office Supplies</v>
      </c>
      <c r="Q597" t="s">
        <v>105</v>
      </c>
      <c r="R597" t="s">
        <v>973</v>
      </c>
      <c r="S597" t="s">
        <v>47</v>
      </c>
      <c r="T597" t="str">
        <f>IF(TRIM(S597)="","Unknown",PROPER(TRIM(S597)))</f>
        <v>Same Day</v>
      </c>
      <c r="U597">
        <v>6</v>
      </c>
      <c r="V597">
        <v>873.59</v>
      </c>
      <c r="W597">
        <v>0.2</v>
      </c>
      <c r="Y597">
        <v>0.2</v>
      </c>
      <c r="Z597">
        <v>4193.2299999999996</v>
      </c>
      <c r="AA597">
        <v>3329.99</v>
      </c>
      <c r="AB597">
        <v>863.24</v>
      </c>
      <c r="AC597" t="s">
        <v>33</v>
      </c>
      <c r="AD597" t="s">
        <v>34</v>
      </c>
      <c r="AE597">
        <f>ROUND((U597*V597)-(U597*V597*Y597),2)</f>
        <v>4193.2299999999996</v>
      </c>
      <c r="AF597">
        <f>AE597-AA597</f>
        <v>863.23999999999978</v>
      </c>
      <c r="AG597" s="7">
        <f>ROUND((AF597/AE597),4)</f>
        <v>0.2059</v>
      </c>
      <c r="AH597" t="str">
        <f>IF(AND(C597&lt;&gt;"",E597&lt;&gt;""),E597 - C597,"")</f>
        <v/>
      </c>
      <c r="AI597" t="str">
        <f>IF(C597="","",TEXT(C597, "mmmm"))</f>
        <v/>
      </c>
      <c r="AJ597" t="str">
        <f>IF(C597="","",YEAR(C597))</f>
        <v/>
      </c>
      <c r="AM597" t="s">
        <v>4144</v>
      </c>
      <c r="AN597" t="s">
        <v>4127</v>
      </c>
    </row>
    <row r="598" spans="1:40">
      <c r="A598" t="s">
        <v>974</v>
      </c>
      <c r="B598" t="s">
        <v>3732</v>
      </c>
      <c r="C598" s="6">
        <v>45795</v>
      </c>
      <c r="D598" t="s">
        <v>113</v>
      </c>
      <c r="E598" s="6">
        <v>45797</v>
      </c>
      <c r="F598" t="s">
        <v>975</v>
      </c>
      <c r="G598" t="s">
        <v>196</v>
      </c>
      <c r="H598" t="s">
        <v>196</v>
      </c>
      <c r="I598" t="s">
        <v>40</v>
      </c>
      <c r="J598" t="s">
        <v>40</v>
      </c>
      <c r="K598" t="s">
        <v>26</v>
      </c>
      <c r="L598" t="str">
        <f>IF(TRIM(K598)="","Unknown",PROPER(TRIM(K598)))</f>
        <v>North</v>
      </c>
      <c r="M598" t="s">
        <v>163</v>
      </c>
      <c r="N598" t="s">
        <v>164</v>
      </c>
      <c r="O598" t="s">
        <v>44</v>
      </c>
      <c r="P598" t="str">
        <f>IF(TRIM(O598)="","Unknown",PROPER(TRIM(O598)))</f>
        <v>Furniture</v>
      </c>
      <c r="Q598" t="s">
        <v>63</v>
      </c>
      <c r="R598" t="s">
        <v>976</v>
      </c>
      <c r="S598" t="s">
        <v>55</v>
      </c>
      <c r="T598" t="str">
        <f>IF(TRIM(S598)="","Unknown",PROPER(TRIM(S598)))</f>
        <v>First Class</v>
      </c>
      <c r="U598">
        <v>2</v>
      </c>
      <c r="V598">
        <v>215.13</v>
      </c>
      <c r="W598">
        <v>0</v>
      </c>
      <c r="Y598">
        <v>0</v>
      </c>
      <c r="Z598">
        <v>430.26</v>
      </c>
      <c r="AA598">
        <v>286.38</v>
      </c>
      <c r="AB598">
        <v>143.88</v>
      </c>
      <c r="AC598" t="s">
        <v>33</v>
      </c>
      <c r="AD598" t="s">
        <v>34</v>
      </c>
      <c r="AE598">
        <f>ROUND((U598*V598)-(U598*V598*Y598),2)</f>
        <v>430.26</v>
      </c>
      <c r="AF598">
        <f>AE598-AA598</f>
        <v>143.88</v>
      </c>
      <c r="AG598" s="7">
        <f>ROUND((AF598/AE598),4)</f>
        <v>0.33439999999999998</v>
      </c>
      <c r="AH598">
        <f>IF(AND(C598&lt;&gt;"",E598&lt;&gt;""),E598 - C598,"")</f>
        <v>2</v>
      </c>
      <c r="AI598" t="str">
        <f>IF(C598="","",TEXT(C598, "mmmm"))</f>
        <v>May</v>
      </c>
      <c r="AJ598">
        <f>IF(C598="","",YEAR(C598))</f>
        <v>2025</v>
      </c>
      <c r="AM598" t="str">
        <f>IF(AN598="","clean","")</f>
        <v>clean</v>
      </c>
      <c r="AN598" t="s">
        <v>3595</v>
      </c>
    </row>
    <row r="599" spans="1:40">
      <c r="A599" t="s">
        <v>981</v>
      </c>
      <c r="B599" t="s">
        <v>3734</v>
      </c>
      <c r="C599" s="6">
        <v>45837</v>
      </c>
      <c r="D599" t="s">
        <v>982</v>
      </c>
      <c r="E599" s="6">
        <v>45843</v>
      </c>
      <c r="F599" t="s">
        <v>983</v>
      </c>
      <c r="G599" t="s">
        <v>196</v>
      </c>
      <c r="H599" t="s">
        <v>196</v>
      </c>
      <c r="I599" t="s">
        <v>25</v>
      </c>
      <c r="J599" t="s">
        <v>25</v>
      </c>
      <c r="K599" t="s">
        <v>26</v>
      </c>
      <c r="L599" t="str">
        <f>IF(TRIM(K599)="","Unknown",PROPER(TRIM(K599)))</f>
        <v>North</v>
      </c>
      <c r="M599" t="s">
        <v>146</v>
      </c>
      <c r="N599" t="s">
        <v>147</v>
      </c>
      <c r="O599" t="s">
        <v>44</v>
      </c>
      <c r="P599" t="str">
        <f>IF(TRIM(O599)="","Unknown",PROPER(TRIM(O599)))</f>
        <v>Furniture</v>
      </c>
      <c r="Q599" t="s">
        <v>74</v>
      </c>
      <c r="R599" t="s">
        <v>984</v>
      </c>
      <c r="S599" t="s">
        <v>47</v>
      </c>
      <c r="T599" t="str">
        <f>IF(TRIM(S599)="","Unknown",PROPER(TRIM(S599)))</f>
        <v>Same Day</v>
      </c>
      <c r="U599">
        <v>1</v>
      </c>
      <c r="V599">
        <v>999.83</v>
      </c>
      <c r="W599">
        <v>0</v>
      </c>
      <c r="Y599">
        <v>0</v>
      </c>
      <c r="Z599">
        <v>999.83</v>
      </c>
      <c r="AA599">
        <v>634.91</v>
      </c>
      <c r="AB599">
        <v>364.92</v>
      </c>
      <c r="AC599" t="s">
        <v>33</v>
      </c>
      <c r="AD599" t="s">
        <v>34</v>
      </c>
      <c r="AE599">
        <f>ROUND((U599*V599)-(U599*V599*Y599),2)</f>
        <v>999.83</v>
      </c>
      <c r="AF599">
        <f>AE599-AA599</f>
        <v>364.92000000000007</v>
      </c>
      <c r="AG599" s="7">
        <f>ROUND((AF599/AE599),4)</f>
        <v>0.36499999999999999</v>
      </c>
      <c r="AH599">
        <f>IF(AND(C599&lt;&gt;"",E599&lt;&gt;""),E599 - C599,"")</f>
        <v>6</v>
      </c>
      <c r="AI599" t="str">
        <f>IF(C599="","",TEXT(C599, "mmmm"))</f>
        <v>June</v>
      </c>
      <c r="AJ599">
        <f>IF(C599="","",YEAR(C599))</f>
        <v>2025</v>
      </c>
      <c r="AM599" t="str">
        <f>IF(AN599="","clean","")</f>
        <v>clean</v>
      </c>
      <c r="AN599" t="s">
        <v>3595</v>
      </c>
    </row>
    <row r="600" spans="1:40">
      <c r="A600" t="s">
        <v>985</v>
      </c>
      <c r="B600" t="s">
        <v>986</v>
      </c>
      <c r="C600" s="6">
        <v>45882</v>
      </c>
      <c r="D600" t="s">
        <v>987</v>
      </c>
      <c r="E600" s="6">
        <v>45883</v>
      </c>
      <c r="F600" t="s">
        <v>988</v>
      </c>
      <c r="G600" t="s">
        <v>169</v>
      </c>
      <c r="H600" t="s">
        <v>169</v>
      </c>
      <c r="I600" t="s">
        <v>40</v>
      </c>
      <c r="J600" t="s">
        <v>40</v>
      </c>
      <c r="K600" t="s">
        <v>60</v>
      </c>
      <c r="L600" t="str">
        <f>IF(TRIM(K600)="","Unknown",PROPER(TRIM(K600)))</f>
        <v>South</v>
      </c>
      <c r="M600" t="s">
        <v>97</v>
      </c>
      <c r="N600" t="s">
        <v>98</v>
      </c>
      <c r="O600" t="s">
        <v>29</v>
      </c>
      <c r="P600" t="str">
        <f>IF(TRIM(O600)="","Unknown",PROPER(TRIM(O600)))</f>
        <v>Office Supplies</v>
      </c>
      <c r="Q600" t="s">
        <v>30</v>
      </c>
      <c r="R600" t="s">
        <v>989</v>
      </c>
      <c r="S600" t="s">
        <v>55</v>
      </c>
      <c r="T600" t="str">
        <f>IF(TRIM(S600)="","Unknown",PROPER(TRIM(S600)))</f>
        <v>First Class</v>
      </c>
      <c r="U600">
        <v>9</v>
      </c>
      <c r="V600">
        <v>864.98</v>
      </c>
      <c r="W600">
        <v>0.1</v>
      </c>
      <c r="Y600">
        <v>0.1</v>
      </c>
      <c r="Z600">
        <v>7006.34</v>
      </c>
      <c r="AA600">
        <v>4640.88</v>
      </c>
      <c r="AB600">
        <v>2365.46</v>
      </c>
      <c r="AC600" t="s">
        <v>33</v>
      </c>
      <c r="AD600" t="s">
        <v>34</v>
      </c>
      <c r="AE600">
        <f>ROUND((U600*V600)-(U600*V600*Y600),2)</f>
        <v>7006.34</v>
      </c>
      <c r="AF600">
        <f>AE600-AA600</f>
        <v>2365.46</v>
      </c>
      <c r="AG600" s="7">
        <f>ROUND((AF600/AE600),4)</f>
        <v>0.33760000000000001</v>
      </c>
      <c r="AH600">
        <f>IF(AND(C600&lt;&gt;"",E600&lt;&gt;""),E600 - C600,"")</f>
        <v>1</v>
      </c>
      <c r="AI600" t="str">
        <f>IF(C600="","",TEXT(C600, "mmmm"))</f>
        <v>August</v>
      </c>
      <c r="AJ600">
        <f>IF(C600="","",YEAR(C600))</f>
        <v>2025</v>
      </c>
      <c r="AM600" t="str">
        <f>IF(AN600="","clean","")</f>
        <v>clean</v>
      </c>
      <c r="AN600" t="s">
        <v>3595</v>
      </c>
    </row>
    <row r="601" spans="1:40">
      <c r="A601" t="s">
        <v>1016</v>
      </c>
      <c r="B601" t="s">
        <v>87</v>
      </c>
      <c r="C601" s="6">
        <v>45757</v>
      </c>
      <c r="D601" t="s">
        <v>1017</v>
      </c>
      <c r="E601" s="6">
        <v>45762</v>
      </c>
      <c r="F601" t="s">
        <v>1018</v>
      </c>
      <c r="G601" t="s">
        <v>52</v>
      </c>
      <c r="H601" t="s">
        <v>52</v>
      </c>
      <c r="I601" t="s">
        <v>25</v>
      </c>
      <c r="J601" t="s">
        <v>25</v>
      </c>
      <c r="K601" t="s">
        <v>71</v>
      </c>
      <c r="L601" t="str">
        <f>IF(TRIM(K601)="","Unknown",PROPER(TRIM(K601)))</f>
        <v>West</v>
      </c>
      <c r="M601" t="s">
        <v>218</v>
      </c>
      <c r="N601" t="s">
        <v>219</v>
      </c>
      <c r="O601" t="s">
        <v>44</v>
      </c>
      <c r="P601" t="str">
        <f>IF(TRIM(O601)="","Unknown",PROPER(TRIM(O601)))</f>
        <v>Furniture</v>
      </c>
      <c r="Q601" t="s">
        <v>45</v>
      </c>
      <c r="R601" t="s">
        <v>1019</v>
      </c>
      <c r="S601" t="s">
        <v>65</v>
      </c>
      <c r="T601" t="str">
        <f>IF(TRIM(S601)="","Unknown",PROPER(TRIM(S601)))</f>
        <v>Standard Class</v>
      </c>
      <c r="U601">
        <v>8</v>
      </c>
      <c r="V601">
        <v>1839.87</v>
      </c>
      <c r="W601">
        <v>0.25</v>
      </c>
      <c r="Y601">
        <v>0.25</v>
      </c>
      <c r="Z601">
        <v>11039.22</v>
      </c>
      <c r="AA601">
        <v>7642.91</v>
      </c>
      <c r="AB601">
        <v>3396.31</v>
      </c>
      <c r="AC601" t="s">
        <v>186</v>
      </c>
      <c r="AD601" t="s">
        <v>120</v>
      </c>
      <c r="AE601">
        <f>ROUND((U601*V601)-(U601*V601*Y601),2)</f>
        <v>11039.22</v>
      </c>
      <c r="AF601">
        <f>AE601-AA601</f>
        <v>3396.3099999999995</v>
      </c>
      <c r="AG601" s="7">
        <f>ROUND((AF601/AE601),4)</f>
        <v>0.30769999999999997</v>
      </c>
      <c r="AH601">
        <f>IF(AND(C601&lt;&gt;"",E601&lt;&gt;""),E601 - C601,"")</f>
        <v>5</v>
      </c>
      <c r="AI601" t="str">
        <f>IF(C601="","",TEXT(C601, "mmmm"))</f>
        <v>April</v>
      </c>
      <c r="AJ601">
        <f>IF(C601="","",YEAR(C601))</f>
        <v>2025</v>
      </c>
      <c r="AM601" t="str">
        <f>IF(AN601="","clean","")</f>
        <v>clean</v>
      </c>
      <c r="AN601" t="s">
        <v>3595</v>
      </c>
    </row>
    <row r="602" spans="1:40">
      <c r="A602" t="s">
        <v>1020</v>
      </c>
      <c r="B602" t="s">
        <v>3739</v>
      </c>
      <c r="C602" s="6">
        <v>45748</v>
      </c>
      <c r="D602" t="s">
        <v>1021</v>
      </c>
      <c r="E602" s="6">
        <v>45755</v>
      </c>
      <c r="F602" t="s">
        <v>1022</v>
      </c>
      <c r="G602" t="s">
        <v>103</v>
      </c>
      <c r="H602" t="s">
        <v>103</v>
      </c>
      <c r="I602" t="s">
        <v>25</v>
      </c>
      <c r="J602" t="s">
        <v>25</v>
      </c>
      <c r="K602" t="s">
        <v>41</v>
      </c>
      <c r="L602" t="str">
        <f>IF(TRIM(K602)="","Unknown",PROPER(TRIM(K602)))</f>
        <v>East</v>
      </c>
      <c r="M602" t="s">
        <v>42</v>
      </c>
      <c r="N602" t="s">
        <v>43</v>
      </c>
      <c r="O602" t="s">
        <v>44</v>
      </c>
      <c r="P602" t="str">
        <f>IF(TRIM(O602)="","Unknown",PROPER(TRIM(O602)))</f>
        <v>Furniture</v>
      </c>
      <c r="Q602" t="s">
        <v>190</v>
      </c>
      <c r="R602" t="s">
        <v>1023</v>
      </c>
      <c r="S602" t="s">
        <v>32</v>
      </c>
      <c r="T602" t="str">
        <f>IF(TRIM(S602)="","Unknown",PROPER(TRIM(S602)))</f>
        <v>Second Class</v>
      </c>
      <c r="U602">
        <v>5</v>
      </c>
      <c r="V602">
        <v>1021.28</v>
      </c>
      <c r="W602">
        <v>0.1</v>
      </c>
      <c r="Y602">
        <v>0.1</v>
      </c>
      <c r="Z602">
        <v>4595.76</v>
      </c>
      <c r="AA602">
        <v>3396.8</v>
      </c>
      <c r="AB602">
        <v>1198.96</v>
      </c>
      <c r="AC602" t="s">
        <v>119</v>
      </c>
      <c r="AD602" t="s">
        <v>76</v>
      </c>
      <c r="AE602">
        <f>ROUND((U602*V602)-(U602*V602*Y602),2)</f>
        <v>4595.76</v>
      </c>
      <c r="AF602">
        <f>AE602-AA602</f>
        <v>1198.96</v>
      </c>
      <c r="AG602" s="7">
        <f>ROUND((AF602/AE602),4)</f>
        <v>0.26090000000000002</v>
      </c>
      <c r="AH602">
        <f>IF(AND(C602&lt;&gt;"",E602&lt;&gt;""),E602 - C602,"")</f>
        <v>7</v>
      </c>
      <c r="AI602" t="str">
        <f>IF(C602="","",TEXT(C602, "mmmm"))</f>
        <v>April</v>
      </c>
      <c r="AJ602">
        <f>IF(C602="","",YEAR(C602))</f>
        <v>2025</v>
      </c>
      <c r="AM602" t="str">
        <f>IF(AN602="","clean","")</f>
        <v>clean</v>
      </c>
      <c r="AN602" t="s">
        <v>3595</v>
      </c>
    </row>
    <row r="603" spans="1:40">
      <c r="A603" t="s">
        <v>1024</v>
      </c>
      <c r="B603" t="s">
        <v>3740</v>
      </c>
      <c r="C603" s="6">
        <v>45714</v>
      </c>
      <c r="D603" t="s">
        <v>1025</v>
      </c>
      <c r="F603" t="s">
        <v>1026</v>
      </c>
      <c r="G603" t="s">
        <v>136</v>
      </c>
      <c r="H603" t="s">
        <v>136</v>
      </c>
      <c r="I603" t="s">
        <v>104</v>
      </c>
      <c r="J603" t="s">
        <v>104</v>
      </c>
      <c r="K603" t="s">
        <v>71</v>
      </c>
      <c r="L603" t="str">
        <f>IF(TRIM(K603)="","Unknown",PROPER(TRIM(K603)))</f>
        <v>West</v>
      </c>
      <c r="M603" t="s">
        <v>218</v>
      </c>
      <c r="N603" t="s">
        <v>219</v>
      </c>
      <c r="O603" t="s">
        <v>44</v>
      </c>
      <c r="P603" t="str">
        <f>IF(TRIM(O603)="","Unknown",PROPER(TRIM(O603)))</f>
        <v>Furniture</v>
      </c>
      <c r="Q603" t="s">
        <v>190</v>
      </c>
      <c r="R603" t="s">
        <v>1027</v>
      </c>
      <c r="S603" t="s">
        <v>65</v>
      </c>
      <c r="T603" t="str">
        <f>IF(TRIM(S603)="","Unknown",PROPER(TRIM(S603)))</f>
        <v>Standard Class</v>
      </c>
      <c r="U603">
        <v>5</v>
      </c>
      <c r="V603">
        <v>258.27999999999997</v>
      </c>
      <c r="W603">
        <v>0</v>
      </c>
      <c r="Y603">
        <v>0</v>
      </c>
      <c r="Z603">
        <v>1291.4000000000001</v>
      </c>
      <c r="AA603">
        <v>756.93</v>
      </c>
      <c r="AB603">
        <v>534.47</v>
      </c>
      <c r="AC603" t="s">
        <v>33</v>
      </c>
      <c r="AD603" t="s">
        <v>34</v>
      </c>
      <c r="AE603">
        <f>ROUND((U603*V603)-(U603*V603*Y603),2)</f>
        <v>1291.4000000000001</v>
      </c>
      <c r="AF603">
        <f>AE603-AA603</f>
        <v>534.47000000000014</v>
      </c>
      <c r="AG603" s="7">
        <f>ROUND((AF603/AE603),4)</f>
        <v>0.41389999999999999</v>
      </c>
      <c r="AH603" t="str">
        <f>IF(AND(C603&lt;&gt;"",E603&lt;&gt;""),E603 - C603,"")</f>
        <v/>
      </c>
      <c r="AI603" t="str">
        <f>IF(C603="","",TEXT(C603, "mmmm"))</f>
        <v>February</v>
      </c>
      <c r="AJ603">
        <f>IF(C603="","",YEAR(C603))</f>
        <v>2025</v>
      </c>
      <c r="AM603" t="s">
        <v>4144</v>
      </c>
      <c r="AN603" t="s">
        <v>4136</v>
      </c>
    </row>
    <row r="604" spans="1:40">
      <c r="A604" t="s">
        <v>1037</v>
      </c>
      <c r="B604" t="s">
        <v>1038</v>
      </c>
      <c r="C604" s="6">
        <v>45669</v>
      </c>
      <c r="D604" t="s">
        <v>1039</v>
      </c>
      <c r="E604" s="6">
        <v>45672</v>
      </c>
      <c r="F604" t="s">
        <v>1040</v>
      </c>
      <c r="G604" t="s">
        <v>39</v>
      </c>
      <c r="H604" t="s">
        <v>39</v>
      </c>
      <c r="I604" t="s">
        <v>104</v>
      </c>
      <c r="J604" t="s">
        <v>104</v>
      </c>
      <c r="K604" t="s">
        <v>60</v>
      </c>
      <c r="L604" t="str">
        <f>IF(TRIM(K604)="","Unknown",PROPER(TRIM(K604)))</f>
        <v>South</v>
      </c>
      <c r="M604" t="s">
        <v>212</v>
      </c>
      <c r="N604" t="s">
        <v>213</v>
      </c>
      <c r="O604" t="s">
        <v>44</v>
      </c>
      <c r="P604" t="str">
        <f>IF(TRIM(O604)="","Unknown",PROPER(TRIM(O604)))</f>
        <v>Furniture</v>
      </c>
      <c r="Q604" t="s">
        <v>74</v>
      </c>
      <c r="R604" t="s">
        <v>1041</v>
      </c>
      <c r="S604" t="s">
        <v>47</v>
      </c>
      <c r="T604" t="str">
        <f>IF(TRIM(S604)="","Unknown",PROPER(TRIM(S604)))</f>
        <v>Same Day</v>
      </c>
      <c r="U604">
        <v>4</v>
      </c>
      <c r="V604">
        <v>1531.53</v>
      </c>
      <c r="W604">
        <v>0.2</v>
      </c>
      <c r="Y604">
        <v>0.2</v>
      </c>
      <c r="Z604">
        <v>4900.8999999999996</v>
      </c>
      <c r="AA604">
        <v>3552.69</v>
      </c>
      <c r="AB604">
        <v>1348.21</v>
      </c>
      <c r="AC604" t="s">
        <v>33</v>
      </c>
      <c r="AD604" t="s">
        <v>34</v>
      </c>
      <c r="AE604">
        <f>ROUND((U604*V604)-(U604*V604*Y604),2)</f>
        <v>4900.8999999999996</v>
      </c>
      <c r="AF604">
        <f>AE604-AA604</f>
        <v>1348.2099999999996</v>
      </c>
      <c r="AG604" s="7">
        <f>ROUND((AF604/AE604),4)</f>
        <v>0.27510000000000001</v>
      </c>
      <c r="AH604">
        <f>IF(AND(C604&lt;&gt;"",E604&lt;&gt;""),E604 - C604,"")</f>
        <v>3</v>
      </c>
      <c r="AI604" t="str">
        <f>IF(C604="","",TEXT(C604, "mmmm"))</f>
        <v>January</v>
      </c>
      <c r="AJ604">
        <f>IF(C604="","",YEAR(C604))</f>
        <v>2025</v>
      </c>
      <c r="AM604" t="str">
        <f>IF(AN604="","clean","")</f>
        <v>clean</v>
      </c>
      <c r="AN604" t="s">
        <v>3595</v>
      </c>
    </row>
    <row r="605" spans="1:40">
      <c r="A605" t="s">
        <v>1042</v>
      </c>
      <c r="B605" t="s">
        <v>3741</v>
      </c>
      <c r="C605" s="6">
        <v>45776</v>
      </c>
      <c r="D605" t="s">
        <v>897</v>
      </c>
      <c r="E605" s="6">
        <v>45779</v>
      </c>
      <c r="F605" t="s">
        <v>1043</v>
      </c>
      <c r="G605" t="s">
        <v>80</v>
      </c>
      <c r="H605" t="s">
        <v>80</v>
      </c>
      <c r="I605" t="s">
        <v>40</v>
      </c>
      <c r="J605" t="s">
        <v>40</v>
      </c>
      <c r="K605" t="s">
        <v>71</v>
      </c>
      <c r="L605" t="str">
        <f>IF(TRIM(K605)="","Unknown",PROPER(TRIM(K605)))</f>
        <v>West</v>
      </c>
      <c r="M605" t="s">
        <v>230</v>
      </c>
      <c r="N605" t="s">
        <v>231</v>
      </c>
      <c r="O605" t="s">
        <v>29</v>
      </c>
      <c r="P605" t="str">
        <f>IF(TRIM(O605)="","Unknown",PROPER(TRIM(O605)))</f>
        <v>Office Supplies</v>
      </c>
      <c r="Q605" t="s">
        <v>148</v>
      </c>
      <c r="R605" t="s">
        <v>1044</v>
      </c>
      <c r="S605" t="s">
        <v>55</v>
      </c>
      <c r="T605" t="str">
        <f>IF(TRIM(S605)="","Unknown",PROPER(TRIM(S605)))</f>
        <v>First Class</v>
      </c>
      <c r="U605">
        <v>6</v>
      </c>
      <c r="V605">
        <v>4308.09</v>
      </c>
      <c r="W605">
        <v>0</v>
      </c>
      <c r="Y605">
        <v>0</v>
      </c>
      <c r="Z605">
        <v>25848.54</v>
      </c>
      <c r="AA605">
        <v>17729.09</v>
      </c>
      <c r="AB605">
        <v>8119.45</v>
      </c>
      <c r="AC605" t="s">
        <v>33</v>
      </c>
      <c r="AD605" t="s">
        <v>34</v>
      </c>
      <c r="AE605">
        <f>ROUND((U605*V605)-(U605*V605*Y605),2)</f>
        <v>25848.54</v>
      </c>
      <c r="AF605">
        <f>AE605-AA605</f>
        <v>8119.4500000000007</v>
      </c>
      <c r="AG605" s="7">
        <f>ROUND((AF605/AE605),4)</f>
        <v>0.31409999999999999</v>
      </c>
      <c r="AH605">
        <f>IF(AND(C605&lt;&gt;"",E605&lt;&gt;""),E605 - C605,"")</f>
        <v>3</v>
      </c>
      <c r="AI605" t="str">
        <f>IF(C605="","",TEXT(C605, "mmmm"))</f>
        <v>April</v>
      </c>
      <c r="AJ605">
        <f>IF(C605="","",YEAR(C605))</f>
        <v>2025</v>
      </c>
      <c r="AM605" t="str">
        <f>IF(AN605="","clean","")</f>
        <v>clean</v>
      </c>
      <c r="AN605" t="s">
        <v>3595</v>
      </c>
    </row>
    <row r="606" spans="1:40">
      <c r="A606" t="s">
        <v>1045</v>
      </c>
      <c r="B606" t="s">
        <v>3742</v>
      </c>
      <c r="C606" s="6">
        <v>45707</v>
      </c>
      <c r="D606" t="s">
        <v>1046</v>
      </c>
      <c r="E606" s="6">
        <v>45714</v>
      </c>
      <c r="F606" t="s">
        <v>1047</v>
      </c>
      <c r="G606" t="s">
        <v>39</v>
      </c>
      <c r="H606" t="s">
        <v>39</v>
      </c>
      <c r="I606" t="s">
        <v>104</v>
      </c>
      <c r="J606" t="s">
        <v>104</v>
      </c>
      <c r="K606" t="s">
        <v>71</v>
      </c>
      <c r="L606" t="str">
        <f>IF(TRIM(K606)="","Unknown",PROPER(TRIM(K606)))</f>
        <v>West</v>
      </c>
      <c r="M606" t="s">
        <v>72</v>
      </c>
      <c r="N606" t="s">
        <v>73</v>
      </c>
      <c r="O606" t="s">
        <v>44</v>
      </c>
      <c r="P606" t="str">
        <f>IF(TRIM(O606)="","Unknown",PROPER(TRIM(O606)))</f>
        <v>Furniture</v>
      </c>
      <c r="Q606" t="s">
        <v>63</v>
      </c>
      <c r="R606" t="s">
        <v>1048</v>
      </c>
      <c r="S606" t="s">
        <v>55</v>
      </c>
      <c r="T606" t="str">
        <f>IF(TRIM(S606)="","Unknown",PROPER(TRIM(S606)))</f>
        <v>First Class</v>
      </c>
      <c r="U606">
        <v>3</v>
      </c>
      <c r="V606">
        <v>490.3</v>
      </c>
      <c r="W606">
        <v>0.2</v>
      </c>
      <c r="Y606">
        <v>0.2</v>
      </c>
      <c r="Z606">
        <v>1176.72</v>
      </c>
      <c r="AA606">
        <v>654.33000000000004</v>
      </c>
      <c r="AB606">
        <v>522.39</v>
      </c>
      <c r="AC606" t="s">
        <v>131</v>
      </c>
      <c r="AD606" t="s">
        <v>120</v>
      </c>
      <c r="AE606">
        <f>ROUND((U606*V606)-(U606*V606*Y606),2)</f>
        <v>1176.72</v>
      </c>
      <c r="AF606">
        <f>AE606-AA606</f>
        <v>522.39</v>
      </c>
      <c r="AG606" s="7">
        <f>ROUND((AF606/AE606),4)</f>
        <v>0.44390000000000002</v>
      </c>
      <c r="AH606">
        <f>IF(AND(C606&lt;&gt;"",E606&lt;&gt;""),E606 - C606,"")</f>
        <v>7</v>
      </c>
      <c r="AI606" t="str">
        <f>IF(C606="","",TEXT(C606, "mmmm"))</f>
        <v>February</v>
      </c>
      <c r="AJ606">
        <f>IF(C606="","",YEAR(C606))</f>
        <v>2025</v>
      </c>
      <c r="AM606" t="str">
        <f>IF(AN606="","clean","")</f>
        <v>clean</v>
      </c>
      <c r="AN606" t="s">
        <v>3595</v>
      </c>
    </row>
    <row r="607" spans="1:40">
      <c r="A607" t="s">
        <v>1049</v>
      </c>
      <c r="B607" t="s">
        <v>3743</v>
      </c>
      <c r="C607" s="6">
        <v>45932</v>
      </c>
      <c r="D607" t="s">
        <v>1050</v>
      </c>
      <c r="E607" s="6">
        <v>45938</v>
      </c>
      <c r="F607" t="s">
        <v>1051</v>
      </c>
      <c r="G607" t="s">
        <v>52</v>
      </c>
      <c r="H607" t="s">
        <v>52</v>
      </c>
      <c r="I607" t="s">
        <v>40</v>
      </c>
      <c r="J607" t="s">
        <v>40</v>
      </c>
      <c r="K607" t="s">
        <v>26</v>
      </c>
      <c r="L607" t="str">
        <f>IF(TRIM(K607)="","Unknown",PROPER(TRIM(K607)))</f>
        <v>North</v>
      </c>
      <c r="M607" t="s">
        <v>146</v>
      </c>
      <c r="N607" t="s">
        <v>147</v>
      </c>
      <c r="O607" t="s">
        <v>44</v>
      </c>
      <c r="P607" t="str">
        <f>IF(TRIM(O607)="","Unknown",PROPER(TRIM(O607)))</f>
        <v>Furniture</v>
      </c>
      <c r="Q607" t="s">
        <v>63</v>
      </c>
      <c r="R607" t="s">
        <v>1052</v>
      </c>
      <c r="S607" t="s">
        <v>65</v>
      </c>
      <c r="T607" t="str">
        <f>IF(TRIM(S607)="","Unknown",PROPER(TRIM(S607)))</f>
        <v>Standard Class</v>
      </c>
      <c r="U607">
        <v>4</v>
      </c>
      <c r="V607">
        <v>3944.64</v>
      </c>
      <c r="W607">
        <v>0.25</v>
      </c>
      <c r="Y607">
        <v>0.25</v>
      </c>
      <c r="Z607">
        <v>11833.92</v>
      </c>
      <c r="AA607">
        <v>6682.92</v>
      </c>
      <c r="AB607">
        <v>5151</v>
      </c>
      <c r="AC607" t="s">
        <v>33</v>
      </c>
      <c r="AD607" t="s">
        <v>76</v>
      </c>
      <c r="AE607">
        <f>ROUND((U607*V607)-(U607*V607*Y607),2)</f>
        <v>11833.92</v>
      </c>
      <c r="AF607">
        <f>AE607-AA607</f>
        <v>5151</v>
      </c>
      <c r="AG607" s="7">
        <f>ROUND((AF607/AE607),4)</f>
        <v>0.43530000000000002</v>
      </c>
      <c r="AH607">
        <f>IF(AND(C607&lt;&gt;"",E607&lt;&gt;""),E607 - C607,"")</f>
        <v>6</v>
      </c>
      <c r="AI607" t="str">
        <f>IF(C607="","",TEXT(C607, "mmmm"))</f>
        <v>October</v>
      </c>
      <c r="AJ607">
        <f>IF(C607="","",YEAR(C607))</f>
        <v>2025</v>
      </c>
      <c r="AM607" t="str">
        <f>IF(AN607="","clean","")</f>
        <v>clean</v>
      </c>
      <c r="AN607" t="s">
        <v>3595</v>
      </c>
    </row>
    <row r="608" spans="1:40">
      <c r="A608" t="s">
        <v>1049</v>
      </c>
      <c r="B608" t="s">
        <v>3743</v>
      </c>
      <c r="C608" s="6">
        <v>45932</v>
      </c>
      <c r="D608" t="s">
        <v>1050</v>
      </c>
      <c r="E608" s="6">
        <v>45938</v>
      </c>
      <c r="F608" t="s">
        <v>1051</v>
      </c>
      <c r="G608" t="s">
        <v>52</v>
      </c>
      <c r="H608" t="s">
        <v>52</v>
      </c>
      <c r="I608" t="s">
        <v>40</v>
      </c>
      <c r="J608" t="s">
        <v>40</v>
      </c>
      <c r="K608" t="s">
        <v>26</v>
      </c>
      <c r="L608" t="str">
        <f>IF(TRIM(K608)="","Unknown",PROPER(TRIM(K608)))</f>
        <v>North</v>
      </c>
      <c r="M608" t="s">
        <v>146</v>
      </c>
      <c r="N608" t="s">
        <v>147</v>
      </c>
      <c r="O608" t="s">
        <v>44</v>
      </c>
      <c r="P608" t="str">
        <f>IF(TRIM(O608)="","Unknown",PROPER(TRIM(O608)))</f>
        <v>Furniture</v>
      </c>
      <c r="Q608" t="s">
        <v>63</v>
      </c>
      <c r="R608" t="s">
        <v>1052</v>
      </c>
      <c r="S608" t="s">
        <v>65</v>
      </c>
      <c r="T608" t="str">
        <f>IF(TRIM(S608)="","Unknown",PROPER(TRIM(S608)))</f>
        <v>Standard Class</v>
      </c>
      <c r="U608">
        <v>4</v>
      </c>
      <c r="V608">
        <v>3944.64</v>
      </c>
      <c r="W608">
        <v>0.25</v>
      </c>
      <c r="Y608">
        <v>0.23</v>
      </c>
      <c r="Z608">
        <v>12116.89</v>
      </c>
      <c r="AA608">
        <v>6682.92</v>
      </c>
      <c r="AB608">
        <v>5151</v>
      </c>
      <c r="AC608" t="s">
        <v>33</v>
      </c>
      <c r="AD608" t="s">
        <v>120</v>
      </c>
      <c r="AE608">
        <f>ROUND((U608*V608)-(U608*V608*Y608),2)</f>
        <v>12149.49</v>
      </c>
      <c r="AF608">
        <f>AE608-AA608</f>
        <v>5466.57</v>
      </c>
      <c r="AG608" s="7">
        <f>ROUND((AF608/AE608),4)</f>
        <v>0.44990000000000002</v>
      </c>
      <c r="AH608">
        <f>IF(AND(C608&lt;&gt;"",E608&lt;&gt;""),E608 - C608,"")</f>
        <v>6</v>
      </c>
      <c r="AI608" t="str">
        <f>IF(C608="","",TEXT(C608, "mmmm"))</f>
        <v>October</v>
      </c>
      <c r="AJ608">
        <f>IF(C608="","",YEAR(C608))</f>
        <v>2025</v>
      </c>
      <c r="AK608" t="s">
        <v>4152</v>
      </c>
      <c r="AM608" t="s">
        <v>4145</v>
      </c>
      <c r="AN608" t="s">
        <v>4155</v>
      </c>
    </row>
    <row r="609" spans="1:40">
      <c r="A609" t="s">
        <v>1058</v>
      </c>
      <c r="B609" t="s">
        <v>3744</v>
      </c>
      <c r="C609" s="6">
        <v>45757</v>
      </c>
      <c r="D609" t="s">
        <v>1017</v>
      </c>
      <c r="E609" s="6">
        <v>45762</v>
      </c>
      <c r="F609" t="s">
        <v>1059</v>
      </c>
      <c r="G609" t="s">
        <v>196</v>
      </c>
      <c r="H609" t="s">
        <v>196</v>
      </c>
      <c r="I609" t="s">
        <v>110</v>
      </c>
      <c r="J609" t="s">
        <v>110</v>
      </c>
      <c r="L609" t="str">
        <f>IF(TRIM(K609)="","Unknown",PROPER(TRIM(K609)))</f>
        <v>Unknown</v>
      </c>
      <c r="M609" t="s">
        <v>224</v>
      </c>
      <c r="N609" t="s">
        <v>225</v>
      </c>
      <c r="O609" t="s">
        <v>83</v>
      </c>
      <c r="P609" t="str">
        <f>IF(TRIM(O609)="","Unknown",PROPER(TRIM(O609)))</f>
        <v>Technology</v>
      </c>
      <c r="Q609" t="s">
        <v>91</v>
      </c>
      <c r="R609" t="s">
        <v>1060</v>
      </c>
      <c r="S609" t="s">
        <v>47</v>
      </c>
      <c r="T609" t="str">
        <f>IF(TRIM(S609)="","Unknown",PROPER(TRIM(S609)))</f>
        <v>Same Day</v>
      </c>
      <c r="U609">
        <v>1</v>
      </c>
      <c r="V609">
        <v>2208.27</v>
      </c>
      <c r="W609">
        <v>0.1</v>
      </c>
      <c r="Y609">
        <v>0.1</v>
      </c>
      <c r="Z609">
        <v>1987.44</v>
      </c>
      <c r="AA609">
        <v>1110.23</v>
      </c>
      <c r="AB609">
        <v>877.21</v>
      </c>
      <c r="AC609" t="s">
        <v>33</v>
      </c>
      <c r="AD609" t="s">
        <v>34</v>
      </c>
      <c r="AE609">
        <f>ROUND((U609*V609)-(U609*V609*Y609),2)</f>
        <v>1987.44</v>
      </c>
      <c r="AF609">
        <f>AE609-AA609</f>
        <v>877.21</v>
      </c>
      <c r="AG609" s="7">
        <f>ROUND((AF609/AE609),4)</f>
        <v>0.44140000000000001</v>
      </c>
      <c r="AH609">
        <f>IF(AND(C609&lt;&gt;"",E609&lt;&gt;""),E609 - C609,"")</f>
        <v>5</v>
      </c>
      <c r="AI609" t="str">
        <f>IF(C609="","",TEXT(C609, "mmmm"))</f>
        <v>April</v>
      </c>
      <c r="AJ609">
        <f>IF(C609="","",YEAR(C609))</f>
        <v>2025</v>
      </c>
      <c r="AM609" t="s">
        <v>4145</v>
      </c>
      <c r="AN609" t="s">
        <v>3597</v>
      </c>
    </row>
    <row r="610" spans="1:40">
      <c r="A610" t="s">
        <v>1070</v>
      </c>
      <c r="B610" t="s">
        <v>1071</v>
      </c>
      <c r="C610" s="6">
        <v>45836</v>
      </c>
      <c r="D610" t="s">
        <v>1072</v>
      </c>
      <c r="E610" s="6">
        <v>45842</v>
      </c>
      <c r="F610" t="s">
        <v>1073</v>
      </c>
      <c r="G610" t="s">
        <v>169</v>
      </c>
      <c r="H610" t="s">
        <v>169</v>
      </c>
      <c r="I610" t="s">
        <v>25</v>
      </c>
      <c r="J610" t="s">
        <v>25</v>
      </c>
      <c r="K610" t="s">
        <v>60</v>
      </c>
      <c r="L610" t="str">
        <f>IF(TRIM(K610)="","Unknown",PROPER(TRIM(K610)))</f>
        <v>South</v>
      </c>
      <c r="M610" t="s">
        <v>61</v>
      </c>
      <c r="N610" t="s">
        <v>62</v>
      </c>
      <c r="O610" t="s">
        <v>44</v>
      </c>
      <c r="P610" t="str">
        <f>IF(TRIM(O610)="","Unknown",PROPER(TRIM(O610)))</f>
        <v>Furniture</v>
      </c>
      <c r="Q610" t="s">
        <v>190</v>
      </c>
      <c r="R610" t="s">
        <v>1074</v>
      </c>
      <c r="S610" t="s">
        <v>55</v>
      </c>
      <c r="T610" t="str">
        <f>IF(TRIM(S610)="","Unknown",PROPER(TRIM(S610)))</f>
        <v>First Class</v>
      </c>
      <c r="U610">
        <v>3</v>
      </c>
      <c r="V610">
        <v>2886.23</v>
      </c>
      <c r="W610">
        <v>0</v>
      </c>
      <c r="Y610">
        <v>0</v>
      </c>
      <c r="Z610">
        <v>8658.69</v>
      </c>
      <c r="AA610">
        <v>5535.94</v>
      </c>
      <c r="AB610">
        <v>3122.75</v>
      </c>
      <c r="AC610" t="s">
        <v>119</v>
      </c>
      <c r="AD610" t="s">
        <v>120</v>
      </c>
      <c r="AE610">
        <f>ROUND((U610*V610)-(U610*V610*Y610),2)</f>
        <v>8658.69</v>
      </c>
      <c r="AF610">
        <f>AE610-AA610</f>
        <v>3122.7500000000009</v>
      </c>
      <c r="AG610" s="7">
        <f>ROUND((AF610/AE610),4)</f>
        <v>0.36059999999999998</v>
      </c>
      <c r="AH610">
        <f>IF(AND(C610&lt;&gt;"",E610&lt;&gt;""),E610 - C610,"")</f>
        <v>6</v>
      </c>
      <c r="AI610" t="str">
        <f>IF(C610="","",TEXT(C610, "mmmm"))</f>
        <v>June</v>
      </c>
      <c r="AJ610">
        <f>IF(C610="","",YEAR(C610))</f>
        <v>2025</v>
      </c>
      <c r="AM610" t="str">
        <f>IF(AN610="","clean","")</f>
        <v>clean</v>
      </c>
      <c r="AN610" t="s">
        <v>3595</v>
      </c>
    </row>
    <row r="611" spans="1:40">
      <c r="A611" t="s">
        <v>1084</v>
      </c>
      <c r="B611" t="s">
        <v>3748</v>
      </c>
      <c r="C611" s="6">
        <v>45812</v>
      </c>
      <c r="D611" t="s">
        <v>1085</v>
      </c>
      <c r="E611" s="6">
        <v>45818</v>
      </c>
      <c r="F611" t="s">
        <v>1086</v>
      </c>
      <c r="G611" t="s">
        <v>141</v>
      </c>
      <c r="H611" t="s">
        <v>141</v>
      </c>
      <c r="I611" t="s">
        <v>25</v>
      </c>
      <c r="J611" t="s">
        <v>25</v>
      </c>
      <c r="K611" t="s">
        <v>60</v>
      </c>
      <c r="L611" t="str">
        <f>IF(TRIM(K611)="","Unknown",PROPER(TRIM(K611)))</f>
        <v>South</v>
      </c>
      <c r="M611" t="s">
        <v>97</v>
      </c>
      <c r="N611" t="s">
        <v>98</v>
      </c>
      <c r="O611" t="s">
        <v>83</v>
      </c>
      <c r="P611" t="str">
        <f>IF(TRIM(O611)="","Unknown",PROPER(TRIM(O611)))</f>
        <v>Technology</v>
      </c>
      <c r="Q611" t="s">
        <v>207</v>
      </c>
      <c r="R611" t="s">
        <v>1087</v>
      </c>
      <c r="S611" t="s">
        <v>65</v>
      </c>
      <c r="T611" t="str">
        <f>IF(TRIM(S611)="","Unknown",PROPER(TRIM(S611)))</f>
        <v>Standard Class</v>
      </c>
      <c r="U611">
        <v>4</v>
      </c>
      <c r="V611">
        <v>223.37</v>
      </c>
      <c r="W611">
        <v>0.25</v>
      </c>
      <c r="Y611">
        <v>0.25</v>
      </c>
      <c r="Z611">
        <v>670.11</v>
      </c>
      <c r="AA611">
        <v>559.57000000000005</v>
      </c>
      <c r="AB611">
        <v>110.54</v>
      </c>
      <c r="AC611" t="s">
        <v>33</v>
      </c>
      <c r="AD611" t="s">
        <v>34</v>
      </c>
      <c r="AE611">
        <f>ROUND((U611*V611)-(U611*V611*Y611),2)</f>
        <v>670.11</v>
      </c>
      <c r="AF611">
        <f>AE611-AA611</f>
        <v>110.53999999999996</v>
      </c>
      <c r="AG611" s="7">
        <f>ROUND((AF611/AE611),4)</f>
        <v>0.16500000000000001</v>
      </c>
      <c r="AH611">
        <f>IF(AND(C611&lt;&gt;"",E611&lt;&gt;""),E611 - C611,"")</f>
        <v>6</v>
      </c>
      <c r="AI611" t="str">
        <f>IF(C611="","",TEXT(C611, "mmmm"))</f>
        <v>June</v>
      </c>
      <c r="AJ611">
        <f>IF(C611="","",YEAR(C611))</f>
        <v>2025</v>
      </c>
      <c r="AM611" t="str">
        <f>IF(AN611="","clean","")</f>
        <v>clean</v>
      </c>
      <c r="AN611" t="s">
        <v>3595</v>
      </c>
    </row>
    <row r="612" spans="1:40">
      <c r="A612" t="s">
        <v>1118</v>
      </c>
      <c r="B612" t="s">
        <v>3755</v>
      </c>
      <c r="C612" s="6">
        <v>45844</v>
      </c>
      <c r="D612" t="s">
        <v>1119</v>
      </c>
      <c r="E612" s="6">
        <v>45844</v>
      </c>
      <c r="F612" t="s">
        <v>1120</v>
      </c>
      <c r="G612" t="s">
        <v>158</v>
      </c>
      <c r="H612" t="s">
        <v>158</v>
      </c>
      <c r="I612" t="s">
        <v>104</v>
      </c>
      <c r="J612" t="s">
        <v>104</v>
      </c>
      <c r="K612" t="s">
        <v>26</v>
      </c>
      <c r="L612" t="str">
        <f>IF(TRIM(K612)="","Unknown",PROPER(TRIM(K612)))</f>
        <v>North</v>
      </c>
      <c r="M612" t="s">
        <v>294</v>
      </c>
      <c r="N612" t="s">
        <v>295</v>
      </c>
      <c r="O612" t="s">
        <v>29</v>
      </c>
      <c r="P612" t="str">
        <f>IF(TRIM(O612)="","Unknown",PROPER(TRIM(O612)))</f>
        <v>Office Supplies</v>
      </c>
      <c r="Q612" t="s">
        <v>148</v>
      </c>
      <c r="R612" t="s">
        <v>1121</v>
      </c>
      <c r="S612" t="s">
        <v>65</v>
      </c>
      <c r="T612" t="str">
        <f>IF(TRIM(S612)="","Unknown",PROPER(TRIM(S612)))</f>
        <v>Standard Class</v>
      </c>
      <c r="U612">
        <v>1</v>
      </c>
      <c r="V612">
        <v>1617.2</v>
      </c>
      <c r="W612">
        <v>0.25</v>
      </c>
      <c r="Y612">
        <v>0.25</v>
      </c>
      <c r="Z612">
        <v>1212.9000000000001</v>
      </c>
      <c r="AA612">
        <v>690.52</v>
      </c>
      <c r="AB612">
        <v>522.38</v>
      </c>
      <c r="AC612" t="s">
        <v>131</v>
      </c>
      <c r="AD612" t="s">
        <v>120</v>
      </c>
      <c r="AE612">
        <f>ROUND((U612*V612)-(U612*V612*Y612),2)</f>
        <v>1212.9000000000001</v>
      </c>
      <c r="AF612">
        <f>AE612-AA612</f>
        <v>522.38000000000011</v>
      </c>
      <c r="AG612" s="7">
        <f>ROUND((AF612/AE612),4)</f>
        <v>0.43070000000000003</v>
      </c>
      <c r="AH612">
        <f>IF(AND(C612&lt;&gt;"",E612&lt;&gt;""),E612 - C612,"")</f>
        <v>0</v>
      </c>
      <c r="AI612" t="str">
        <f>IF(C612="","",TEXT(C612, "mmmm"))</f>
        <v>July</v>
      </c>
      <c r="AJ612">
        <f>IF(C612="","",YEAR(C612))</f>
        <v>2025</v>
      </c>
      <c r="AM612" t="str">
        <f>IF(AN612="","clean","")</f>
        <v>clean</v>
      </c>
      <c r="AN612" t="s">
        <v>3595</v>
      </c>
    </row>
    <row r="613" spans="1:40">
      <c r="A613" t="s">
        <v>1122</v>
      </c>
      <c r="B613" t="s">
        <v>3756</v>
      </c>
      <c r="C613" s="6">
        <v>45695</v>
      </c>
      <c r="D613" t="s">
        <v>1123</v>
      </c>
      <c r="E613" s="6">
        <v>45695</v>
      </c>
      <c r="F613" t="s">
        <v>1124</v>
      </c>
      <c r="G613" t="s">
        <v>59</v>
      </c>
      <c r="H613" t="s">
        <v>59</v>
      </c>
      <c r="I613" t="s">
        <v>25</v>
      </c>
      <c r="J613" t="s">
        <v>25</v>
      </c>
      <c r="K613" t="s">
        <v>26</v>
      </c>
      <c r="L613" t="str">
        <f>IF(TRIM(K613)="","Unknown",PROPER(TRIM(K613)))</f>
        <v>North</v>
      </c>
      <c r="M613" t="s">
        <v>163</v>
      </c>
      <c r="N613" t="s">
        <v>164</v>
      </c>
      <c r="O613" t="s">
        <v>29</v>
      </c>
      <c r="P613" t="str">
        <f>IF(TRIM(O613)="","Unknown",PROPER(TRIM(O613)))</f>
        <v>Office Supplies</v>
      </c>
      <c r="Q613" t="s">
        <v>53</v>
      </c>
      <c r="R613" t="s">
        <v>1125</v>
      </c>
      <c r="S613" t="s">
        <v>32</v>
      </c>
      <c r="T613" t="str">
        <f>IF(TRIM(S613)="","Unknown",PROPER(TRIM(S613)))</f>
        <v>Second Class</v>
      </c>
      <c r="U613">
        <v>3</v>
      </c>
      <c r="V613">
        <v>1999.24</v>
      </c>
      <c r="W613">
        <v>0.05</v>
      </c>
      <c r="Y613">
        <v>0.05</v>
      </c>
      <c r="Z613">
        <v>5697.83</v>
      </c>
      <c r="AA613">
        <v>4251.5</v>
      </c>
      <c r="AB613">
        <v>1446.33</v>
      </c>
      <c r="AC613" t="s">
        <v>33</v>
      </c>
      <c r="AD613" t="s">
        <v>34</v>
      </c>
      <c r="AE613">
        <f>ROUND((U613*V613)-(U613*V613*Y613),2)</f>
        <v>5697.83</v>
      </c>
      <c r="AF613">
        <f>AE613-AA613</f>
        <v>1446.33</v>
      </c>
      <c r="AG613" s="7">
        <f>ROUND((AF613/AE613),4)</f>
        <v>0.25380000000000003</v>
      </c>
      <c r="AH613">
        <f>IF(AND(C613&lt;&gt;"",E613&lt;&gt;""),E613 - C613,"")</f>
        <v>0</v>
      </c>
      <c r="AI613" t="str">
        <f>IF(C613="","",TEXT(C613, "mmmm"))</f>
        <v>February</v>
      </c>
      <c r="AJ613">
        <f>IF(C613="","",YEAR(C613))</f>
        <v>2025</v>
      </c>
      <c r="AM613" t="str">
        <f>IF(AN613="","clean","")</f>
        <v>clean</v>
      </c>
      <c r="AN613" t="s">
        <v>3595</v>
      </c>
    </row>
    <row r="614" spans="1:40">
      <c r="A614" t="s">
        <v>1126</v>
      </c>
      <c r="B614" t="s">
        <v>260</v>
      </c>
      <c r="D614" t="s">
        <v>1127</v>
      </c>
      <c r="E614" s="6">
        <v>45871</v>
      </c>
      <c r="F614" t="s">
        <v>1128</v>
      </c>
      <c r="G614" t="s">
        <v>158</v>
      </c>
      <c r="H614" t="s">
        <v>158</v>
      </c>
      <c r="I614" t="s">
        <v>40</v>
      </c>
      <c r="J614" t="s">
        <v>40</v>
      </c>
      <c r="L614" t="str">
        <f>IF(TRIM(K614)="","Unknown",PROPER(TRIM(K614)))</f>
        <v>Unknown</v>
      </c>
      <c r="M614" t="s">
        <v>81</v>
      </c>
      <c r="N614" t="s">
        <v>82</v>
      </c>
      <c r="O614" t="s">
        <v>83</v>
      </c>
      <c r="P614" t="str">
        <f>IF(TRIM(O614)="","Unknown",PROPER(TRIM(O614)))</f>
        <v>Technology</v>
      </c>
      <c r="Q614" t="s">
        <v>84</v>
      </c>
      <c r="R614" t="s">
        <v>1129</v>
      </c>
      <c r="S614" t="s">
        <v>55</v>
      </c>
      <c r="T614" t="str">
        <f>IF(TRIM(S614)="","Unknown",PROPER(TRIM(S614)))</f>
        <v>First Class</v>
      </c>
      <c r="U614">
        <v>1</v>
      </c>
      <c r="V614">
        <v>4499.46</v>
      </c>
      <c r="W614">
        <v>0.1</v>
      </c>
      <c r="Y614">
        <v>0.1</v>
      </c>
      <c r="Z614">
        <v>4049.51</v>
      </c>
      <c r="AA614">
        <v>2509.1999999999998</v>
      </c>
      <c r="AB614">
        <v>1540.31</v>
      </c>
      <c r="AC614" t="s">
        <v>33</v>
      </c>
      <c r="AD614" t="s">
        <v>908</v>
      </c>
      <c r="AE614">
        <f>ROUND((U614*V614)-(U614*V614*Y614),2)</f>
        <v>4049.51</v>
      </c>
      <c r="AF614">
        <f>AE614-AA614</f>
        <v>1540.3100000000004</v>
      </c>
      <c r="AG614" s="7">
        <f>ROUND((AF614/AE614),4)</f>
        <v>0.38040000000000002</v>
      </c>
      <c r="AH614" t="str">
        <f>IF(AND(C614&lt;&gt;"",E614&lt;&gt;""),E614 - C614,"")</f>
        <v/>
      </c>
      <c r="AI614" t="str">
        <f>IF(C614="","",TEXT(C614, "mmmm"))</f>
        <v/>
      </c>
      <c r="AJ614" t="str">
        <f>IF(C614="","",YEAR(C614))</f>
        <v/>
      </c>
      <c r="AM614" t="s">
        <v>4144</v>
      </c>
      <c r="AN614" t="s">
        <v>4129</v>
      </c>
    </row>
    <row r="615" spans="1:40">
      <c r="A615" t="s">
        <v>1150</v>
      </c>
      <c r="B615" t="s">
        <v>729</v>
      </c>
      <c r="C615" s="6">
        <v>45870</v>
      </c>
      <c r="D615" t="s">
        <v>1151</v>
      </c>
      <c r="E615" s="6">
        <v>45871</v>
      </c>
      <c r="F615" t="s">
        <v>1152</v>
      </c>
      <c r="G615" t="s">
        <v>39</v>
      </c>
      <c r="H615" t="s">
        <v>39</v>
      </c>
      <c r="I615" t="s">
        <v>104</v>
      </c>
      <c r="J615" t="s">
        <v>104</v>
      </c>
      <c r="K615" t="s">
        <v>26</v>
      </c>
      <c r="L615" t="str">
        <f>IF(TRIM(K615)="","Unknown",PROPER(TRIM(K615)))</f>
        <v>North</v>
      </c>
      <c r="M615" t="s">
        <v>27</v>
      </c>
      <c r="N615" t="s">
        <v>28</v>
      </c>
      <c r="O615" t="s">
        <v>44</v>
      </c>
      <c r="P615" t="str">
        <f>IF(TRIM(O615)="","Unknown",PROPER(TRIM(O615)))</f>
        <v>Furniture</v>
      </c>
      <c r="Q615" t="s">
        <v>63</v>
      </c>
      <c r="R615" t="s">
        <v>1153</v>
      </c>
      <c r="S615" t="s">
        <v>55</v>
      </c>
      <c r="T615" t="str">
        <f>IF(TRIM(S615)="","Unknown",PROPER(TRIM(S615)))</f>
        <v>First Class</v>
      </c>
      <c r="U615">
        <v>4</v>
      </c>
      <c r="V615">
        <v>2790.29</v>
      </c>
      <c r="W615">
        <v>0.2</v>
      </c>
      <c r="Y615">
        <v>0.2</v>
      </c>
      <c r="Z615">
        <v>8928.93</v>
      </c>
      <c r="AA615">
        <v>5634.38</v>
      </c>
      <c r="AB615">
        <v>3294.55</v>
      </c>
      <c r="AC615" t="s">
        <v>33</v>
      </c>
      <c r="AD615" t="s">
        <v>34</v>
      </c>
      <c r="AE615">
        <f>ROUND((U615*V615)-(U615*V615*Y615),2)</f>
        <v>8928.93</v>
      </c>
      <c r="AF615">
        <f>AE615-AA615</f>
        <v>3294.55</v>
      </c>
      <c r="AG615" s="7">
        <f>ROUND((AF615/AE615),4)</f>
        <v>0.36899999999999999</v>
      </c>
      <c r="AH615">
        <f>IF(AND(C615&lt;&gt;"",E615&lt;&gt;""),E615 - C615,"")</f>
        <v>1</v>
      </c>
      <c r="AI615" t="str">
        <f>IF(C615="","",TEXT(C615, "mmmm"))</f>
        <v>August</v>
      </c>
      <c r="AJ615">
        <f>IF(C615="","",YEAR(C615))</f>
        <v>2025</v>
      </c>
      <c r="AM615" t="str">
        <f>IF(AN615="","clean","")</f>
        <v>clean</v>
      </c>
      <c r="AN615" t="s">
        <v>3595</v>
      </c>
    </row>
    <row r="616" spans="1:40">
      <c r="A616" t="s">
        <v>1158</v>
      </c>
      <c r="B616" t="s">
        <v>3760</v>
      </c>
      <c r="C616" s="6">
        <v>45753</v>
      </c>
      <c r="D616" t="s">
        <v>87</v>
      </c>
      <c r="E616" s="6">
        <v>45757</v>
      </c>
      <c r="F616" t="s">
        <v>1159</v>
      </c>
      <c r="G616" t="s">
        <v>70</v>
      </c>
      <c r="H616" t="s">
        <v>70</v>
      </c>
      <c r="I616" t="s">
        <v>104</v>
      </c>
      <c r="J616" t="s">
        <v>104</v>
      </c>
      <c r="K616" t="s">
        <v>71</v>
      </c>
      <c r="L616" t="str">
        <f>IF(TRIM(K616)="","Unknown",PROPER(TRIM(K616)))</f>
        <v>West</v>
      </c>
      <c r="M616" t="s">
        <v>218</v>
      </c>
      <c r="N616" t="s">
        <v>219</v>
      </c>
      <c r="O616" t="s">
        <v>44</v>
      </c>
      <c r="P616" t="str">
        <f>IF(TRIM(O616)="","Unknown",PROPER(TRIM(O616)))</f>
        <v>Furniture</v>
      </c>
      <c r="Q616" t="s">
        <v>45</v>
      </c>
      <c r="R616" t="s">
        <v>1160</v>
      </c>
      <c r="S616" t="s">
        <v>32</v>
      </c>
      <c r="T616" t="str">
        <f>IF(TRIM(S616)="","Unknown",PROPER(TRIM(S616)))</f>
        <v>Second Class</v>
      </c>
      <c r="U616">
        <v>6</v>
      </c>
      <c r="V616">
        <v>1022.16</v>
      </c>
      <c r="W616">
        <v>0</v>
      </c>
      <c r="Y616">
        <v>0</v>
      </c>
      <c r="Z616">
        <v>6132.96</v>
      </c>
      <c r="AA616">
        <v>4881.1000000000004</v>
      </c>
      <c r="AB616">
        <v>1251.8599999999999</v>
      </c>
      <c r="AC616" t="s">
        <v>33</v>
      </c>
      <c r="AD616" t="s">
        <v>34</v>
      </c>
      <c r="AE616">
        <f>ROUND((U616*V616)-(U616*V616*Y616),2)</f>
        <v>6132.96</v>
      </c>
      <c r="AF616">
        <f>AE616-AA616</f>
        <v>1251.8599999999997</v>
      </c>
      <c r="AG616" s="7">
        <f>ROUND((AF616/AE616),4)</f>
        <v>0.2041</v>
      </c>
      <c r="AH616">
        <f>IF(AND(C616&lt;&gt;"",E616&lt;&gt;""),E616 - C616,"")</f>
        <v>4</v>
      </c>
      <c r="AI616" t="str">
        <f>IF(C616="","",TEXT(C616, "mmmm"))</f>
        <v>April</v>
      </c>
      <c r="AJ616">
        <f>IF(C616="","",YEAR(C616))</f>
        <v>2025</v>
      </c>
      <c r="AM616" t="str">
        <f>IF(AN616="","clean","")</f>
        <v>clean</v>
      </c>
      <c r="AN616" t="s">
        <v>3595</v>
      </c>
    </row>
    <row r="617" spans="1:40">
      <c r="A617" t="s">
        <v>1161</v>
      </c>
      <c r="B617" t="s">
        <v>3761</v>
      </c>
      <c r="D617" t="s">
        <v>1071</v>
      </c>
      <c r="E617" s="6">
        <v>45836</v>
      </c>
      <c r="F617" t="s">
        <v>1162</v>
      </c>
      <c r="G617" t="s">
        <v>59</v>
      </c>
      <c r="H617" t="s">
        <v>59</v>
      </c>
      <c r="I617" t="s">
        <v>104</v>
      </c>
      <c r="J617" t="s">
        <v>104</v>
      </c>
      <c r="K617" t="s">
        <v>26</v>
      </c>
      <c r="L617" t="str">
        <f>IF(TRIM(K617)="","Unknown",PROPER(TRIM(K617)))</f>
        <v>North</v>
      </c>
      <c r="M617" t="s">
        <v>294</v>
      </c>
      <c r="N617" t="s">
        <v>295</v>
      </c>
      <c r="O617" t="s">
        <v>29</v>
      </c>
      <c r="P617" t="str">
        <f>IF(TRIM(O617)="","Unknown",PROPER(TRIM(O617)))</f>
        <v>Office Supplies</v>
      </c>
      <c r="Q617" t="s">
        <v>148</v>
      </c>
      <c r="R617" t="s">
        <v>1163</v>
      </c>
      <c r="S617" t="s">
        <v>55</v>
      </c>
      <c r="T617" t="str">
        <f>IF(TRIM(S617)="","Unknown",PROPER(TRIM(S617)))</f>
        <v>First Class</v>
      </c>
      <c r="U617">
        <v>2</v>
      </c>
      <c r="V617">
        <v>1455.92</v>
      </c>
      <c r="W617">
        <v>0.2</v>
      </c>
      <c r="Y617">
        <v>0.2</v>
      </c>
      <c r="Z617">
        <v>2329.4699999999998</v>
      </c>
      <c r="AA617">
        <v>1603.62</v>
      </c>
      <c r="AB617">
        <v>725.85</v>
      </c>
      <c r="AC617" t="s">
        <v>131</v>
      </c>
      <c r="AD617" t="s">
        <v>120</v>
      </c>
      <c r="AE617">
        <f>ROUND((U617*V617)-(U617*V617*Y617),2)</f>
        <v>2329.4699999999998</v>
      </c>
      <c r="AF617">
        <f>AE617-AA617</f>
        <v>725.84999999999991</v>
      </c>
      <c r="AG617" s="7">
        <f>ROUND((AF617/AE617),4)</f>
        <v>0.31159999999999999</v>
      </c>
      <c r="AH617" t="str">
        <f>IF(AND(C617&lt;&gt;"",E617&lt;&gt;""),E617 - C617,"")</f>
        <v/>
      </c>
      <c r="AI617" t="str">
        <f>IF(C617="","",TEXT(C617, "mmmm"))</f>
        <v/>
      </c>
      <c r="AJ617" t="str">
        <f>IF(C617="","",YEAR(C617))</f>
        <v/>
      </c>
      <c r="AM617" t="s">
        <v>4144</v>
      </c>
      <c r="AN617" t="s">
        <v>4127</v>
      </c>
    </row>
    <row r="618" spans="1:40">
      <c r="A618" t="s">
        <v>1168</v>
      </c>
      <c r="B618" t="s">
        <v>3763</v>
      </c>
      <c r="C618" s="6">
        <v>45658</v>
      </c>
      <c r="D618" t="s">
        <v>1169</v>
      </c>
      <c r="E618" s="6">
        <v>45660</v>
      </c>
      <c r="F618" t="s">
        <v>1170</v>
      </c>
      <c r="G618" t="s">
        <v>70</v>
      </c>
      <c r="H618" t="s">
        <v>70</v>
      </c>
      <c r="I618" t="s">
        <v>25</v>
      </c>
      <c r="J618" t="s">
        <v>25</v>
      </c>
      <c r="K618" t="s">
        <v>71</v>
      </c>
      <c r="L618" t="str">
        <f>IF(TRIM(K618)="","Unknown",PROPER(TRIM(K618)))</f>
        <v>West</v>
      </c>
      <c r="M618" t="s">
        <v>81</v>
      </c>
      <c r="N618" t="s">
        <v>82</v>
      </c>
      <c r="O618" t="s">
        <v>83</v>
      </c>
      <c r="P618" t="str">
        <f>IF(TRIM(O618)="","Unknown",PROPER(TRIM(O618)))</f>
        <v>Technology</v>
      </c>
      <c r="Q618" t="s">
        <v>84</v>
      </c>
      <c r="R618" t="s">
        <v>1171</v>
      </c>
      <c r="S618" t="s">
        <v>47</v>
      </c>
      <c r="T618" t="str">
        <f>IF(TRIM(S618)="","Unknown",PROPER(TRIM(S618)))</f>
        <v>Same Day</v>
      </c>
      <c r="U618">
        <v>7</v>
      </c>
      <c r="V618">
        <v>1000.55</v>
      </c>
      <c r="W618">
        <v>0.2</v>
      </c>
      <c r="Y618">
        <v>0.2</v>
      </c>
      <c r="Z618">
        <v>5603.08</v>
      </c>
      <c r="AA618">
        <v>3132.52</v>
      </c>
      <c r="AB618">
        <v>2470.56</v>
      </c>
      <c r="AC618" t="s">
        <v>33</v>
      </c>
      <c r="AD618" t="s">
        <v>120</v>
      </c>
      <c r="AE618">
        <f>ROUND((U618*V618)-(U618*V618*Y618),2)</f>
        <v>5603.08</v>
      </c>
      <c r="AF618">
        <f>AE618-AA618</f>
        <v>2470.56</v>
      </c>
      <c r="AG618" s="7">
        <f>ROUND((AF618/AE618),4)</f>
        <v>0.44090000000000001</v>
      </c>
      <c r="AH618">
        <f>IF(AND(C618&lt;&gt;"",E618&lt;&gt;""),E618 - C618,"")</f>
        <v>2</v>
      </c>
      <c r="AI618" t="str">
        <f>IF(C618="","",TEXT(C618, "mmmm"))</f>
        <v>January</v>
      </c>
      <c r="AJ618">
        <f>IF(C618="","",YEAR(C618))</f>
        <v>2025</v>
      </c>
      <c r="AM618" t="str">
        <f>IF(AN618="","clean","")</f>
        <v>clean</v>
      </c>
      <c r="AN618" t="s">
        <v>3595</v>
      </c>
    </row>
    <row r="619" spans="1:40">
      <c r="A619" t="s">
        <v>1172</v>
      </c>
      <c r="B619" t="s">
        <v>3764</v>
      </c>
      <c r="C619" s="6">
        <v>45692</v>
      </c>
      <c r="D619" t="s">
        <v>1173</v>
      </c>
      <c r="E619" s="6">
        <v>45698</v>
      </c>
      <c r="F619" t="s">
        <v>1174</v>
      </c>
      <c r="G619" t="s">
        <v>52</v>
      </c>
      <c r="H619" t="s">
        <v>52</v>
      </c>
      <c r="I619" t="s">
        <v>104</v>
      </c>
      <c r="J619" t="s">
        <v>104</v>
      </c>
      <c r="K619" t="s">
        <v>71</v>
      </c>
      <c r="L619" t="str">
        <f>IF(TRIM(K619)="","Unknown",PROPER(TRIM(K619)))</f>
        <v>West</v>
      </c>
      <c r="M619" t="s">
        <v>72</v>
      </c>
      <c r="N619" t="s">
        <v>73</v>
      </c>
      <c r="O619" t="s">
        <v>83</v>
      </c>
      <c r="P619" t="str">
        <f>IF(TRIM(O619)="","Unknown",PROPER(TRIM(O619)))</f>
        <v>Technology</v>
      </c>
      <c r="Q619" t="s">
        <v>207</v>
      </c>
      <c r="R619" t="s">
        <v>1175</v>
      </c>
      <c r="S619" t="s">
        <v>55</v>
      </c>
      <c r="T619" t="str">
        <f>IF(TRIM(S619)="","Unknown",PROPER(TRIM(S619)))</f>
        <v>First Class</v>
      </c>
      <c r="U619">
        <v>7</v>
      </c>
      <c r="V619">
        <v>1830</v>
      </c>
      <c r="W619">
        <v>0</v>
      </c>
      <c r="Y619">
        <v>0</v>
      </c>
      <c r="Z619">
        <v>12810</v>
      </c>
      <c r="AA619">
        <v>9334.1200000000008</v>
      </c>
      <c r="AB619">
        <v>3475.88</v>
      </c>
      <c r="AC619" t="s">
        <v>33</v>
      </c>
      <c r="AD619" t="s">
        <v>34</v>
      </c>
      <c r="AE619">
        <f>ROUND((U619*V619)-(U619*V619*Y619),2)</f>
        <v>12810</v>
      </c>
      <c r="AF619">
        <f>AE619-AA619</f>
        <v>3475.8799999999992</v>
      </c>
      <c r="AG619" s="7">
        <f>ROUND((AF619/AE619),4)</f>
        <v>0.27129999999999999</v>
      </c>
      <c r="AH619">
        <f>IF(AND(C619&lt;&gt;"",E619&lt;&gt;""),E619 - C619,"")</f>
        <v>6</v>
      </c>
      <c r="AI619" t="str">
        <f>IF(C619="","",TEXT(C619, "mmmm"))</f>
        <v>February</v>
      </c>
      <c r="AJ619">
        <f>IF(C619="","",YEAR(C619))</f>
        <v>2025</v>
      </c>
      <c r="AM619" t="str">
        <f>IF(AN619="","clean","")</f>
        <v>clean</v>
      </c>
      <c r="AN619" t="s">
        <v>3595</v>
      </c>
    </row>
    <row r="620" spans="1:40">
      <c r="A620" t="s">
        <v>1179</v>
      </c>
      <c r="B620" t="s">
        <v>3766</v>
      </c>
      <c r="C620" s="6">
        <v>45878</v>
      </c>
      <c r="D620" t="s">
        <v>1180</v>
      </c>
      <c r="E620" s="6">
        <v>45881</v>
      </c>
      <c r="F620" t="s">
        <v>1181</v>
      </c>
      <c r="G620" t="s">
        <v>196</v>
      </c>
      <c r="H620" t="s">
        <v>196</v>
      </c>
      <c r="I620" t="s">
        <v>104</v>
      </c>
      <c r="J620" t="s">
        <v>104</v>
      </c>
      <c r="K620" t="s">
        <v>60</v>
      </c>
      <c r="L620" t="str">
        <f>IF(TRIM(K620)="","Unknown",PROPER(TRIM(K620)))</f>
        <v>South</v>
      </c>
      <c r="M620" t="s">
        <v>212</v>
      </c>
      <c r="N620" t="s">
        <v>213</v>
      </c>
      <c r="O620" t="s">
        <v>83</v>
      </c>
      <c r="P620" t="str">
        <f>IF(TRIM(O620)="","Unknown",PROPER(TRIM(O620)))</f>
        <v>Technology</v>
      </c>
      <c r="Q620" t="s">
        <v>84</v>
      </c>
      <c r="R620" t="s">
        <v>1182</v>
      </c>
      <c r="S620" t="s">
        <v>32</v>
      </c>
      <c r="T620" t="str">
        <f>IF(TRIM(S620)="","Unknown",PROPER(TRIM(S620)))</f>
        <v>Second Class</v>
      </c>
      <c r="U620">
        <v>2</v>
      </c>
      <c r="V620">
        <v>3237.27</v>
      </c>
      <c r="W620">
        <v>0</v>
      </c>
      <c r="Y620">
        <v>0</v>
      </c>
      <c r="Z620">
        <v>6474.54</v>
      </c>
      <c r="AA620">
        <v>5095.91</v>
      </c>
      <c r="AB620">
        <v>1378.63</v>
      </c>
      <c r="AC620" t="s">
        <v>33</v>
      </c>
      <c r="AD620" t="s">
        <v>76</v>
      </c>
      <c r="AE620">
        <f>ROUND((U620*V620)-(U620*V620*Y620),2)</f>
        <v>6474.54</v>
      </c>
      <c r="AF620">
        <f>AE620-AA620</f>
        <v>1378.63</v>
      </c>
      <c r="AG620" s="7">
        <f>ROUND((AF620/AE620),4)</f>
        <v>0.21290000000000001</v>
      </c>
      <c r="AH620">
        <f>IF(AND(C620&lt;&gt;"",E620&lt;&gt;""),E620 - C620,"")</f>
        <v>3</v>
      </c>
      <c r="AI620" t="str">
        <f>IF(C620="","",TEXT(C620, "mmmm"))</f>
        <v>August</v>
      </c>
      <c r="AJ620">
        <f>IF(C620="","",YEAR(C620))</f>
        <v>2025</v>
      </c>
      <c r="AM620" t="str">
        <f>IF(AN620="","clean","")</f>
        <v>clean</v>
      </c>
      <c r="AN620" t="s">
        <v>3595</v>
      </c>
    </row>
    <row r="621" spans="1:40">
      <c r="A621" t="s">
        <v>1191</v>
      </c>
      <c r="B621" t="s">
        <v>3768</v>
      </c>
      <c r="C621" s="6">
        <v>45923</v>
      </c>
      <c r="D621" t="s">
        <v>1192</v>
      </c>
      <c r="E621" s="6">
        <v>45927</v>
      </c>
      <c r="F621" t="s">
        <v>1193</v>
      </c>
      <c r="G621" t="s">
        <v>103</v>
      </c>
      <c r="H621" t="s">
        <v>103</v>
      </c>
      <c r="I621" t="s">
        <v>104</v>
      </c>
      <c r="J621" t="s">
        <v>104</v>
      </c>
      <c r="K621" t="s">
        <v>41</v>
      </c>
      <c r="L621" t="str">
        <f>IF(TRIM(K621)="","Unknown",PROPER(TRIM(K621)))</f>
        <v>East</v>
      </c>
      <c r="M621" t="s">
        <v>116</v>
      </c>
      <c r="N621" t="s">
        <v>117</v>
      </c>
      <c r="O621" t="s">
        <v>29</v>
      </c>
      <c r="P621" t="str">
        <f>IF(TRIM(O621)="","Unknown",PROPER(TRIM(O621)))</f>
        <v>Office Supplies</v>
      </c>
      <c r="Q621" t="s">
        <v>184</v>
      </c>
      <c r="R621" t="s">
        <v>1194</v>
      </c>
      <c r="S621" t="s">
        <v>47</v>
      </c>
      <c r="T621" t="str">
        <f>IF(TRIM(S621)="","Unknown",PROPER(TRIM(S621)))</f>
        <v>Same Day</v>
      </c>
      <c r="U621">
        <v>7</v>
      </c>
      <c r="V621">
        <v>2897.12</v>
      </c>
      <c r="W621">
        <v>0.25</v>
      </c>
      <c r="Y621">
        <v>0.25</v>
      </c>
      <c r="Z621">
        <v>15209.88</v>
      </c>
      <c r="AA621">
        <v>10891.15</v>
      </c>
      <c r="AB621">
        <v>4318.7299999999996</v>
      </c>
      <c r="AC621" t="s">
        <v>186</v>
      </c>
      <c r="AD621" t="s">
        <v>120</v>
      </c>
      <c r="AE621">
        <f>ROUND((U621*V621)-(U621*V621*Y621),2)</f>
        <v>15209.88</v>
      </c>
      <c r="AF621">
        <f>AE621-AA621</f>
        <v>4318.7299999999996</v>
      </c>
      <c r="AG621" s="7">
        <f>ROUND((AF621/AE621),4)</f>
        <v>0.28389999999999999</v>
      </c>
      <c r="AH621">
        <f>IF(AND(C621&lt;&gt;"",E621&lt;&gt;""),E621 - C621,"")</f>
        <v>4</v>
      </c>
      <c r="AI621" t="str">
        <f>IF(C621="","",TEXT(C621, "mmmm"))</f>
        <v>September</v>
      </c>
      <c r="AJ621">
        <f>IF(C621="","",YEAR(C621))</f>
        <v>2025</v>
      </c>
      <c r="AM621" t="str">
        <f>IF(AN621="","clean","")</f>
        <v>clean</v>
      </c>
      <c r="AN621" t="s">
        <v>3595</v>
      </c>
    </row>
    <row r="622" spans="1:40">
      <c r="A622" t="s">
        <v>1195</v>
      </c>
      <c r="B622" t="s">
        <v>3769</v>
      </c>
      <c r="C622" s="6">
        <v>45826</v>
      </c>
      <c r="D622" t="s">
        <v>1196</v>
      </c>
      <c r="E622" s="6">
        <v>45832</v>
      </c>
      <c r="F622" t="s">
        <v>1197</v>
      </c>
      <c r="G622" t="s">
        <v>158</v>
      </c>
      <c r="H622" t="s">
        <v>158</v>
      </c>
      <c r="I622" t="s">
        <v>104</v>
      </c>
      <c r="J622" t="s">
        <v>104</v>
      </c>
      <c r="K622" t="s">
        <v>26</v>
      </c>
      <c r="L622" t="str">
        <f>IF(TRIM(K622)="","Unknown",PROPER(TRIM(K622)))</f>
        <v>North</v>
      </c>
      <c r="M622" t="s">
        <v>27</v>
      </c>
      <c r="N622" t="s">
        <v>28</v>
      </c>
      <c r="O622" t="s">
        <v>29</v>
      </c>
      <c r="P622" t="str">
        <f>IF(TRIM(O622)="","Unknown",PROPER(TRIM(O622)))</f>
        <v>Office Supplies</v>
      </c>
      <c r="Q622" t="s">
        <v>105</v>
      </c>
      <c r="R622" t="s">
        <v>1198</v>
      </c>
      <c r="S622" t="s">
        <v>65</v>
      </c>
      <c r="T622" t="str">
        <f>IF(TRIM(S622)="","Unknown",PROPER(TRIM(S622)))</f>
        <v>Standard Class</v>
      </c>
      <c r="U622">
        <v>3</v>
      </c>
      <c r="V622">
        <v>686.74</v>
      </c>
      <c r="W622">
        <v>0.2</v>
      </c>
      <c r="Y622">
        <v>0.2</v>
      </c>
      <c r="Z622">
        <v>1648.18</v>
      </c>
      <c r="AA622">
        <v>987.91</v>
      </c>
      <c r="AB622">
        <v>660.27</v>
      </c>
      <c r="AC622" t="s">
        <v>186</v>
      </c>
      <c r="AD622" t="s">
        <v>76</v>
      </c>
      <c r="AE622">
        <f>ROUND((U622*V622)-(U622*V622*Y622),2)</f>
        <v>1648.18</v>
      </c>
      <c r="AF622">
        <f>AE622-AA622</f>
        <v>660.2700000000001</v>
      </c>
      <c r="AG622" s="7">
        <f>ROUND((AF622/AE622),4)</f>
        <v>0.40060000000000001</v>
      </c>
      <c r="AH622">
        <f>IF(AND(C622&lt;&gt;"",E622&lt;&gt;""),E622 - C622,"")</f>
        <v>6</v>
      </c>
      <c r="AI622" t="str">
        <f>IF(C622="","",TEXT(C622, "mmmm"))</f>
        <v>June</v>
      </c>
      <c r="AJ622">
        <f>IF(C622="","",YEAR(C622))</f>
        <v>2025</v>
      </c>
      <c r="AM622" t="str">
        <f>IF(AN622="","clean","")</f>
        <v>clean</v>
      </c>
      <c r="AN622" t="s">
        <v>3595</v>
      </c>
    </row>
    <row r="623" spans="1:40">
      <c r="A623" t="s">
        <v>1199</v>
      </c>
      <c r="B623" t="s">
        <v>3770</v>
      </c>
      <c r="C623" s="6">
        <v>45803</v>
      </c>
      <c r="D623" t="s">
        <v>1200</v>
      </c>
      <c r="E623" s="6">
        <v>45809</v>
      </c>
      <c r="F623" t="s">
        <v>843</v>
      </c>
      <c r="G623" t="s">
        <v>59</v>
      </c>
      <c r="H623" t="s">
        <v>59</v>
      </c>
      <c r="I623" t="s">
        <v>40</v>
      </c>
      <c r="J623" t="s">
        <v>40</v>
      </c>
      <c r="K623" t="s">
        <v>26</v>
      </c>
      <c r="L623" t="str">
        <f>IF(TRIM(K623)="","Unknown",PROPER(TRIM(K623)))</f>
        <v>North</v>
      </c>
      <c r="M623" t="s">
        <v>454</v>
      </c>
      <c r="N623" t="s">
        <v>455</v>
      </c>
      <c r="O623" t="s">
        <v>83</v>
      </c>
      <c r="P623" t="str">
        <f>IF(TRIM(O623)="","Unknown",PROPER(TRIM(O623)))</f>
        <v>Technology</v>
      </c>
      <c r="Q623" t="s">
        <v>207</v>
      </c>
      <c r="R623" t="s">
        <v>1201</v>
      </c>
      <c r="S623" t="s">
        <v>47</v>
      </c>
      <c r="T623" t="str">
        <f>IF(TRIM(S623)="","Unknown",PROPER(TRIM(S623)))</f>
        <v>Same Day</v>
      </c>
      <c r="U623">
        <v>4</v>
      </c>
      <c r="V623">
        <v>3349.86</v>
      </c>
      <c r="W623">
        <v>0</v>
      </c>
      <c r="Y623">
        <v>0</v>
      </c>
      <c r="Z623">
        <v>13399.44</v>
      </c>
      <c r="AA623">
        <v>8581.35</v>
      </c>
      <c r="AB623">
        <v>4818.09</v>
      </c>
      <c r="AC623" t="s">
        <v>131</v>
      </c>
      <c r="AD623" t="s">
        <v>120</v>
      </c>
      <c r="AE623">
        <f>ROUND((U623*V623)-(U623*V623*Y623),2)</f>
        <v>13399.44</v>
      </c>
      <c r="AF623">
        <f>AE623-AA623</f>
        <v>4818.09</v>
      </c>
      <c r="AG623" s="7">
        <f>ROUND((AF623/AE623),4)</f>
        <v>0.35959999999999998</v>
      </c>
      <c r="AH623">
        <f>IF(AND(C623&lt;&gt;"",E623&lt;&gt;""),E623 - C623,"")</f>
        <v>6</v>
      </c>
      <c r="AI623" t="str">
        <f>IF(C623="","",TEXT(C623, "mmmm"))</f>
        <v>May</v>
      </c>
      <c r="AJ623">
        <f>IF(C623="","",YEAR(C623))</f>
        <v>2025</v>
      </c>
      <c r="AM623" t="str">
        <f>IF(AN623="","clean","")</f>
        <v>clean</v>
      </c>
      <c r="AN623" t="s">
        <v>3595</v>
      </c>
    </row>
    <row r="624" spans="1:40">
      <c r="A624" t="s">
        <v>1202</v>
      </c>
      <c r="B624" t="s">
        <v>3771</v>
      </c>
      <c r="C624" s="6">
        <v>45875</v>
      </c>
      <c r="D624" t="s">
        <v>837</v>
      </c>
      <c r="E624" s="6">
        <v>45879</v>
      </c>
      <c r="F624" t="s">
        <v>1203</v>
      </c>
      <c r="G624" t="s">
        <v>169</v>
      </c>
      <c r="H624" t="s">
        <v>169</v>
      </c>
      <c r="I624" t="s">
        <v>40</v>
      </c>
      <c r="J624" t="s">
        <v>40</v>
      </c>
      <c r="K624" t="s">
        <v>26</v>
      </c>
      <c r="L624" t="str">
        <f>IF(TRIM(K624)="","Unknown",PROPER(TRIM(K624)))</f>
        <v>North</v>
      </c>
      <c r="M624" t="s">
        <v>454</v>
      </c>
      <c r="N624" t="s">
        <v>455</v>
      </c>
      <c r="O624" t="s">
        <v>29</v>
      </c>
      <c r="P624" t="str">
        <f>IF(TRIM(O624)="","Unknown",PROPER(TRIM(O624)))</f>
        <v>Office Supplies</v>
      </c>
      <c r="Q624" t="s">
        <v>184</v>
      </c>
      <c r="R624" t="s">
        <v>1204</v>
      </c>
      <c r="S624" t="s">
        <v>32</v>
      </c>
      <c r="T624" t="str">
        <f>IF(TRIM(S624)="","Unknown",PROPER(TRIM(S624)))</f>
        <v>Second Class</v>
      </c>
      <c r="U624">
        <v>9</v>
      </c>
      <c r="V624">
        <v>4042.45</v>
      </c>
      <c r="W624">
        <v>0.1</v>
      </c>
      <c r="Y624">
        <v>0.1</v>
      </c>
      <c r="Z624">
        <v>32743.84</v>
      </c>
      <c r="AA624">
        <v>22452.05</v>
      </c>
      <c r="AB624">
        <v>10291.790000000001</v>
      </c>
      <c r="AC624" t="s">
        <v>131</v>
      </c>
      <c r="AD624" t="s">
        <v>120</v>
      </c>
      <c r="AE624">
        <f>ROUND((U624*V624)-(U624*V624*Y624),2)</f>
        <v>32743.85</v>
      </c>
      <c r="AF624">
        <f>AE624-AA624</f>
        <v>10291.799999999999</v>
      </c>
      <c r="AG624" s="7">
        <f>ROUND((AF624/AE624),4)</f>
        <v>0.31430000000000002</v>
      </c>
      <c r="AH624">
        <f>IF(AND(C624&lt;&gt;"",E624&lt;&gt;""),E624 - C624,"")</f>
        <v>4</v>
      </c>
      <c r="AI624" t="str">
        <f>IF(C624="","",TEXT(C624, "mmmm"))</f>
        <v>August</v>
      </c>
      <c r="AJ624">
        <f>IF(C624="","",YEAR(C624))</f>
        <v>2025</v>
      </c>
      <c r="AM624" t="str">
        <f>IF(AN624="","clean","")</f>
        <v>clean</v>
      </c>
    </row>
    <row r="625" spans="1:40">
      <c r="A625" t="s">
        <v>1214</v>
      </c>
      <c r="B625" t="s">
        <v>3772</v>
      </c>
      <c r="C625" s="6">
        <v>45780</v>
      </c>
      <c r="D625" t="s">
        <v>1215</v>
      </c>
      <c r="E625" s="6">
        <v>45787</v>
      </c>
      <c r="F625" t="s">
        <v>1216</v>
      </c>
      <c r="G625" t="s">
        <v>90</v>
      </c>
      <c r="H625" t="s">
        <v>90</v>
      </c>
      <c r="I625" t="s">
        <v>110</v>
      </c>
      <c r="J625" t="s">
        <v>110</v>
      </c>
      <c r="K625" t="s">
        <v>71</v>
      </c>
      <c r="L625" t="str">
        <f>IF(TRIM(K625)="","Unknown",PROPER(TRIM(K625)))</f>
        <v>West</v>
      </c>
      <c r="M625" t="s">
        <v>72</v>
      </c>
      <c r="N625" t="s">
        <v>73</v>
      </c>
      <c r="O625" t="s">
        <v>29</v>
      </c>
      <c r="P625" t="str">
        <f>IF(TRIM(O625)="","Unknown",PROPER(TRIM(O625)))</f>
        <v>Office Supplies</v>
      </c>
      <c r="Q625" t="s">
        <v>148</v>
      </c>
      <c r="R625" t="s">
        <v>1217</v>
      </c>
      <c r="S625" t="s">
        <v>32</v>
      </c>
      <c r="T625" t="str">
        <f>IF(TRIM(S625)="","Unknown",PROPER(TRIM(S625)))</f>
        <v>Second Class</v>
      </c>
      <c r="U625">
        <v>3</v>
      </c>
      <c r="V625">
        <v>4339.24</v>
      </c>
      <c r="W625">
        <v>0</v>
      </c>
      <c r="Y625">
        <v>0</v>
      </c>
      <c r="Z625">
        <v>13017.72</v>
      </c>
      <c r="AA625">
        <v>10170.57</v>
      </c>
      <c r="AB625">
        <v>2847.15</v>
      </c>
      <c r="AC625" t="s">
        <v>33</v>
      </c>
      <c r="AD625" t="s">
        <v>34</v>
      </c>
      <c r="AE625">
        <f>ROUND((U625*V625)-(U625*V625*Y625),2)</f>
        <v>13017.72</v>
      </c>
      <c r="AF625">
        <f>AE625-AA625</f>
        <v>2847.1499999999996</v>
      </c>
      <c r="AG625" s="7">
        <f>ROUND((AF625/AE625),4)</f>
        <v>0.21870000000000001</v>
      </c>
      <c r="AH625">
        <f>IF(AND(C625&lt;&gt;"",E625&lt;&gt;""),E625 - C625,"")</f>
        <v>7</v>
      </c>
      <c r="AI625" t="str">
        <f>IF(C625="","",TEXT(C625, "mmmm"))</f>
        <v>May</v>
      </c>
      <c r="AJ625">
        <f>IF(C625="","",YEAR(C625))</f>
        <v>2025</v>
      </c>
      <c r="AM625" t="str">
        <f>IF(AN625="","clean","")</f>
        <v>clean</v>
      </c>
      <c r="AN625" t="s">
        <v>3595</v>
      </c>
    </row>
    <row r="626" spans="1:40">
      <c r="A626" t="s">
        <v>1218</v>
      </c>
      <c r="B626" t="s">
        <v>901</v>
      </c>
      <c r="C626" s="6">
        <v>45805</v>
      </c>
      <c r="D626" t="s">
        <v>1219</v>
      </c>
      <c r="E626" s="6">
        <v>45812</v>
      </c>
      <c r="F626" t="s">
        <v>1220</v>
      </c>
      <c r="G626" t="s">
        <v>196</v>
      </c>
      <c r="H626" t="s">
        <v>196</v>
      </c>
      <c r="I626" t="s">
        <v>104</v>
      </c>
      <c r="J626" t="s">
        <v>104</v>
      </c>
      <c r="K626" t="s">
        <v>41</v>
      </c>
      <c r="L626" t="str">
        <f>IF(TRIM(K626)="","Unknown",PROPER(TRIM(K626)))</f>
        <v>East</v>
      </c>
      <c r="M626" t="s">
        <v>284</v>
      </c>
      <c r="N626" t="s">
        <v>285</v>
      </c>
      <c r="O626" t="s">
        <v>44</v>
      </c>
      <c r="P626" t="str">
        <f>IF(TRIM(O626)="","Unknown",PROPER(TRIM(O626)))</f>
        <v>Furniture</v>
      </c>
      <c r="Q626" t="s">
        <v>63</v>
      </c>
      <c r="R626" t="s">
        <v>1221</v>
      </c>
      <c r="S626" t="s">
        <v>55</v>
      </c>
      <c r="T626" t="str">
        <f>IF(TRIM(S626)="","Unknown",PROPER(TRIM(S626)))</f>
        <v>First Class</v>
      </c>
      <c r="U626">
        <v>4</v>
      </c>
      <c r="V626">
        <v>261.8</v>
      </c>
      <c r="W626">
        <v>0.25</v>
      </c>
      <c r="Y626">
        <v>0.25</v>
      </c>
      <c r="Z626">
        <v>785.4</v>
      </c>
      <c r="AA626">
        <v>557.22</v>
      </c>
      <c r="AB626">
        <v>228.18</v>
      </c>
      <c r="AC626" t="s">
        <v>33</v>
      </c>
      <c r="AD626" t="s">
        <v>34</v>
      </c>
      <c r="AE626">
        <f>ROUND((U626*V626)-(U626*V626*Y626),2)</f>
        <v>785.4</v>
      </c>
      <c r="AF626">
        <f>AE626-AA626</f>
        <v>228.17999999999995</v>
      </c>
      <c r="AG626" s="7">
        <f>ROUND((AF626/AE626),4)</f>
        <v>0.29049999999999998</v>
      </c>
      <c r="AH626">
        <f>IF(AND(C626&lt;&gt;"",E626&lt;&gt;""),E626 - C626,"")</f>
        <v>7</v>
      </c>
      <c r="AI626" t="str">
        <f>IF(C626="","",TEXT(C626, "mmmm"))</f>
        <v>May</v>
      </c>
      <c r="AJ626">
        <f>IF(C626="","",YEAR(C626))</f>
        <v>2025</v>
      </c>
      <c r="AM626" t="str">
        <f>IF(AN626="","clean","")</f>
        <v>clean</v>
      </c>
      <c r="AN626" t="s">
        <v>3595</v>
      </c>
    </row>
    <row r="627" spans="1:40">
      <c r="A627" t="s">
        <v>1222</v>
      </c>
      <c r="B627" t="s">
        <v>1223</v>
      </c>
      <c r="C627" s="6">
        <v>45886</v>
      </c>
      <c r="D627" t="s">
        <v>1223</v>
      </c>
      <c r="E627" s="6">
        <v>45886</v>
      </c>
      <c r="F627" t="s">
        <v>1224</v>
      </c>
      <c r="G627" t="s">
        <v>153</v>
      </c>
      <c r="H627" t="s">
        <v>153</v>
      </c>
      <c r="I627" t="s">
        <v>110</v>
      </c>
      <c r="J627" t="s">
        <v>110</v>
      </c>
      <c r="K627" t="s">
        <v>26</v>
      </c>
      <c r="L627" t="str">
        <f>IF(TRIM(K627)="","Unknown",PROPER(TRIM(K627)))</f>
        <v>North</v>
      </c>
      <c r="M627" t="s">
        <v>146</v>
      </c>
      <c r="N627" t="s">
        <v>147</v>
      </c>
      <c r="O627" t="s">
        <v>83</v>
      </c>
      <c r="P627" t="str">
        <f>IF(TRIM(O627)="","Unknown",PROPER(TRIM(O627)))</f>
        <v>Technology</v>
      </c>
      <c r="Q627" t="s">
        <v>84</v>
      </c>
      <c r="R627" t="s">
        <v>1225</v>
      </c>
      <c r="S627" t="s">
        <v>55</v>
      </c>
      <c r="T627" t="str">
        <f>IF(TRIM(S627)="","Unknown",PROPER(TRIM(S627)))</f>
        <v>First Class</v>
      </c>
      <c r="U627">
        <v>7</v>
      </c>
      <c r="V627">
        <v>632.20000000000005</v>
      </c>
      <c r="W627">
        <v>0.25</v>
      </c>
      <c r="Y627">
        <v>0.25</v>
      </c>
      <c r="Z627">
        <v>3319.05</v>
      </c>
      <c r="AA627">
        <v>2124.6</v>
      </c>
      <c r="AB627">
        <v>1194.45</v>
      </c>
      <c r="AC627" t="s">
        <v>33</v>
      </c>
      <c r="AD627" t="s">
        <v>34</v>
      </c>
      <c r="AE627">
        <f>ROUND((U627*V627)-(U627*V627*Y627),2)</f>
        <v>3319.05</v>
      </c>
      <c r="AF627">
        <f>AE627-AA627</f>
        <v>1194.4500000000003</v>
      </c>
      <c r="AG627" s="7">
        <f>ROUND((AF627/AE627),4)</f>
        <v>0.3599</v>
      </c>
      <c r="AH627">
        <f>IF(AND(C627&lt;&gt;"",E627&lt;&gt;""),E627 - C627,"")</f>
        <v>0</v>
      </c>
      <c r="AI627" t="str">
        <f>IF(C627="","",TEXT(C627, "mmmm"))</f>
        <v>August</v>
      </c>
      <c r="AJ627">
        <f>IF(C627="","",YEAR(C627))</f>
        <v>2025</v>
      </c>
      <c r="AM627" t="str">
        <f>IF(AN627="","clean","")</f>
        <v>clean</v>
      </c>
      <c r="AN627" t="s">
        <v>3595</v>
      </c>
    </row>
    <row r="628" spans="1:40">
      <c r="A628" t="s">
        <v>1226</v>
      </c>
      <c r="B628" t="s">
        <v>1173</v>
      </c>
      <c r="C628" s="6">
        <v>45698</v>
      </c>
      <c r="D628" t="s">
        <v>1227</v>
      </c>
      <c r="E628" s="6">
        <v>45700</v>
      </c>
      <c r="F628" t="s">
        <v>1228</v>
      </c>
      <c r="G628" t="s">
        <v>141</v>
      </c>
      <c r="H628" t="s">
        <v>141</v>
      </c>
      <c r="I628" t="s">
        <v>40</v>
      </c>
      <c r="J628" t="s">
        <v>40</v>
      </c>
      <c r="K628" t="s">
        <v>71</v>
      </c>
      <c r="L628" t="str">
        <f>IF(TRIM(K628)="","Unknown",PROPER(TRIM(K628)))</f>
        <v>West</v>
      </c>
      <c r="M628" t="s">
        <v>27</v>
      </c>
      <c r="N628" t="s">
        <v>129</v>
      </c>
      <c r="O628" t="s">
        <v>44</v>
      </c>
      <c r="P628" t="str">
        <f>IF(TRIM(O628)="","Unknown",PROPER(TRIM(O628)))</f>
        <v>Furniture</v>
      </c>
      <c r="Q628" t="s">
        <v>45</v>
      </c>
      <c r="R628" t="s">
        <v>1229</v>
      </c>
      <c r="S628" t="s">
        <v>47</v>
      </c>
      <c r="T628" t="str">
        <f>IF(TRIM(S628)="","Unknown",PROPER(TRIM(S628)))</f>
        <v>Same Day</v>
      </c>
      <c r="U628">
        <v>1</v>
      </c>
      <c r="V628">
        <v>1925.86</v>
      </c>
      <c r="W628">
        <v>0</v>
      </c>
      <c r="Y628">
        <v>0</v>
      </c>
      <c r="Z628">
        <v>1925.86</v>
      </c>
      <c r="AA628">
        <v>1321.89</v>
      </c>
      <c r="AB628">
        <v>603.97</v>
      </c>
      <c r="AC628" t="s">
        <v>33</v>
      </c>
      <c r="AD628" t="s">
        <v>34</v>
      </c>
      <c r="AE628">
        <f>ROUND((U628*V628)-(U628*V628*Y628),2)</f>
        <v>1925.86</v>
      </c>
      <c r="AF628">
        <f>AE628-AA628</f>
        <v>603.9699999999998</v>
      </c>
      <c r="AG628" s="7">
        <f>ROUND((AF628/AE628),4)</f>
        <v>0.31359999999999999</v>
      </c>
      <c r="AH628">
        <f>IF(AND(C628&lt;&gt;"",E628&lt;&gt;""),E628 - C628,"")</f>
        <v>2</v>
      </c>
      <c r="AI628" t="str">
        <f>IF(C628="","",TEXT(C628, "mmmm"))</f>
        <v>February</v>
      </c>
      <c r="AJ628">
        <f>IF(C628="","",YEAR(C628))</f>
        <v>2025</v>
      </c>
      <c r="AM628" t="str">
        <f>IF(AN628="","clean","")</f>
        <v>clean</v>
      </c>
      <c r="AN628" t="s">
        <v>3595</v>
      </c>
    </row>
    <row r="629" spans="1:40">
      <c r="A629" t="s">
        <v>1242</v>
      </c>
      <c r="B629" t="s">
        <v>3774</v>
      </c>
      <c r="C629" s="6">
        <v>45701</v>
      </c>
      <c r="D629" t="s">
        <v>1243</v>
      </c>
      <c r="E629" s="6">
        <v>45701</v>
      </c>
      <c r="F629" t="s">
        <v>1244</v>
      </c>
      <c r="G629" t="s">
        <v>52</v>
      </c>
      <c r="H629" t="s">
        <v>52</v>
      </c>
      <c r="I629" t="s">
        <v>25</v>
      </c>
      <c r="J629" t="s">
        <v>25</v>
      </c>
      <c r="K629" t="s">
        <v>41</v>
      </c>
      <c r="L629" t="str">
        <f>IF(TRIM(K629)="","Unknown",PROPER(TRIM(K629)))</f>
        <v>East</v>
      </c>
      <c r="M629" t="s">
        <v>174</v>
      </c>
      <c r="N629" t="s">
        <v>175</v>
      </c>
      <c r="O629" t="s">
        <v>29</v>
      </c>
      <c r="P629" t="str">
        <f>IF(TRIM(O629)="","Unknown",PROPER(TRIM(O629)))</f>
        <v>Office Supplies</v>
      </c>
      <c r="Q629" t="s">
        <v>30</v>
      </c>
      <c r="R629" t="s">
        <v>1245</v>
      </c>
      <c r="S629" t="s">
        <v>32</v>
      </c>
      <c r="T629" t="str">
        <f>IF(TRIM(S629)="","Unknown",PROPER(TRIM(S629)))</f>
        <v>Second Class</v>
      </c>
      <c r="U629">
        <v>9</v>
      </c>
      <c r="V629">
        <v>2521.63</v>
      </c>
      <c r="W629">
        <v>0</v>
      </c>
      <c r="Y629">
        <v>0</v>
      </c>
      <c r="Z629">
        <v>22694.67</v>
      </c>
      <c r="AA629">
        <v>15405.36</v>
      </c>
      <c r="AB629">
        <v>7289.31</v>
      </c>
      <c r="AC629" t="s">
        <v>33</v>
      </c>
      <c r="AD629" t="s">
        <v>120</v>
      </c>
      <c r="AE629">
        <f>ROUND((U629*V629)-(U629*V629*Y629),2)</f>
        <v>22694.67</v>
      </c>
      <c r="AF629">
        <f>AE629-AA629</f>
        <v>7289.3099999999977</v>
      </c>
      <c r="AG629" s="7">
        <f>ROUND((AF629/AE629),4)</f>
        <v>0.32119999999999999</v>
      </c>
      <c r="AH629">
        <f>IF(AND(C629&lt;&gt;"",E629&lt;&gt;""),E629 - C629,"")</f>
        <v>0</v>
      </c>
      <c r="AI629" t="str">
        <f>IF(C629="","",TEXT(C629, "mmmm"))</f>
        <v>February</v>
      </c>
      <c r="AJ629">
        <f>IF(C629="","",YEAR(C629))</f>
        <v>2025</v>
      </c>
      <c r="AM629" t="str">
        <f>IF(AN629="","clean","")</f>
        <v>clean</v>
      </c>
      <c r="AN629" t="s">
        <v>3595</v>
      </c>
    </row>
    <row r="630" spans="1:40">
      <c r="A630" t="s">
        <v>1259</v>
      </c>
      <c r="B630" t="s">
        <v>1260</v>
      </c>
      <c r="C630" s="6">
        <v>45812</v>
      </c>
      <c r="D630" t="s">
        <v>1260</v>
      </c>
      <c r="E630" s="6">
        <v>45812</v>
      </c>
      <c r="F630" t="s">
        <v>1063</v>
      </c>
      <c r="G630" t="s">
        <v>52</v>
      </c>
      <c r="H630" t="s">
        <v>52</v>
      </c>
      <c r="I630" t="s">
        <v>104</v>
      </c>
      <c r="J630" t="s">
        <v>104</v>
      </c>
      <c r="K630" t="s">
        <v>26</v>
      </c>
      <c r="L630" t="str">
        <f>IF(TRIM(K630)="","Unknown",PROPER(TRIM(K630)))</f>
        <v>North</v>
      </c>
      <c r="M630" t="s">
        <v>294</v>
      </c>
      <c r="N630" t="s">
        <v>295</v>
      </c>
      <c r="O630" t="s">
        <v>83</v>
      </c>
      <c r="P630" t="str">
        <f>IF(TRIM(O630)="","Unknown",PROPER(TRIM(O630)))</f>
        <v>Technology</v>
      </c>
      <c r="Q630" t="s">
        <v>84</v>
      </c>
      <c r="R630" t="s">
        <v>1261</v>
      </c>
      <c r="S630" t="s">
        <v>32</v>
      </c>
      <c r="T630" t="str">
        <f>IF(TRIM(S630)="","Unknown",PROPER(TRIM(S630)))</f>
        <v>Second Class</v>
      </c>
      <c r="U630">
        <v>1</v>
      </c>
      <c r="V630">
        <v>2133.73</v>
      </c>
      <c r="W630">
        <v>0.15</v>
      </c>
      <c r="Y630">
        <v>0.06</v>
      </c>
      <c r="Z630">
        <v>2008.39</v>
      </c>
      <c r="AA630">
        <v>1002.57</v>
      </c>
      <c r="AB630">
        <v>811.1</v>
      </c>
      <c r="AC630" t="s">
        <v>131</v>
      </c>
      <c r="AD630" t="s">
        <v>76</v>
      </c>
      <c r="AE630">
        <f>ROUND((U630*V630)-(U630*V630*Y630),2)</f>
        <v>2005.71</v>
      </c>
      <c r="AF630">
        <f>AE630-AA630</f>
        <v>1003.14</v>
      </c>
      <c r="AG630" s="7">
        <f>ROUND((AF630/AE630),4)</f>
        <v>0.50009999999999999</v>
      </c>
      <c r="AH630">
        <f>IF(AND(C630&lt;&gt;"",E630&lt;&gt;""),E630 - C630,"")</f>
        <v>0</v>
      </c>
      <c r="AI630" t="str">
        <f>IF(C630="","",TEXT(C630, "mmmm"))</f>
        <v>June</v>
      </c>
      <c r="AJ630">
        <f>IF(C630="","",YEAR(C630))</f>
        <v>2025</v>
      </c>
      <c r="AM630" t="s">
        <v>4145</v>
      </c>
      <c r="AN630" t="s">
        <v>3596</v>
      </c>
    </row>
    <row r="631" spans="1:40">
      <c r="A631" t="s">
        <v>1262</v>
      </c>
      <c r="B631" t="s">
        <v>701</v>
      </c>
      <c r="C631" s="6">
        <v>45723</v>
      </c>
      <c r="D631" t="s">
        <v>1263</v>
      </c>
      <c r="E631" s="6">
        <v>45730</v>
      </c>
      <c r="F631" t="s">
        <v>1264</v>
      </c>
      <c r="G631" t="s">
        <v>136</v>
      </c>
      <c r="H631" t="s">
        <v>136</v>
      </c>
      <c r="I631" t="s">
        <v>40</v>
      </c>
      <c r="J631" t="s">
        <v>40</v>
      </c>
      <c r="K631" t="s">
        <v>26</v>
      </c>
      <c r="L631" t="str">
        <f>IF(TRIM(K631)="","Unknown",PROPER(TRIM(K631)))</f>
        <v>North</v>
      </c>
      <c r="M631" t="s">
        <v>454</v>
      </c>
      <c r="N631" t="s">
        <v>455</v>
      </c>
      <c r="O631" t="s">
        <v>83</v>
      </c>
      <c r="P631" t="str">
        <f>IF(TRIM(O631)="","Unknown",PROPER(TRIM(O631)))</f>
        <v>Technology</v>
      </c>
      <c r="Q631" t="s">
        <v>84</v>
      </c>
      <c r="R631" t="s">
        <v>1265</v>
      </c>
      <c r="S631" t="s">
        <v>47</v>
      </c>
      <c r="T631" t="str">
        <f>IF(TRIM(S631)="","Unknown",PROPER(TRIM(S631)))</f>
        <v>Same Day</v>
      </c>
      <c r="U631">
        <v>1</v>
      </c>
      <c r="V631">
        <v>3979.64</v>
      </c>
      <c r="W631">
        <v>0.05</v>
      </c>
      <c r="Y631">
        <v>0.05</v>
      </c>
      <c r="Z631">
        <v>3780.66</v>
      </c>
      <c r="AA631">
        <v>2148.31</v>
      </c>
      <c r="AB631">
        <v>1632.35</v>
      </c>
      <c r="AC631" t="s">
        <v>33</v>
      </c>
      <c r="AD631" t="s">
        <v>120</v>
      </c>
      <c r="AE631">
        <f>ROUND((U631*V631)-(U631*V631*Y631),2)</f>
        <v>3780.66</v>
      </c>
      <c r="AF631">
        <f>AE631-AA631</f>
        <v>1632.35</v>
      </c>
      <c r="AG631" s="7">
        <f>ROUND((AF631/AE631),4)</f>
        <v>0.43180000000000002</v>
      </c>
      <c r="AH631">
        <f>IF(AND(C631&lt;&gt;"",E631&lt;&gt;""),E631 - C631,"")</f>
        <v>7</v>
      </c>
      <c r="AI631" t="str">
        <f>IF(C631="","",TEXT(C631, "mmmm"))</f>
        <v>March</v>
      </c>
      <c r="AJ631">
        <f>IF(C631="","",YEAR(C631))</f>
        <v>2025</v>
      </c>
      <c r="AM631" t="str">
        <f>IF(AN631="","clean","")</f>
        <v>clean</v>
      </c>
      <c r="AN631" t="s">
        <v>3595</v>
      </c>
    </row>
    <row r="632" spans="1:40">
      <c r="A632" t="s">
        <v>1274</v>
      </c>
      <c r="B632" t="s">
        <v>3777</v>
      </c>
      <c r="D632" t="s">
        <v>1275</v>
      </c>
      <c r="E632" s="6">
        <v>45865</v>
      </c>
      <c r="F632" t="s">
        <v>1276</v>
      </c>
      <c r="G632" t="s">
        <v>334</v>
      </c>
      <c r="H632" t="s">
        <v>334</v>
      </c>
      <c r="I632" t="s">
        <v>25</v>
      </c>
      <c r="J632" t="s">
        <v>25</v>
      </c>
      <c r="K632" t="s">
        <v>41</v>
      </c>
      <c r="L632" t="str">
        <f>IF(TRIM(K632)="","Unknown",PROPER(TRIM(K632)))</f>
        <v>East</v>
      </c>
      <c r="M632" t="s">
        <v>284</v>
      </c>
      <c r="N632" t="s">
        <v>285</v>
      </c>
      <c r="O632" t="s">
        <v>29</v>
      </c>
      <c r="P632" t="str">
        <f>IF(TRIM(O632)="","Unknown",PROPER(TRIM(O632)))</f>
        <v>Office Supplies</v>
      </c>
      <c r="Q632" t="s">
        <v>184</v>
      </c>
      <c r="R632" t="s">
        <v>1277</v>
      </c>
      <c r="S632" t="s">
        <v>32</v>
      </c>
      <c r="T632" t="str">
        <f>IF(TRIM(S632)="","Unknown",PROPER(TRIM(S632)))</f>
        <v>Second Class</v>
      </c>
      <c r="U632">
        <v>6</v>
      </c>
      <c r="V632">
        <v>3438.38</v>
      </c>
      <c r="W632">
        <v>0.2</v>
      </c>
      <c r="Y632">
        <v>0.2</v>
      </c>
      <c r="Z632">
        <v>16504.22</v>
      </c>
      <c r="AA632">
        <v>11262.71</v>
      </c>
      <c r="AB632">
        <v>5241.51</v>
      </c>
      <c r="AC632" t="s">
        <v>33</v>
      </c>
      <c r="AD632" t="s">
        <v>34</v>
      </c>
      <c r="AE632">
        <f>ROUND((U632*V632)-(U632*V632*Y632),2)</f>
        <v>16504.22</v>
      </c>
      <c r="AF632">
        <f>AE632-AA632</f>
        <v>5241.510000000002</v>
      </c>
      <c r="AG632" s="7">
        <f>ROUND((AF632/AE632),4)</f>
        <v>0.31759999999999999</v>
      </c>
      <c r="AH632" t="str">
        <f>IF(AND(C632&lt;&gt;"",E632&lt;&gt;""),E632 - C632,"")</f>
        <v/>
      </c>
      <c r="AI632" t="str">
        <f>IF(C632="","",TEXT(C632, "mmmm"))</f>
        <v/>
      </c>
      <c r="AJ632" t="str">
        <f>IF(C632="","",YEAR(C632))</f>
        <v/>
      </c>
      <c r="AM632" t="s">
        <v>4144</v>
      </c>
      <c r="AN632" t="s">
        <v>4127</v>
      </c>
    </row>
    <row r="633" spans="1:40">
      <c r="A633" t="s">
        <v>1282</v>
      </c>
      <c r="B633" t="s">
        <v>1283</v>
      </c>
      <c r="C633" s="6">
        <v>45729</v>
      </c>
      <c r="D633" t="s">
        <v>1284</v>
      </c>
      <c r="F633" t="s">
        <v>1285</v>
      </c>
      <c r="G633" t="s">
        <v>80</v>
      </c>
      <c r="H633" t="s">
        <v>80</v>
      </c>
      <c r="I633" t="s">
        <v>25</v>
      </c>
      <c r="J633" t="s">
        <v>25</v>
      </c>
      <c r="K633" t="s">
        <v>71</v>
      </c>
      <c r="L633" t="str">
        <f>IF(TRIM(K633)="","Unknown",PROPER(TRIM(K633)))</f>
        <v>West</v>
      </c>
      <c r="M633" t="s">
        <v>72</v>
      </c>
      <c r="N633" t="s">
        <v>73</v>
      </c>
      <c r="O633" t="s">
        <v>44</v>
      </c>
      <c r="P633" t="str">
        <f>IF(TRIM(O633)="","Unknown",PROPER(TRIM(O633)))</f>
        <v>Furniture</v>
      </c>
      <c r="Q633" t="s">
        <v>63</v>
      </c>
      <c r="R633" t="s">
        <v>1286</v>
      </c>
      <c r="S633" t="s">
        <v>55</v>
      </c>
      <c r="T633" t="str">
        <f>IF(TRIM(S633)="","Unknown",PROPER(TRIM(S633)))</f>
        <v>First Class</v>
      </c>
      <c r="U633">
        <v>1</v>
      </c>
      <c r="V633">
        <v>1814.01</v>
      </c>
      <c r="W633">
        <v>0</v>
      </c>
      <c r="Y633">
        <v>0</v>
      </c>
      <c r="Z633">
        <v>1814.01</v>
      </c>
      <c r="AA633">
        <v>1033.47</v>
      </c>
      <c r="AB633">
        <v>780.54</v>
      </c>
      <c r="AC633" t="s">
        <v>33</v>
      </c>
      <c r="AD633" t="s">
        <v>34</v>
      </c>
      <c r="AE633">
        <f>ROUND((U633*V633)-(U633*V633*Y633),2)</f>
        <v>1814.01</v>
      </c>
      <c r="AF633">
        <f>AE633-AA633</f>
        <v>780.54</v>
      </c>
      <c r="AG633" s="7">
        <f>ROUND((AF633/AE633),4)</f>
        <v>0.43030000000000002</v>
      </c>
      <c r="AH633" t="str">
        <f>IF(AND(C633&lt;&gt;"",E633&lt;&gt;""),E633 - C633,"")</f>
        <v/>
      </c>
      <c r="AI633" t="str">
        <f>IF(C633="","",TEXT(C633, "mmmm"))</f>
        <v>March</v>
      </c>
      <c r="AJ633">
        <f>IF(C633="","",YEAR(C633))</f>
        <v>2025</v>
      </c>
      <c r="AM633" t="s">
        <v>4144</v>
      </c>
      <c r="AN633" t="s">
        <v>4136</v>
      </c>
    </row>
    <row r="634" spans="1:40">
      <c r="A634" t="s">
        <v>1292</v>
      </c>
      <c r="B634" t="s">
        <v>3779</v>
      </c>
      <c r="C634" s="6">
        <v>45884</v>
      </c>
      <c r="D634" t="s">
        <v>1293</v>
      </c>
      <c r="E634" s="6">
        <v>45889</v>
      </c>
      <c r="F634" t="s">
        <v>1294</v>
      </c>
      <c r="G634" t="s">
        <v>90</v>
      </c>
      <c r="H634" t="s">
        <v>90</v>
      </c>
      <c r="I634" t="s">
        <v>110</v>
      </c>
      <c r="J634" t="s">
        <v>110</v>
      </c>
      <c r="K634" t="s">
        <v>26</v>
      </c>
      <c r="L634" t="str">
        <f>IF(TRIM(K634)="","Unknown",PROPER(TRIM(K634)))</f>
        <v>North</v>
      </c>
      <c r="M634" t="s">
        <v>27</v>
      </c>
      <c r="N634" t="s">
        <v>28</v>
      </c>
      <c r="O634" t="s">
        <v>29</v>
      </c>
      <c r="P634" t="str">
        <f>IF(TRIM(O634)="","Unknown",PROPER(TRIM(O634)))</f>
        <v>Office Supplies</v>
      </c>
      <c r="Q634" t="s">
        <v>148</v>
      </c>
      <c r="R634" t="s">
        <v>1295</v>
      </c>
      <c r="S634" t="s">
        <v>65</v>
      </c>
      <c r="T634" t="str">
        <f>IF(TRIM(S634)="","Unknown",PROPER(TRIM(S634)))</f>
        <v>Standard Class</v>
      </c>
      <c r="U634">
        <v>9</v>
      </c>
      <c r="V634">
        <v>4081.77</v>
      </c>
      <c r="W634">
        <v>0</v>
      </c>
      <c r="Y634">
        <v>0</v>
      </c>
      <c r="Z634">
        <v>36735.93</v>
      </c>
      <c r="AA634">
        <v>30820.84</v>
      </c>
      <c r="AB634">
        <v>5915.09</v>
      </c>
      <c r="AC634" t="s">
        <v>33</v>
      </c>
      <c r="AD634" t="s">
        <v>34</v>
      </c>
      <c r="AE634">
        <f>ROUND((U634*V634)-(U634*V634*Y634),2)</f>
        <v>36735.93</v>
      </c>
      <c r="AF634">
        <f>AE634-AA634</f>
        <v>5915.09</v>
      </c>
      <c r="AG634" s="7">
        <f>ROUND((AF634/AE634),4)</f>
        <v>0.161</v>
      </c>
      <c r="AH634">
        <f>IF(AND(C634&lt;&gt;"",E634&lt;&gt;""),E634 - C634,"")</f>
        <v>5</v>
      </c>
      <c r="AI634" t="str">
        <f>IF(C634="","",TEXT(C634, "mmmm"))</f>
        <v>August</v>
      </c>
      <c r="AJ634">
        <f>IF(C634="","",YEAR(C634))</f>
        <v>2025</v>
      </c>
      <c r="AM634" t="str">
        <f>IF(AN634="","clean","")</f>
        <v>clean</v>
      </c>
      <c r="AN634" t="s">
        <v>3595</v>
      </c>
    </row>
    <row r="635" spans="1:40">
      <c r="A635" t="s">
        <v>1309</v>
      </c>
      <c r="B635" t="s">
        <v>234</v>
      </c>
      <c r="C635" s="6">
        <v>45827</v>
      </c>
      <c r="D635" t="s">
        <v>580</v>
      </c>
      <c r="E635" s="6">
        <v>45835</v>
      </c>
      <c r="F635" t="s">
        <v>1310</v>
      </c>
      <c r="G635" t="s">
        <v>24</v>
      </c>
      <c r="H635" t="s">
        <v>24</v>
      </c>
      <c r="I635" t="s">
        <v>110</v>
      </c>
      <c r="J635" t="s">
        <v>110</v>
      </c>
      <c r="K635" t="s">
        <v>60</v>
      </c>
      <c r="L635" t="str">
        <f>IF(TRIM(K635)="","Unknown",PROPER(TRIM(K635)))</f>
        <v>South</v>
      </c>
      <c r="M635" t="s">
        <v>309</v>
      </c>
      <c r="N635" t="s">
        <v>310</v>
      </c>
      <c r="O635" t="s">
        <v>44</v>
      </c>
      <c r="P635" t="str">
        <f>IF(TRIM(O635)="","Unknown",PROPER(TRIM(O635)))</f>
        <v>Furniture</v>
      </c>
      <c r="Q635" t="s">
        <v>190</v>
      </c>
      <c r="R635" t="s">
        <v>1311</v>
      </c>
      <c r="S635" t="s">
        <v>55</v>
      </c>
      <c r="T635" t="str">
        <f>IF(TRIM(S635)="","Unknown",PROPER(TRIM(S635)))</f>
        <v>First Class</v>
      </c>
      <c r="U635">
        <v>2</v>
      </c>
      <c r="V635">
        <v>4346.6899999999996</v>
      </c>
      <c r="W635">
        <v>0.05</v>
      </c>
      <c r="Y635">
        <v>0.05</v>
      </c>
      <c r="Z635">
        <v>8258.7099999999991</v>
      </c>
      <c r="AA635">
        <v>7018.97</v>
      </c>
      <c r="AB635">
        <v>1239.74</v>
      </c>
      <c r="AC635" t="s">
        <v>33</v>
      </c>
      <c r="AD635" t="s">
        <v>34</v>
      </c>
      <c r="AE635">
        <f>ROUND((U635*V635)-(U635*V635*Y635),2)</f>
        <v>8258.7099999999991</v>
      </c>
      <c r="AF635">
        <f>AE635-AA635</f>
        <v>1239.7399999999989</v>
      </c>
      <c r="AG635" s="7">
        <f>ROUND((AF635/AE635),4)</f>
        <v>0.15010000000000001</v>
      </c>
      <c r="AH635">
        <f>IF(AND(C635&lt;&gt;"",E635&lt;&gt;""),E635 - C635,"")</f>
        <v>8</v>
      </c>
      <c r="AI635" t="str">
        <f>IF(C635="","",TEXT(C635, "mmmm"))</f>
        <v>June</v>
      </c>
      <c r="AJ635">
        <f>IF(C635="","",YEAR(C635))</f>
        <v>2025</v>
      </c>
      <c r="AM635" t="str">
        <f>IF(AN635="","clean","")</f>
        <v>clean</v>
      </c>
      <c r="AN635" t="s">
        <v>3595</v>
      </c>
    </row>
    <row r="636" spans="1:40">
      <c r="A636" t="s">
        <v>1312</v>
      </c>
      <c r="B636" t="s">
        <v>1313</v>
      </c>
      <c r="C636" s="6">
        <v>45891</v>
      </c>
      <c r="D636" t="s">
        <v>1314</v>
      </c>
      <c r="E636" s="6">
        <v>45895</v>
      </c>
      <c r="F636" t="s">
        <v>1315</v>
      </c>
      <c r="G636" t="s">
        <v>196</v>
      </c>
      <c r="H636" t="s">
        <v>196</v>
      </c>
      <c r="I636" t="s">
        <v>110</v>
      </c>
      <c r="J636" t="s">
        <v>110</v>
      </c>
      <c r="K636" t="s">
        <v>41</v>
      </c>
      <c r="L636" t="str">
        <f>IF(TRIM(K636)="","Unknown",PROPER(TRIM(K636)))</f>
        <v>East</v>
      </c>
      <c r="M636" t="s">
        <v>284</v>
      </c>
      <c r="N636" t="s">
        <v>285</v>
      </c>
      <c r="O636" t="s">
        <v>44</v>
      </c>
      <c r="P636" t="str">
        <f>IF(TRIM(O636)="","Unknown",PROPER(TRIM(O636)))</f>
        <v>Furniture</v>
      </c>
      <c r="Q636" t="s">
        <v>45</v>
      </c>
      <c r="R636" t="s">
        <v>1316</v>
      </c>
      <c r="S636" t="s">
        <v>65</v>
      </c>
      <c r="T636" t="str">
        <f>IF(TRIM(S636)="","Unknown",PROPER(TRIM(S636)))</f>
        <v>Standard Class</v>
      </c>
      <c r="U636">
        <v>1</v>
      </c>
      <c r="V636">
        <v>1842.63</v>
      </c>
      <c r="W636">
        <v>0.1</v>
      </c>
      <c r="Y636">
        <v>0.1</v>
      </c>
      <c r="Z636">
        <v>1658.37</v>
      </c>
      <c r="AA636">
        <v>971.12</v>
      </c>
      <c r="AB636">
        <v>687.25</v>
      </c>
      <c r="AC636" t="s">
        <v>33</v>
      </c>
      <c r="AD636" t="s">
        <v>34</v>
      </c>
      <c r="AE636">
        <f>ROUND((U636*V636)-(U636*V636*Y636),2)</f>
        <v>1658.37</v>
      </c>
      <c r="AF636">
        <f>AE636-AA636</f>
        <v>687.24999999999989</v>
      </c>
      <c r="AG636" s="7">
        <f>ROUND((AF636/AE636),4)</f>
        <v>0.41439999999999999</v>
      </c>
      <c r="AH636">
        <f>IF(AND(C636&lt;&gt;"",E636&lt;&gt;""),E636 - C636,"")</f>
        <v>4</v>
      </c>
      <c r="AI636" t="str">
        <f>IF(C636="","",TEXT(C636, "mmmm"))</f>
        <v>August</v>
      </c>
      <c r="AJ636">
        <f>IF(C636="","",YEAR(C636))</f>
        <v>2025</v>
      </c>
      <c r="AM636" t="str">
        <f>IF(AN636="","clean","")</f>
        <v>clean</v>
      </c>
      <c r="AN636" t="s">
        <v>3595</v>
      </c>
    </row>
    <row r="637" spans="1:40">
      <c r="A637" t="s">
        <v>1321</v>
      </c>
      <c r="B637" t="s">
        <v>3782</v>
      </c>
      <c r="C637" s="6">
        <v>45716</v>
      </c>
      <c r="D637" t="s">
        <v>1322</v>
      </c>
      <c r="E637" s="6">
        <v>45719</v>
      </c>
      <c r="F637" t="s">
        <v>1323</v>
      </c>
      <c r="G637" t="s">
        <v>334</v>
      </c>
      <c r="H637" t="s">
        <v>334</v>
      </c>
      <c r="I637" t="s">
        <v>110</v>
      </c>
      <c r="J637" t="s">
        <v>110</v>
      </c>
      <c r="K637" t="s">
        <v>26</v>
      </c>
      <c r="L637" t="str">
        <f>IF(TRIM(K637)="","Unknown",PROPER(TRIM(K637)))</f>
        <v>North</v>
      </c>
      <c r="M637" t="s">
        <v>294</v>
      </c>
      <c r="N637" t="s">
        <v>295</v>
      </c>
      <c r="O637" t="s">
        <v>29</v>
      </c>
      <c r="P637" t="str">
        <f>IF(TRIM(O637)="","Unknown",PROPER(TRIM(O637)))</f>
        <v>Office Supplies</v>
      </c>
      <c r="Q637" t="s">
        <v>53</v>
      </c>
      <c r="R637" t="s">
        <v>1324</v>
      </c>
      <c r="S637" t="s">
        <v>47</v>
      </c>
      <c r="T637" t="str">
        <f>IF(TRIM(S637)="","Unknown",PROPER(TRIM(S637)))</f>
        <v>Same Day</v>
      </c>
      <c r="U637">
        <v>9</v>
      </c>
      <c r="V637">
        <v>3748.95</v>
      </c>
      <c r="W637">
        <v>0</v>
      </c>
      <c r="Y637">
        <v>0</v>
      </c>
      <c r="Z637">
        <v>33740.550000000003</v>
      </c>
      <c r="AA637">
        <v>24621.89</v>
      </c>
      <c r="AB637">
        <v>9118.66</v>
      </c>
      <c r="AC637" t="s">
        <v>131</v>
      </c>
      <c r="AD637" t="s">
        <v>76</v>
      </c>
      <c r="AE637">
        <f>ROUND((U637*V637)-(U637*V637*Y637),2)</f>
        <v>33740.550000000003</v>
      </c>
      <c r="AF637">
        <f>AE637-AA637</f>
        <v>9118.6600000000035</v>
      </c>
      <c r="AG637" s="7">
        <f>ROUND((AF637/AE637),4)</f>
        <v>0.27029999999999998</v>
      </c>
      <c r="AH637">
        <f>IF(AND(C637&lt;&gt;"",E637&lt;&gt;""),E637 - C637,"")</f>
        <v>3</v>
      </c>
      <c r="AI637" t="str">
        <f>IF(C637="","",TEXT(C637, "mmmm"))</f>
        <v>February</v>
      </c>
      <c r="AJ637">
        <f>IF(C637="","",YEAR(C637))</f>
        <v>2025</v>
      </c>
      <c r="AM637" t="str">
        <f>IF(AN637="","clean","")</f>
        <v>clean</v>
      </c>
      <c r="AN637" t="s">
        <v>3595</v>
      </c>
    </row>
    <row r="638" spans="1:40">
      <c r="A638" t="s">
        <v>1330</v>
      </c>
      <c r="B638" t="s">
        <v>1331</v>
      </c>
      <c r="C638" s="6">
        <v>45854</v>
      </c>
      <c r="D638" t="s">
        <v>1332</v>
      </c>
      <c r="E638" s="6">
        <v>45860</v>
      </c>
      <c r="F638" t="s">
        <v>1333</v>
      </c>
      <c r="G638" t="s">
        <v>136</v>
      </c>
      <c r="H638" t="s">
        <v>136</v>
      </c>
      <c r="I638" t="s">
        <v>25</v>
      </c>
      <c r="J638" t="s">
        <v>25</v>
      </c>
      <c r="K638" t="s">
        <v>41</v>
      </c>
      <c r="L638" t="str">
        <f>IF(TRIM(K638)="","Unknown",PROPER(TRIM(K638)))</f>
        <v>East</v>
      </c>
      <c r="M638" t="s">
        <v>42</v>
      </c>
      <c r="N638" t="s">
        <v>43</v>
      </c>
      <c r="O638" t="s">
        <v>83</v>
      </c>
      <c r="P638" t="str">
        <f>IF(TRIM(O638)="","Unknown",PROPER(TRIM(O638)))</f>
        <v>Technology</v>
      </c>
      <c r="Q638" t="s">
        <v>207</v>
      </c>
      <c r="R638" t="s">
        <v>1334</v>
      </c>
      <c r="S638" t="s">
        <v>32</v>
      </c>
      <c r="T638" t="str">
        <f>IF(TRIM(S638)="","Unknown",PROPER(TRIM(S638)))</f>
        <v>Second Class</v>
      </c>
      <c r="U638">
        <v>6</v>
      </c>
      <c r="V638">
        <v>4159.33</v>
      </c>
      <c r="W638">
        <v>0.25</v>
      </c>
      <c r="Y638">
        <v>0.25</v>
      </c>
      <c r="Z638">
        <v>18716.990000000002</v>
      </c>
      <c r="AA638">
        <v>12282.43</v>
      </c>
      <c r="AB638">
        <v>6434.56</v>
      </c>
      <c r="AC638" t="s">
        <v>33</v>
      </c>
      <c r="AD638" t="s">
        <v>120</v>
      </c>
      <c r="AE638">
        <f>ROUND((U638*V638)-(U638*V638*Y638),2)</f>
        <v>18716.990000000002</v>
      </c>
      <c r="AF638">
        <f>AE638-AA638</f>
        <v>6434.5600000000013</v>
      </c>
      <c r="AG638" s="7">
        <f>ROUND((AF638/AE638),4)</f>
        <v>0.34379999999999999</v>
      </c>
      <c r="AH638">
        <f>IF(AND(C638&lt;&gt;"",E638&lt;&gt;""),E638 - C638,"")</f>
        <v>6</v>
      </c>
      <c r="AI638" t="str">
        <f>IF(C638="","",TEXT(C638, "mmmm"))</f>
        <v>July</v>
      </c>
      <c r="AJ638">
        <f>IF(C638="","",YEAR(C638))</f>
        <v>2025</v>
      </c>
      <c r="AM638" t="str">
        <f>IF(AN638="","clean","")</f>
        <v>clean</v>
      </c>
      <c r="AN638" t="s">
        <v>3595</v>
      </c>
    </row>
    <row r="639" spans="1:40">
      <c r="A639" t="s">
        <v>1335</v>
      </c>
      <c r="B639" t="s">
        <v>1336</v>
      </c>
      <c r="C639" s="6">
        <v>45833</v>
      </c>
      <c r="D639" t="s">
        <v>1337</v>
      </c>
      <c r="E639" s="6">
        <v>45836</v>
      </c>
      <c r="F639" t="s">
        <v>1338</v>
      </c>
      <c r="G639" t="s">
        <v>103</v>
      </c>
      <c r="H639" t="s">
        <v>103</v>
      </c>
      <c r="I639" t="s">
        <v>40</v>
      </c>
      <c r="J639" t="s">
        <v>40</v>
      </c>
      <c r="K639" t="s">
        <v>41</v>
      </c>
      <c r="L639" t="str">
        <f>IF(TRIM(K639)="","Unknown",PROPER(TRIM(K639)))</f>
        <v>East</v>
      </c>
      <c r="M639" t="s">
        <v>201</v>
      </c>
      <c r="N639" t="s">
        <v>202</v>
      </c>
      <c r="O639" t="s">
        <v>29</v>
      </c>
      <c r="P639" t="str">
        <f>IF(TRIM(O639)="","Unknown",PROPER(TRIM(O639)))</f>
        <v>Office Supplies</v>
      </c>
      <c r="Q639" t="s">
        <v>184</v>
      </c>
      <c r="R639" t="s">
        <v>1339</v>
      </c>
      <c r="S639" t="s">
        <v>65</v>
      </c>
      <c r="T639" t="str">
        <f>IF(TRIM(S639)="","Unknown",PROPER(TRIM(S639)))</f>
        <v>Standard Class</v>
      </c>
      <c r="U639">
        <v>3</v>
      </c>
      <c r="V639">
        <v>3476.05</v>
      </c>
      <c r="W639">
        <v>0.1</v>
      </c>
      <c r="Y639">
        <v>0.1</v>
      </c>
      <c r="Z639">
        <v>9385.34</v>
      </c>
      <c r="AA639">
        <v>5828.54</v>
      </c>
      <c r="AB639">
        <v>3556.8</v>
      </c>
      <c r="AC639" t="s">
        <v>33</v>
      </c>
      <c r="AD639" t="s">
        <v>34</v>
      </c>
      <c r="AE639">
        <f>ROUND((U639*V639)-(U639*V639*Y639),2)</f>
        <v>9385.34</v>
      </c>
      <c r="AF639">
        <f>AE639-AA639</f>
        <v>3556.8</v>
      </c>
      <c r="AG639" s="7">
        <f>ROUND((AF639/AE639),4)</f>
        <v>0.379</v>
      </c>
      <c r="AH639">
        <f>IF(AND(C639&lt;&gt;"",E639&lt;&gt;""),E639 - C639,"")</f>
        <v>3</v>
      </c>
      <c r="AI639" t="str">
        <f>IF(C639="","",TEXT(C639, "mmmm"))</f>
        <v>June</v>
      </c>
      <c r="AJ639">
        <f>IF(C639="","",YEAR(C639))</f>
        <v>2025</v>
      </c>
      <c r="AM639" t="str">
        <f>IF(AN639="","clean","")</f>
        <v>clean</v>
      </c>
      <c r="AN639" t="s">
        <v>3595</v>
      </c>
    </row>
    <row r="640" spans="1:40">
      <c r="A640" t="s">
        <v>1340</v>
      </c>
      <c r="B640" t="s">
        <v>3783</v>
      </c>
      <c r="C640" s="6">
        <v>45801</v>
      </c>
      <c r="D640" t="s">
        <v>1341</v>
      </c>
      <c r="E640" s="6">
        <v>45803</v>
      </c>
      <c r="F640" t="s">
        <v>1342</v>
      </c>
      <c r="G640" t="s">
        <v>103</v>
      </c>
      <c r="H640" t="s">
        <v>103</v>
      </c>
      <c r="I640" t="s">
        <v>110</v>
      </c>
      <c r="J640" t="s">
        <v>110</v>
      </c>
      <c r="K640" t="s">
        <v>26</v>
      </c>
      <c r="L640" t="str">
        <f>IF(TRIM(K640)="","Unknown",PROPER(TRIM(K640)))</f>
        <v>North</v>
      </c>
      <c r="M640" t="s">
        <v>294</v>
      </c>
      <c r="N640" t="s">
        <v>295</v>
      </c>
      <c r="O640" t="s">
        <v>44</v>
      </c>
      <c r="P640" t="str">
        <f>IF(TRIM(O640)="","Unknown",PROPER(TRIM(O640)))</f>
        <v>Furniture</v>
      </c>
      <c r="Q640" t="s">
        <v>63</v>
      </c>
      <c r="R640" t="s">
        <v>1343</v>
      </c>
      <c r="S640" t="s">
        <v>47</v>
      </c>
      <c r="T640" t="str">
        <f>IF(TRIM(S640)="","Unknown",PROPER(TRIM(S640)))</f>
        <v>Same Day</v>
      </c>
      <c r="U640">
        <v>6</v>
      </c>
      <c r="V640">
        <v>3495.41</v>
      </c>
      <c r="W640">
        <v>0.15</v>
      </c>
      <c r="Y640">
        <v>0.15</v>
      </c>
      <c r="Z640">
        <v>17826.59</v>
      </c>
      <c r="AA640">
        <v>10855.35</v>
      </c>
      <c r="AB640">
        <v>6971.24</v>
      </c>
      <c r="AC640" t="s">
        <v>33</v>
      </c>
      <c r="AD640" t="s">
        <v>34</v>
      </c>
      <c r="AE640">
        <f>ROUND((U640*V640)-(U640*V640*Y640),2)</f>
        <v>17826.59</v>
      </c>
      <c r="AF640">
        <f>AE640-AA640</f>
        <v>6971.24</v>
      </c>
      <c r="AG640" s="7">
        <f>ROUND((AF640/AE640),4)</f>
        <v>0.3911</v>
      </c>
      <c r="AH640">
        <f>IF(AND(C640&lt;&gt;"",E640&lt;&gt;""),E640 - C640,"")</f>
        <v>2</v>
      </c>
      <c r="AI640" t="str">
        <f>IF(C640="","",TEXT(C640, "mmmm"))</f>
        <v>May</v>
      </c>
      <c r="AJ640">
        <f>IF(C640="","",YEAR(C640))</f>
        <v>2025</v>
      </c>
      <c r="AM640" t="str">
        <f>IF(AN640="","clean","")</f>
        <v>clean</v>
      </c>
      <c r="AN640" t="s">
        <v>3595</v>
      </c>
    </row>
    <row r="641" spans="1:40">
      <c r="A641" t="s">
        <v>1348</v>
      </c>
      <c r="B641" t="s">
        <v>3785</v>
      </c>
      <c r="D641" t="s">
        <v>1349</v>
      </c>
      <c r="E641" s="6">
        <v>45683</v>
      </c>
      <c r="F641" t="s">
        <v>1350</v>
      </c>
      <c r="G641" t="s">
        <v>52</v>
      </c>
      <c r="H641" t="s">
        <v>52</v>
      </c>
      <c r="I641" t="s">
        <v>25</v>
      </c>
      <c r="J641" t="s">
        <v>25</v>
      </c>
      <c r="K641" t="s">
        <v>60</v>
      </c>
      <c r="L641" t="str">
        <f>IF(TRIM(K641)="","Unknown",PROPER(TRIM(K641)))</f>
        <v>South</v>
      </c>
      <c r="M641" t="s">
        <v>224</v>
      </c>
      <c r="N641" t="s">
        <v>225</v>
      </c>
      <c r="O641" t="s">
        <v>83</v>
      </c>
      <c r="P641" t="str">
        <f>IF(TRIM(O641)="","Unknown",PROPER(TRIM(O641)))</f>
        <v>Technology</v>
      </c>
      <c r="Q641" t="s">
        <v>91</v>
      </c>
      <c r="R641" t="s">
        <v>1351</v>
      </c>
      <c r="S641" t="s">
        <v>55</v>
      </c>
      <c r="T641" t="str">
        <f>IF(TRIM(S641)="","Unknown",PROPER(TRIM(S641)))</f>
        <v>First Class</v>
      </c>
      <c r="U641">
        <v>7</v>
      </c>
      <c r="V641">
        <v>348.49</v>
      </c>
      <c r="W641">
        <v>0.2</v>
      </c>
      <c r="Y641">
        <v>0.2</v>
      </c>
      <c r="Z641">
        <v>1951.54</v>
      </c>
      <c r="AA641">
        <v>1609.95</v>
      </c>
      <c r="AB641">
        <v>341.59</v>
      </c>
      <c r="AC641" t="s">
        <v>186</v>
      </c>
      <c r="AD641" t="s">
        <v>120</v>
      </c>
      <c r="AE641">
        <f>ROUND((U641*V641)-(U641*V641*Y641),2)</f>
        <v>1951.54</v>
      </c>
      <c r="AF641">
        <f>AE641-AA641</f>
        <v>341.58999999999992</v>
      </c>
      <c r="AG641" s="7">
        <f>ROUND((AF641/AE641),4)</f>
        <v>0.17499999999999999</v>
      </c>
      <c r="AH641" t="str">
        <f>IF(AND(C641&lt;&gt;"",E641&lt;&gt;""),E641 - C641,"")</f>
        <v/>
      </c>
      <c r="AI641" t="str">
        <f>IF(C641="","",TEXT(C641, "mmmm"))</f>
        <v/>
      </c>
      <c r="AJ641" t="str">
        <f>IF(C641="","",YEAR(C641))</f>
        <v/>
      </c>
      <c r="AM641" t="s">
        <v>4144</v>
      </c>
      <c r="AN641" t="s">
        <v>4127</v>
      </c>
    </row>
    <row r="642" spans="1:40">
      <c r="A642" t="s">
        <v>1361</v>
      </c>
      <c r="B642" t="s">
        <v>901</v>
      </c>
      <c r="C642" s="6">
        <v>45805</v>
      </c>
      <c r="D642" t="s">
        <v>1362</v>
      </c>
      <c r="E642" s="6">
        <v>45809</v>
      </c>
      <c r="F642" t="s">
        <v>1363</v>
      </c>
      <c r="G642" t="s">
        <v>52</v>
      </c>
      <c r="H642" t="s">
        <v>52</v>
      </c>
      <c r="I642" t="s">
        <v>110</v>
      </c>
      <c r="J642" t="s">
        <v>110</v>
      </c>
      <c r="K642" t="s">
        <v>41</v>
      </c>
      <c r="L642" t="str">
        <f>IF(TRIM(K642)="","Unknown",PROPER(TRIM(K642)))</f>
        <v>East</v>
      </c>
      <c r="M642" t="s">
        <v>174</v>
      </c>
      <c r="N642" t="s">
        <v>175</v>
      </c>
      <c r="O642" t="s">
        <v>83</v>
      </c>
      <c r="P642" t="str">
        <f>IF(TRIM(O642)="","Unknown",PROPER(TRIM(O642)))</f>
        <v>Technology</v>
      </c>
      <c r="Q642" t="s">
        <v>207</v>
      </c>
      <c r="R642" t="s">
        <v>1364</v>
      </c>
      <c r="S642" t="s">
        <v>47</v>
      </c>
      <c r="T642" t="str">
        <f>IF(TRIM(S642)="","Unknown",PROPER(TRIM(S642)))</f>
        <v>Same Day</v>
      </c>
      <c r="U642">
        <v>4</v>
      </c>
      <c r="V642">
        <v>1654.11</v>
      </c>
      <c r="W642">
        <v>0.05</v>
      </c>
      <c r="Y642">
        <v>0.05</v>
      </c>
      <c r="Z642">
        <v>6285.62</v>
      </c>
      <c r="AA642">
        <v>3705.38</v>
      </c>
      <c r="AB642">
        <v>2580.2399999999998</v>
      </c>
      <c r="AC642" t="s">
        <v>33</v>
      </c>
      <c r="AD642" t="s">
        <v>34</v>
      </c>
      <c r="AE642">
        <f>ROUND((U642*V642)-(U642*V642*Y642),2)</f>
        <v>6285.62</v>
      </c>
      <c r="AF642">
        <f>AE642-AA642</f>
        <v>2580.2399999999998</v>
      </c>
      <c r="AG642" s="7">
        <f>ROUND((AF642/AE642),4)</f>
        <v>0.41049999999999998</v>
      </c>
      <c r="AH642">
        <f>IF(AND(C642&lt;&gt;"",E642&lt;&gt;""),E642 - C642,"")</f>
        <v>4</v>
      </c>
      <c r="AI642" t="str">
        <f>IF(C642="","",TEXT(C642, "mmmm"))</f>
        <v>May</v>
      </c>
      <c r="AJ642">
        <f>IF(C642="","",YEAR(C642))</f>
        <v>2025</v>
      </c>
      <c r="AM642" t="str">
        <f>IF(AN642="","clean","")</f>
        <v>clean</v>
      </c>
      <c r="AN642" t="s">
        <v>3595</v>
      </c>
    </row>
    <row r="643" spans="1:40">
      <c r="A643" t="s">
        <v>1365</v>
      </c>
      <c r="B643" t="s">
        <v>1219</v>
      </c>
      <c r="C643" s="6">
        <v>45812</v>
      </c>
      <c r="D643" t="s">
        <v>1366</v>
      </c>
      <c r="E643" s="6">
        <v>45820</v>
      </c>
      <c r="F643" t="s">
        <v>1367</v>
      </c>
      <c r="G643" t="s">
        <v>90</v>
      </c>
      <c r="H643" t="s">
        <v>90</v>
      </c>
      <c r="I643" t="s">
        <v>25</v>
      </c>
      <c r="J643" t="s">
        <v>25</v>
      </c>
      <c r="K643" t="s">
        <v>71</v>
      </c>
      <c r="L643" t="str">
        <f>IF(TRIM(K643)="","Unknown",PROPER(TRIM(K643)))</f>
        <v>West</v>
      </c>
      <c r="M643" t="s">
        <v>230</v>
      </c>
      <c r="N643" t="s">
        <v>231</v>
      </c>
      <c r="O643" t="s">
        <v>813</v>
      </c>
      <c r="P643" t="str">
        <f>IF(TRIM(O643)="","Unknown",PROPER(TRIM(O643)))</f>
        <v>Office Supplies</v>
      </c>
      <c r="Q643" t="s">
        <v>148</v>
      </c>
      <c r="R643" t="s">
        <v>1368</v>
      </c>
      <c r="S643" t="s">
        <v>47</v>
      </c>
      <c r="T643" t="str">
        <f>IF(TRIM(S643)="","Unknown",PROPER(TRIM(S643)))</f>
        <v>Same Day</v>
      </c>
      <c r="U643">
        <v>2</v>
      </c>
      <c r="V643">
        <v>2703.28</v>
      </c>
      <c r="W643">
        <v>0.25</v>
      </c>
      <c r="Y643">
        <v>0.25</v>
      </c>
      <c r="Z643">
        <v>4054.92</v>
      </c>
      <c r="AA643">
        <v>2424.83</v>
      </c>
      <c r="AB643">
        <v>1630.09</v>
      </c>
      <c r="AC643" t="s">
        <v>33</v>
      </c>
      <c r="AD643" t="s">
        <v>34</v>
      </c>
      <c r="AE643">
        <f>ROUND((U643*V643)-(U643*V643*Y643),2)</f>
        <v>4054.92</v>
      </c>
      <c r="AF643">
        <f>AE643-AA643</f>
        <v>1630.0900000000001</v>
      </c>
      <c r="AG643" s="7">
        <f>ROUND((AF643/AE643),4)</f>
        <v>0.40200000000000002</v>
      </c>
      <c r="AH643">
        <f>IF(AND(C643&lt;&gt;"",E643&lt;&gt;""),E643 - C643,"")</f>
        <v>8</v>
      </c>
      <c r="AI643" t="str">
        <f>IF(C643="","",TEXT(C643, "mmmm"))</f>
        <v>June</v>
      </c>
      <c r="AJ643">
        <f>IF(C643="","",YEAR(C643))</f>
        <v>2025</v>
      </c>
      <c r="AM643" t="str">
        <f>IF(AN643="","clean","")</f>
        <v>clean</v>
      </c>
      <c r="AN643" t="s">
        <v>3595</v>
      </c>
    </row>
    <row r="644" spans="1:40">
      <c r="A644" t="s">
        <v>1380</v>
      </c>
      <c r="B644" t="s">
        <v>3788</v>
      </c>
      <c r="C644" s="6">
        <v>45708</v>
      </c>
      <c r="D644" t="s">
        <v>94</v>
      </c>
      <c r="E644" s="6">
        <v>45711</v>
      </c>
      <c r="F644" t="s">
        <v>1381</v>
      </c>
      <c r="G644" t="s">
        <v>153</v>
      </c>
      <c r="H644" t="s">
        <v>153</v>
      </c>
      <c r="I644" t="s">
        <v>25</v>
      </c>
      <c r="J644" t="s">
        <v>25</v>
      </c>
      <c r="K644" t="s">
        <v>26</v>
      </c>
      <c r="L644" t="str">
        <f>IF(TRIM(K644)="","Unknown",PROPER(TRIM(K644)))</f>
        <v>North</v>
      </c>
      <c r="M644" t="s">
        <v>27</v>
      </c>
      <c r="N644" t="s">
        <v>28</v>
      </c>
      <c r="O644" t="s">
        <v>83</v>
      </c>
      <c r="P644" t="str">
        <f>IF(TRIM(O644)="","Unknown",PROPER(TRIM(O644)))</f>
        <v>Technology</v>
      </c>
      <c r="Q644" t="s">
        <v>207</v>
      </c>
      <c r="R644" t="s">
        <v>1382</v>
      </c>
      <c r="S644" t="s">
        <v>32</v>
      </c>
      <c r="T644" t="str">
        <f>IF(TRIM(S644)="","Unknown",PROPER(TRIM(S644)))</f>
        <v>Second Class</v>
      </c>
      <c r="U644">
        <v>4</v>
      </c>
      <c r="V644">
        <v>3673.11</v>
      </c>
      <c r="W644">
        <v>0</v>
      </c>
      <c r="Y644">
        <v>0</v>
      </c>
      <c r="Z644">
        <v>14692.44</v>
      </c>
      <c r="AA644">
        <v>10082.19</v>
      </c>
      <c r="AB644">
        <v>4610.25</v>
      </c>
      <c r="AC644" t="s">
        <v>33</v>
      </c>
      <c r="AD644" t="s">
        <v>34</v>
      </c>
      <c r="AE644">
        <f>ROUND((U644*V644)-(U644*V644*Y644),2)</f>
        <v>14692.44</v>
      </c>
      <c r="AF644">
        <f>AE644-AA644</f>
        <v>4610.25</v>
      </c>
      <c r="AG644" s="7">
        <f>ROUND((AF644/AE644),4)</f>
        <v>0.31380000000000002</v>
      </c>
      <c r="AH644">
        <f>IF(AND(C644&lt;&gt;"",E644&lt;&gt;""),E644 - C644,"")</f>
        <v>3</v>
      </c>
      <c r="AI644" t="str">
        <f>IF(C644="","",TEXT(C644, "mmmm"))</f>
        <v>February</v>
      </c>
      <c r="AJ644">
        <f>IF(C644="","",YEAR(C644))</f>
        <v>2025</v>
      </c>
      <c r="AM644" t="str">
        <f>IF(AN644="","clean","")</f>
        <v>clean</v>
      </c>
      <c r="AN644" t="s">
        <v>3595</v>
      </c>
    </row>
    <row r="645" spans="1:40">
      <c r="A645" t="s">
        <v>1383</v>
      </c>
      <c r="B645" t="s">
        <v>3789</v>
      </c>
      <c r="C645" s="6">
        <v>45850</v>
      </c>
      <c r="D645" t="s">
        <v>1384</v>
      </c>
      <c r="E645" s="6">
        <v>45857</v>
      </c>
      <c r="F645" t="s">
        <v>1385</v>
      </c>
      <c r="G645" t="s">
        <v>70</v>
      </c>
      <c r="H645" t="s">
        <v>70</v>
      </c>
      <c r="I645" t="s">
        <v>104</v>
      </c>
      <c r="J645" t="s">
        <v>104</v>
      </c>
      <c r="K645" t="s">
        <v>26</v>
      </c>
      <c r="L645" t="str">
        <f>IF(TRIM(K645)="","Unknown",PROPER(TRIM(K645)))</f>
        <v>North</v>
      </c>
      <c r="M645" t="s">
        <v>163</v>
      </c>
      <c r="N645" t="s">
        <v>164</v>
      </c>
      <c r="O645" t="s">
        <v>44</v>
      </c>
      <c r="P645" t="str">
        <f>IF(TRIM(O645)="","Unknown",PROPER(TRIM(O645)))</f>
        <v>Furniture</v>
      </c>
      <c r="Q645" t="s">
        <v>45</v>
      </c>
      <c r="R645" t="s">
        <v>1386</v>
      </c>
      <c r="S645" t="s">
        <v>55</v>
      </c>
      <c r="T645" t="str">
        <f>IF(TRIM(S645)="","Unknown",PROPER(TRIM(S645)))</f>
        <v>First Class</v>
      </c>
      <c r="U645">
        <v>9</v>
      </c>
      <c r="V645">
        <v>4093.04</v>
      </c>
      <c r="W645">
        <v>0.2</v>
      </c>
      <c r="Y645">
        <v>0.2</v>
      </c>
      <c r="Z645">
        <v>29469.89</v>
      </c>
      <c r="AA645">
        <v>18935.509999999998</v>
      </c>
      <c r="AB645">
        <v>10534.38</v>
      </c>
      <c r="AC645" t="s">
        <v>1387</v>
      </c>
      <c r="AD645" t="s">
        <v>76</v>
      </c>
      <c r="AE645">
        <f>ROUND((U645*V645)-(U645*V645*Y645),2)</f>
        <v>29469.89</v>
      </c>
      <c r="AF645">
        <f>AE645-AA645</f>
        <v>10534.380000000001</v>
      </c>
      <c r="AG645" s="7">
        <f>ROUND((AF645/AE645),4)</f>
        <v>0.35749999999999998</v>
      </c>
      <c r="AH645">
        <f>IF(AND(C645&lt;&gt;"",E645&lt;&gt;""),E645 - C645,"")</f>
        <v>7</v>
      </c>
      <c r="AI645" t="str">
        <f>IF(C645="","",TEXT(C645, "mmmm"))</f>
        <v>July</v>
      </c>
      <c r="AJ645">
        <f>IF(C645="","",YEAR(C645))</f>
        <v>2025</v>
      </c>
      <c r="AM645" t="str">
        <f>IF(AN645="","clean","")</f>
        <v>clean</v>
      </c>
      <c r="AN645" t="s">
        <v>3595</v>
      </c>
    </row>
    <row r="646" spans="1:40">
      <c r="A646" t="s">
        <v>1388</v>
      </c>
      <c r="B646" t="s">
        <v>3790</v>
      </c>
      <c r="C646" s="6">
        <v>45821</v>
      </c>
      <c r="D646" t="s">
        <v>1389</v>
      </c>
      <c r="E646" s="6">
        <v>45827</v>
      </c>
      <c r="F646" t="s">
        <v>1390</v>
      </c>
      <c r="G646" t="s">
        <v>169</v>
      </c>
      <c r="H646" t="s">
        <v>169</v>
      </c>
      <c r="I646" t="s">
        <v>25</v>
      </c>
      <c r="J646" t="s">
        <v>25</v>
      </c>
      <c r="K646" t="s">
        <v>26</v>
      </c>
      <c r="L646" t="str">
        <f>IF(TRIM(K646)="","Unknown",PROPER(TRIM(K646)))</f>
        <v>North</v>
      </c>
      <c r="M646" t="s">
        <v>27</v>
      </c>
      <c r="N646" t="s">
        <v>28</v>
      </c>
      <c r="O646" t="s">
        <v>44</v>
      </c>
      <c r="P646" t="str">
        <f>IF(TRIM(O646)="","Unknown",PROPER(TRIM(O646)))</f>
        <v>Furniture</v>
      </c>
      <c r="Q646" t="s">
        <v>45</v>
      </c>
      <c r="R646" t="s">
        <v>1391</v>
      </c>
      <c r="S646" t="s">
        <v>55</v>
      </c>
      <c r="T646" t="str">
        <f>IF(TRIM(S646)="","Unknown",PROPER(TRIM(S646)))</f>
        <v>First Class</v>
      </c>
      <c r="U646">
        <v>4</v>
      </c>
      <c r="V646">
        <v>731.57</v>
      </c>
      <c r="W646">
        <v>0.2</v>
      </c>
      <c r="Y646">
        <v>0.2</v>
      </c>
      <c r="Z646">
        <v>2341.02</v>
      </c>
      <c r="AA646">
        <v>1565.49</v>
      </c>
      <c r="AB646">
        <v>775.53</v>
      </c>
      <c r="AC646" t="s">
        <v>33</v>
      </c>
      <c r="AD646" t="s">
        <v>34</v>
      </c>
      <c r="AE646">
        <f>ROUND((U646*V646)-(U646*V646*Y646),2)</f>
        <v>2341.02</v>
      </c>
      <c r="AF646">
        <f>AE646-AA646</f>
        <v>775.53</v>
      </c>
      <c r="AG646" s="7">
        <f>ROUND((AF646/AE646),4)</f>
        <v>0.33129999999999998</v>
      </c>
      <c r="AH646">
        <f>IF(AND(C646&lt;&gt;"",E646&lt;&gt;""),E646 - C646,"")</f>
        <v>6</v>
      </c>
      <c r="AI646" t="str">
        <f>IF(C646="","",TEXT(C646, "mmmm"))</f>
        <v>June</v>
      </c>
      <c r="AJ646">
        <f>IF(C646="","",YEAR(C646))</f>
        <v>2025</v>
      </c>
      <c r="AM646" t="str">
        <f>IF(AN646="","clean","")</f>
        <v>clean</v>
      </c>
      <c r="AN646" t="s">
        <v>3595</v>
      </c>
    </row>
    <row r="647" spans="1:40">
      <c r="A647" t="s">
        <v>1406</v>
      </c>
      <c r="B647" t="s">
        <v>3794</v>
      </c>
      <c r="C647" s="6">
        <v>45807</v>
      </c>
      <c r="D647" t="s">
        <v>1407</v>
      </c>
      <c r="F647" t="s">
        <v>1408</v>
      </c>
      <c r="G647" t="s">
        <v>141</v>
      </c>
      <c r="H647" t="s">
        <v>141</v>
      </c>
      <c r="I647" t="s">
        <v>104</v>
      </c>
      <c r="J647" t="s">
        <v>104</v>
      </c>
      <c r="K647" t="s">
        <v>26</v>
      </c>
      <c r="L647" t="str">
        <f>IF(TRIM(K647)="","Unknown",PROPER(TRIM(K647)))</f>
        <v>North</v>
      </c>
      <c r="M647" t="s">
        <v>163</v>
      </c>
      <c r="N647" t="s">
        <v>164</v>
      </c>
      <c r="O647" t="s">
        <v>83</v>
      </c>
      <c r="P647" t="str">
        <f>IF(TRIM(O647)="","Unknown",PROPER(TRIM(O647)))</f>
        <v>Technology</v>
      </c>
      <c r="Q647" t="s">
        <v>207</v>
      </c>
      <c r="R647" t="s">
        <v>1409</v>
      </c>
      <c r="S647" t="s">
        <v>55</v>
      </c>
      <c r="T647" t="str">
        <f>IF(TRIM(S647)="","Unknown",PROPER(TRIM(S647)))</f>
        <v>First Class</v>
      </c>
      <c r="U647">
        <v>8</v>
      </c>
      <c r="V647">
        <v>2081.4299999999998</v>
      </c>
      <c r="W647">
        <v>0.25</v>
      </c>
      <c r="Y647">
        <v>0.25</v>
      </c>
      <c r="Z647">
        <v>12488.58</v>
      </c>
      <c r="AA647">
        <v>10717.4</v>
      </c>
      <c r="AB647">
        <v>1771.18</v>
      </c>
      <c r="AC647" t="s">
        <v>119</v>
      </c>
      <c r="AD647" t="s">
        <v>76</v>
      </c>
      <c r="AE647">
        <f>ROUND((U647*V647)-(U647*V647*Y647),2)</f>
        <v>12488.58</v>
      </c>
      <c r="AF647">
        <f>AE647-AA647</f>
        <v>1771.1800000000003</v>
      </c>
      <c r="AG647" s="7">
        <f>ROUND((AF647/AE647),4)</f>
        <v>0.14180000000000001</v>
      </c>
      <c r="AH647" t="str">
        <f>IF(AND(C647&lt;&gt;"",E647&lt;&gt;""),E647 - C647,"")</f>
        <v/>
      </c>
      <c r="AI647" t="str">
        <f>IF(C647="","",TEXT(C647, "mmmm"))</f>
        <v>May</v>
      </c>
      <c r="AJ647">
        <f>IF(C647="","",YEAR(C647))</f>
        <v>2025</v>
      </c>
      <c r="AM647" t="s">
        <v>4144</v>
      </c>
      <c r="AN647" t="s">
        <v>4136</v>
      </c>
    </row>
    <row r="648" spans="1:40">
      <c r="A648" t="s">
        <v>1410</v>
      </c>
      <c r="B648" t="s">
        <v>3732</v>
      </c>
      <c r="C648" s="6">
        <v>45795</v>
      </c>
      <c r="D648" t="s">
        <v>113</v>
      </c>
      <c r="E648" s="6">
        <v>45797</v>
      </c>
      <c r="F648" t="s">
        <v>1411</v>
      </c>
      <c r="G648" t="s">
        <v>52</v>
      </c>
      <c r="H648" t="s">
        <v>52</v>
      </c>
      <c r="I648" t="s">
        <v>104</v>
      </c>
      <c r="J648" t="s">
        <v>104</v>
      </c>
      <c r="K648" t="s">
        <v>71</v>
      </c>
      <c r="L648" t="str">
        <f>IF(TRIM(K648)="","Unknown",PROPER(TRIM(K648)))</f>
        <v>West</v>
      </c>
      <c r="M648" t="s">
        <v>81</v>
      </c>
      <c r="N648" t="s">
        <v>82</v>
      </c>
      <c r="O648" t="s">
        <v>29</v>
      </c>
      <c r="P648" t="str">
        <f>IF(TRIM(O648)="","Unknown",PROPER(TRIM(O648)))</f>
        <v>Office Supplies</v>
      </c>
      <c r="Q648" t="s">
        <v>105</v>
      </c>
      <c r="R648" t="s">
        <v>1412</v>
      </c>
      <c r="S648" t="s">
        <v>65</v>
      </c>
      <c r="T648" t="str">
        <f>IF(TRIM(S648)="","Unknown",PROPER(TRIM(S648)))</f>
        <v>Standard Class</v>
      </c>
      <c r="U648">
        <v>9</v>
      </c>
      <c r="V648">
        <v>847.76</v>
      </c>
      <c r="W648">
        <v>0.15</v>
      </c>
      <c r="Y648">
        <v>0.15</v>
      </c>
      <c r="Z648">
        <v>6485.36</v>
      </c>
      <c r="AA648">
        <v>5376.17</v>
      </c>
      <c r="AB648">
        <v>1109.19</v>
      </c>
      <c r="AC648" t="s">
        <v>186</v>
      </c>
      <c r="AD648" t="s">
        <v>120</v>
      </c>
      <c r="AE648">
        <f>ROUND((U648*V648)-(U648*V648*Y648),2)</f>
        <v>6485.36</v>
      </c>
      <c r="AF648">
        <f>AE648-AA648</f>
        <v>1109.1899999999996</v>
      </c>
      <c r="AG648" s="7">
        <f>ROUND((AF648/AE648),4)</f>
        <v>0.17100000000000001</v>
      </c>
      <c r="AH648">
        <f>IF(AND(C648&lt;&gt;"",E648&lt;&gt;""),E648 - C648,"")</f>
        <v>2</v>
      </c>
      <c r="AI648" t="str">
        <f>IF(C648="","",TEXT(C648, "mmmm"))</f>
        <v>May</v>
      </c>
      <c r="AJ648">
        <f>IF(C648="","",YEAR(C648))</f>
        <v>2025</v>
      </c>
      <c r="AM648" t="str">
        <f>IF(AN648="","clean","")</f>
        <v>clean</v>
      </c>
      <c r="AN648" t="s">
        <v>3595</v>
      </c>
    </row>
    <row r="649" spans="1:40">
      <c r="A649" t="s">
        <v>1410</v>
      </c>
      <c r="B649" t="s">
        <v>3732</v>
      </c>
      <c r="C649" s="6">
        <v>45795</v>
      </c>
      <c r="D649" t="s">
        <v>113</v>
      </c>
      <c r="E649" s="6">
        <v>45797</v>
      </c>
      <c r="F649" t="s">
        <v>1411</v>
      </c>
      <c r="G649" t="s">
        <v>52</v>
      </c>
      <c r="H649" t="s">
        <v>52</v>
      </c>
      <c r="I649" t="s">
        <v>104</v>
      </c>
      <c r="J649" t="s">
        <v>104</v>
      </c>
      <c r="K649" t="s">
        <v>71</v>
      </c>
      <c r="L649" t="str">
        <f>IF(TRIM(K649)="","Unknown",PROPER(TRIM(K649)))</f>
        <v>West</v>
      </c>
      <c r="M649" t="s">
        <v>81</v>
      </c>
      <c r="N649" t="s">
        <v>82</v>
      </c>
      <c r="O649" t="s">
        <v>29</v>
      </c>
      <c r="P649" t="str">
        <f>IF(TRIM(O649)="","Unknown",PROPER(TRIM(O649)))</f>
        <v>Office Supplies</v>
      </c>
      <c r="Q649" t="s">
        <v>105</v>
      </c>
      <c r="R649" t="s">
        <v>1412</v>
      </c>
      <c r="S649" t="s">
        <v>65</v>
      </c>
      <c r="T649" t="str">
        <f>IF(TRIM(S649)="","Unknown",PROPER(TRIM(S649)))</f>
        <v>Standard Class</v>
      </c>
      <c r="U649">
        <v>9</v>
      </c>
      <c r="V649">
        <v>847.76</v>
      </c>
      <c r="W649">
        <v>0.15</v>
      </c>
      <c r="Y649">
        <v>0.14000000000000001</v>
      </c>
      <c r="Z649">
        <v>6589.37</v>
      </c>
      <c r="AA649">
        <v>5376.17</v>
      </c>
      <c r="AB649">
        <v>1109.19</v>
      </c>
      <c r="AC649" t="s">
        <v>186</v>
      </c>
      <c r="AD649" t="s">
        <v>34</v>
      </c>
      <c r="AE649">
        <f>ROUND((U649*V649)-(U649*V649*Y649),2)</f>
        <v>6561.66</v>
      </c>
      <c r="AF649">
        <f>AE649-AA649</f>
        <v>1185.4899999999998</v>
      </c>
      <c r="AG649" s="7">
        <f>ROUND((AF649/AE649),4)</f>
        <v>0.1807</v>
      </c>
      <c r="AH649">
        <f>IF(AND(C649&lt;&gt;"",E649&lt;&gt;""),E649 - C649,"")</f>
        <v>2</v>
      </c>
      <c r="AI649" t="str">
        <f>IF(C649="","",TEXT(C649, "mmmm"))</f>
        <v>May</v>
      </c>
      <c r="AJ649">
        <f>IF(C649="","",YEAR(C649))</f>
        <v>2025</v>
      </c>
      <c r="AK649" t="s">
        <v>4152</v>
      </c>
      <c r="AM649" t="s">
        <v>4145</v>
      </c>
      <c r="AN649" t="s">
        <v>4155</v>
      </c>
    </row>
    <row r="650" spans="1:40">
      <c r="A650" t="s">
        <v>1422</v>
      </c>
      <c r="B650" t="s">
        <v>3796</v>
      </c>
      <c r="D650" t="s">
        <v>1423</v>
      </c>
      <c r="E650" s="6">
        <v>45904</v>
      </c>
      <c r="F650" t="s">
        <v>1424</v>
      </c>
      <c r="G650" t="s">
        <v>90</v>
      </c>
      <c r="H650" t="s">
        <v>90</v>
      </c>
      <c r="I650" t="s">
        <v>104</v>
      </c>
      <c r="J650" t="s">
        <v>104</v>
      </c>
      <c r="K650" t="s">
        <v>60</v>
      </c>
      <c r="L650" t="str">
        <f>IF(TRIM(K650)="","Unknown",PROPER(TRIM(K650)))</f>
        <v>South</v>
      </c>
      <c r="M650" t="s">
        <v>224</v>
      </c>
      <c r="N650" t="s">
        <v>225</v>
      </c>
      <c r="O650" t="s">
        <v>44</v>
      </c>
      <c r="P650" t="str">
        <f>IF(TRIM(O650)="","Unknown",PROPER(TRIM(O650)))</f>
        <v>Furniture</v>
      </c>
      <c r="Q650" t="s">
        <v>45</v>
      </c>
      <c r="R650" t="s">
        <v>1425</v>
      </c>
      <c r="S650" t="s">
        <v>55</v>
      </c>
      <c r="T650" t="str">
        <f>IF(TRIM(S650)="","Unknown",PROPER(TRIM(S650)))</f>
        <v>First Class</v>
      </c>
      <c r="U650">
        <v>9</v>
      </c>
      <c r="V650">
        <v>2996.97</v>
      </c>
      <c r="W650">
        <v>0.15</v>
      </c>
      <c r="Y650">
        <v>0.15</v>
      </c>
      <c r="Z650">
        <v>22926.82</v>
      </c>
      <c r="AA650">
        <v>14621.59</v>
      </c>
      <c r="AB650">
        <v>8305.23</v>
      </c>
      <c r="AC650" t="s">
        <v>33</v>
      </c>
      <c r="AD650" t="s">
        <v>34</v>
      </c>
      <c r="AE650">
        <f>ROUND((U650*V650)-(U650*V650*Y650),2)</f>
        <v>22926.82</v>
      </c>
      <c r="AF650">
        <f>AE650-AA650</f>
        <v>8305.23</v>
      </c>
      <c r="AG650" s="7">
        <f>ROUND((AF650/AE650),4)</f>
        <v>0.36220000000000002</v>
      </c>
      <c r="AH650" t="str">
        <f>IF(AND(C650&lt;&gt;"",E650&lt;&gt;""),E650 - C650,"")</f>
        <v/>
      </c>
      <c r="AI650" t="str">
        <f>IF(C650="","",TEXT(C650, "mmmm"))</f>
        <v/>
      </c>
      <c r="AJ650" t="str">
        <f>IF(C650="","",YEAR(C650))</f>
        <v/>
      </c>
      <c r="AM650" t="s">
        <v>4144</v>
      </c>
      <c r="AN650" t="s">
        <v>4127</v>
      </c>
    </row>
    <row r="651" spans="1:40">
      <c r="A651" t="s">
        <v>1451</v>
      </c>
      <c r="B651" t="s">
        <v>3800</v>
      </c>
      <c r="C651" s="6">
        <v>45869</v>
      </c>
      <c r="D651" t="s">
        <v>836</v>
      </c>
      <c r="E651" s="6">
        <v>45871</v>
      </c>
      <c r="F651" t="s">
        <v>1452</v>
      </c>
      <c r="G651" t="s">
        <v>169</v>
      </c>
      <c r="H651" t="s">
        <v>169</v>
      </c>
      <c r="I651" t="s">
        <v>110</v>
      </c>
      <c r="J651" t="s">
        <v>110</v>
      </c>
      <c r="K651" t="s">
        <v>60</v>
      </c>
      <c r="L651" t="str">
        <f>IF(TRIM(K651)="","Unknown",PROPER(TRIM(K651)))</f>
        <v>South</v>
      </c>
      <c r="M651" t="s">
        <v>97</v>
      </c>
      <c r="N651" t="s">
        <v>98</v>
      </c>
      <c r="O651" t="s">
        <v>29</v>
      </c>
      <c r="P651" t="str">
        <f>IF(TRIM(O651)="","Unknown",PROPER(TRIM(O651)))</f>
        <v>Office Supplies</v>
      </c>
      <c r="Q651" t="s">
        <v>105</v>
      </c>
      <c r="R651" t="s">
        <v>1453</v>
      </c>
      <c r="S651" t="s">
        <v>47</v>
      </c>
      <c r="T651" t="str">
        <f>IF(TRIM(S651)="","Unknown",PROPER(TRIM(S651)))</f>
        <v>Same Day</v>
      </c>
      <c r="U651">
        <v>1</v>
      </c>
      <c r="V651">
        <v>1947.88</v>
      </c>
      <c r="W651">
        <v>0.15</v>
      </c>
      <c r="Y651">
        <v>0.15</v>
      </c>
      <c r="Z651">
        <v>1655.7</v>
      </c>
      <c r="AA651">
        <v>1354.8</v>
      </c>
      <c r="AB651">
        <v>300.89999999999998</v>
      </c>
      <c r="AC651" t="s">
        <v>33</v>
      </c>
      <c r="AD651" t="s">
        <v>120</v>
      </c>
      <c r="AE651">
        <f>ROUND((U651*V651)-(U651*V651*Y651),2)</f>
        <v>1655.7</v>
      </c>
      <c r="AF651">
        <f>AE651-AA651</f>
        <v>300.90000000000009</v>
      </c>
      <c r="AG651" s="7">
        <f>ROUND((AF651/AE651),4)</f>
        <v>0.1817</v>
      </c>
      <c r="AH651">
        <f>IF(AND(C651&lt;&gt;"",E651&lt;&gt;""),E651 - C651,"")</f>
        <v>2</v>
      </c>
      <c r="AI651" t="str">
        <f>IF(C651="","",TEXT(C651, "mmmm"))</f>
        <v>July</v>
      </c>
      <c r="AJ651">
        <f>IF(C651="","",YEAR(C651))</f>
        <v>2025</v>
      </c>
      <c r="AM651" t="str">
        <f>IF(AN651="","clean","")</f>
        <v>clean</v>
      </c>
      <c r="AN651" t="s">
        <v>3595</v>
      </c>
    </row>
    <row r="652" spans="1:40">
      <c r="A652" t="s">
        <v>1454</v>
      </c>
      <c r="B652" t="s">
        <v>3801</v>
      </c>
      <c r="C652" s="6">
        <v>45916</v>
      </c>
      <c r="D652" t="s">
        <v>1455</v>
      </c>
      <c r="E652" s="6">
        <v>45922</v>
      </c>
      <c r="F652" t="s">
        <v>1456</v>
      </c>
      <c r="G652" t="s">
        <v>158</v>
      </c>
      <c r="H652" t="s">
        <v>158</v>
      </c>
      <c r="I652" t="s">
        <v>110</v>
      </c>
      <c r="J652" t="s">
        <v>110</v>
      </c>
      <c r="K652" t="s">
        <v>41</v>
      </c>
      <c r="L652" t="str">
        <f>IF(TRIM(K652)="","Unknown",PROPER(TRIM(K652)))</f>
        <v>East</v>
      </c>
      <c r="M652" t="s">
        <v>116</v>
      </c>
      <c r="N652" t="s">
        <v>117</v>
      </c>
      <c r="O652" t="s">
        <v>83</v>
      </c>
      <c r="P652" t="str">
        <f>IF(TRIM(O652)="","Unknown",PROPER(TRIM(O652)))</f>
        <v>Technology</v>
      </c>
      <c r="Q652" t="s">
        <v>91</v>
      </c>
      <c r="R652" t="s">
        <v>1457</v>
      </c>
      <c r="S652" t="s">
        <v>32</v>
      </c>
      <c r="T652" t="str">
        <f>IF(TRIM(S652)="","Unknown",PROPER(TRIM(S652)))</f>
        <v>Second Class</v>
      </c>
      <c r="U652">
        <v>5</v>
      </c>
      <c r="V652">
        <v>3671.2</v>
      </c>
      <c r="W652">
        <v>0.15</v>
      </c>
      <c r="Y652">
        <v>0.15</v>
      </c>
      <c r="Z652">
        <v>15602.6</v>
      </c>
      <c r="AA652">
        <v>11908.52</v>
      </c>
      <c r="AB652">
        <v>3694.08</v>
      </c>
      <c r="AC652" t="s">
        <v>33</v>
      </c>
      <c r="AD652" t="s">
        <v>34</v>
      </c>
      <c r="AE652">
        <f>ROUND((U652*V652)-(U652*V652*Y652),2)</f>
        <v>15602.6</v>
      </c>
      <c r="AF652">
        <f>AE652-AA652</f>
        <v>3694.08</v>
      </c>
      <c r="AG652" s="7">
        <f>ROUND((AF652/AE652),4)</f>
        <v>0.23680000000000001</v>
      </c>
      <c r="AH652">
        <f>IF(AND(C652&lt;&gt;"",E652&lt;&gt;""),E652 - C652,"")</f>
        <v>6</v>
      </c>
      <c r="AI652" t="str">
        <f>IF(C652="","",TEXT(C652, "mmmm"))</f>
        <v>September</v>
      </c>
      <c r="AJ652">
        <f>IF(C652="","",YEAR(C652))</f>
        <v>2025</v>
      </c>
      <c r="AM652" t="str">
        <f>IF(AN652="","clean","")</f>
        <v>clean</v>
      </c>
      <c r="AN652" t="s">
        <v>3595</v>
      </c>
    </row>
    <row r="653" spans="1:40">
      <c r="A653" t="s">
        <v>1458</v>
      </c>
      <c r="B653" t="s">
        <v>3802</v>
      </c>
      <c r="C653" s="6">
        <v>45860</v>
      </c>
      <c r="D653" t="s">
        <v>1332</v>
      </c>
      <c r="E653" s="6">
        <v>45860</v>
      </c>
      <c r="F653" t="s">
        <v>1459</v>
      </c>
      <c r="G653" t="s">
        <v>158</v>
      </c>
      <c r="H653" t="s">
        <v>158</v>
      </c>
      <c r="I653" t="s">
        <v>104</v>
      </c>
      <c r="J653" t="s">
        <v>104</v>
      </c>
      <c r="K653" t="s">
        <v>41</v>
      </c>
      <c r="L653" t="str">
        <f>IF(TRIM(K653)="","Unknown",PROPER(TRIM(K653)))</f>
        <v>East</v>
      </c>
      <c r="M653" t="s">
        <v>284</v>
      </c>
      <c r="N653" t="s">
        <v>285</v>
      </c>
      <c r="O653" t="s">
        <v>44</v>
      </c>
      <c r="P653" t="str">
        <f>IF(TRIM(O653)="","Unknown",PROPER(TRIM(O653)))</f>
        <v>Furniture</v>
      </c>
      <c r="Q653" t="s">
        <v>63</v>
      </c>
      <c r="R653" t="s">
        <v>1460</v>
      </c>
      <c r="S653" t="s">
        <v>47</v>
      </c>
      <c r="T653" t="str">
        <f>IF(TRIM(S653)="","Unknown",PROPER(TRIM(S653)))</f>
        <v>Same Day</v>
      </c>
      <c r="U653">
        <v>5</v>
      </c>
      <c r="V653">
        <v>3187.05</v>
      </c>
      <c r="W653">
        <v>0.05</v>
      </c>
      <c r="Y653">
        <v>0.05</v>
      </c>
      <c r="Z653">
        <v>15138.49</v>
      </c>
      <c r="AA653">
        <v>11235.72</v>
      </c>
      <c r="AB653">
        <v>3902.77</v>
      </c>
      <c r="AC653" t="s">
        <v>33</v>
      </c>
      <c r="AD653" t="s">
        <v>34</v>
      </c>
      <c r="AE653">
        <f>ROUND((U653*V653)-(U653*V653*Y653),2)</f>
        <v>15138.49</v>
      </c>
      <c r="AF653">
        <f>AE653-AA653</f>
        <v>3902.7700000000004</v>
      </c>
      <c r="AG653" s="7">
        <f>ROUND((AF653/AE653),4)</f>
        <v>0.25779999999999997</v>
      </c>
      <c r="AH653">
        <f>IF(AND(C653&lt;&gt;"",E653&lt;&gt;""),E653 - C653,"")</f>
        <v>0</v>
      </c>
      <c r="AI653" t="str">
        <f>IF(C653="","",TEXT(C653, "mmmm"))</f>
        <v>July</v>
      </c>
      <c r="AJ653">
        <f>IF(C653="","",YEAR(C653))</f>
        <v>2025</v>
      </c>
      <c r="AM653" t="str">
        <f>IF(AN653="","clean","")</f>
        <v>clean</v>
      </c>
      <c r="AN653" t="s">
        <v>3595</v>
      </c>
    </row>
    <row r="654" spans="1:40">
      <c r="A654" t="s">
        <v>1464</v>
      </c>
      <c r="B654" t="s">
        <v>3804</v>
      </c>
      <c r="C654" s="6">
        <v>45806</v>
      </c>
      <c r="D654" t="s">
        <v>1260</v>
      </c>
      <c r="E654" s="6">
        <v>45812</v>
      </c>
      <c r="F654" t="s">
        <v>1465</v>
      </c>
      <c r="G654" t="s">
        <v>196</v>
      </c>
      <c r="H654" t="s">
        <v>196</v>
      </c>
      <c r="I654" t="s">
        <v>25</v>
      </c>
      <c r="J654" t="s">
        <v>25</v>
      </c>
      <c r="K654" t="s">
        <v>71</v>
      </c>
      <c r="L654" t="str">
        <f>IF(TRIM(K654)="","Unknown",PROPER(TRIM(K654)))</f>
        <v>West</v>
      </c>
      <c r="M654" t="s">
        <v>72</v>
      </c>
      <c r="N654" t="s">
        <v>73</v>
      </c>
      <c r="O654" t="s">
        <v>29</v>
      </c>
      <c r="P654" t="str">
        <f>IF(TRIM(O654)="","Unknown",PROPER(TRIM(O654)))</f>
        <v>Office Supplies</v>
      </c>
      <c r="Q654" t="s">
        <v>148</v>
      </c>
      <c r="R654" t="s">
        <v>1466</v>
      </c>
      <c r="S654" t="s">
        <v>55</v>
      </c>
      <c r="T654" t="str">
        <f>IF(TRIM(S654)="","Unknown",PROPER(TRIM(S654)))</f>
        <v>First Class</v>
      </c>
      <c r="U654">
        <v>6</v>
      </c>
      <c r="V654">
        <v>3100.68</v>
      </c>
      <c r="W654">
        <v>0</v>
      </c>
      <c r="Y654">
        <v>0</v>
      </c>
      <c r="Z654">
        <v>18604.080000000002</v>
      </c>
      <c r="AA654">
        <v>15834.3</v>
      </c>
      <c r="AB654">
        <v>2769.78</v>
      </c>
      <c r="AC654" t="s">
        <v>33</v>
      </c>
      <c r="AD654" t="s">
        <v>34</v>
      </c>
      <c r="AE654">
        <f>ROUND((U654*V654)-(U654*V654*Y654),2)</f>
        <v>18604.080000000002</v>
      </c>
      <c r="AF654">
        <f>AE654-AA654</f>
        <v>2769.7800000000025</v>
      </c>
      <c r="AG654" s="7">
        <f>ROUND((AF654/AE654),4)</f>
        <v>0.1489</v>
      </c>
      <c r="AH654">
        <f>IF(AND(C654&lt;&gt;"",E654&lt;&gt;""),E654 - C654,"")</f>
        <v>6</v>
      </c>
      <c r="AI654" t="str">
        <f>IF(C654="","",TEXT(C654, "mmmm"))</f>
        <v>May</v>
      </c>
      <c r="AJ654">
        <f>IF(C654="","",YEAR(C654))</f>
        <v>2025</v>
      </c>
      <c r="AM654" t="str">
        <f>IF(AN654="","clean","")</f>
        <v>clean</v>
      </c>
      <c r="AN654" t="s">
        <v>3595</v>
      </c>
    </row>
    <row r="655" spans="1:40">
      <c r="A655" t="s">
        <v>1467</v>
      </c>
      <c r="B655" t="s">
        <v>3805</v>
      </c>
      <c r="C655" s="6">
        <v>45789</v>
      </c>
      <c r="D655" t="s">
        <v>1468</v>
      </c>
      <c r="E655" s="6">
        <v>45795</v>
      </c>
      <c r="F655" t="s">
        <v>1469</v>
      </c>
      <c r="G655" t="s">
        <v>90</v>
      </c>
      <c r="H655" t="s">
        <v>90</v>
      </c>
      <c r="I655" t="s">
        <v>40</v>
      </c>
      <c r="J655" t="s">
        <v>40</v>
      </c>
      <c r="K655" t="s">
        <v>71</v>
      </c>
      <c r="L655" t="str">
        <f>IF(TRIM(K655)="","Unknown",PROPER(TRIM(K655)))</f>
        <v>West</v>
      </c>
      <c r="M655" t="s">
        <v>72</v>
      </c>
      <c r="N655" t="s">
        <v>73</v>
      </c>
      <c r="O655" t="s">
        <v>29</v>
      </c>
      <c r="P655" t="str">
        <f>IF(TRIM(O655)="","Unknown",PROPER(TRIM(O655)))</f>
        <v>Office Supplies</v>
      </c>
      <c r="Q655" t="s">
        <v>148</v>
      </c>
      <c r="R655" t="s">
        <v>1470</v>
      </c>
      <c r="S655" t="s">
        <v>65</v>
      </c>
      <c r="T655" t="str">
        <f>IF(TRIM(S655)="","Unknown",PROPER(TRIM(S655)))</f>
        <v>Standard Class</v>
      </c>
      <c r="U655">
        <v>4</v>
      </c>
      <c r="V655">
        <v>4053.03</v>
      </c>
      <c r="W655">
        <v>0.05</v>
      </c>
      <c r="Y655">
        <v>0.05</v>
      </c>
      <c r="Z655">
        <v>15401.51</v>
      </c>
      <c r="AA655">
        <v>8650.42</v>
      </c>
      <c r="AB655">
        <v>6751.09</v>
      </c>
      <c r="AC655" t="s">
        <v>33</v>
      </c>
      <c r="AD655" t="s">
        <v>34</v>
      </c>
      <c r="AE655">
        <f>ROUND((U655*V655)-(U655*V655*Y655),2)</f>
        <v>15401.51</v>
      </c>
      <c r="AF655">
        <f>AE655-AA655</f>
        <v>6751.09</v>
      </c>
      <c r="AG655" s="7">
        <f>ROUND((AF655/AE655),4)</f>
        <v>0.43830000000000002</v>
      </c>
      <c r="AH655">
        <f>IF(AND(C655&lt;&gt;"",E655&lt;&gt;""),E655 - C655,"")</f>
        <v>6</v>
      </c>
      <c r="AI655" t="str">
        <f>IF(C655="","",TEXT(C655, "mmmm"))</f>
        <v>May</v>
      </c>
      <c r="AJ655">
        <f>IF(C655="","",YEAR(C655))</f>
        <v>2025</v>
      </c>
      <c r="AM655" t="str">
        <f>IF(AN655="","clean","")</f>
        <v>clean</v>
      </c>
      <c r="AN655" t="s">
        <v>3595</v>
      </c>
    </row>
    <row r="656" spans="1:40">
      <c r="A656" t="s">
        <v>1478</v>
      </c>
      <c r="B656" t="s">
        <v>1479</v>
      </c>
      <c r="C656" s="6">
        <v>45804</v>
      </c>
      <c r="D656" t="s">
        <v>1480</v>
      </c>
      <c r="E656" s="6">
        <v>45805</v>
      </c>
      <c r="F656" t="s">
        <v>1481</v>
      </c>
      <c r="G656" t="s">
        <v>153</v>
      </c>
      <c r="H656" t="s">
        <v>153</v>
      </c>
      <c r="I656" t="s">
        <v>25</v>
      </c>
      <c r="J656" t="s">
        <v>25</v>
      </c>
      <c r="K656" t="s">
        <v>60</v>
      </c>
      <c r="L656" t="str">
        <f>IF(TRIM(K656)="","Unknown",PROPER(TRIM(K656)))</f>
        <v>South</v>
      </c>
      <c r="M656" t="s">
        <v>97</v>
      </c>
      <c r="N656" t="s">
        <v>98</v>
      </c>
      <c r="O656" t="s">
        <v>83</v>
      </c>
      <c r="P656" t="str">
        <f>IF(TRIM(O656)="","Unknown",PROPER(TRIM(O656)))</f>
        <v>Technology</v>
      </c>
      <c r="Q656" t="s">
        <v>1482</v>
      </c>
      <c r="R656" t="s">
        <v>1483</v>
      </c>
      <c r="S656" t="s">
        <v>32</v>
      </c>
      <c r="T656" t="str">
        <f>IF(TRIM(S656)="","Unknown",PROPER(TRIM(S656)))</f>
        <v>Second Class</v>
      </c>
      <c r="U656">
        <v>2</v>
      </c>
      <c r="V656">
        <v>3911.96</v>
      </c>
      <c r="W656">
        <v>0</v>
      </c>
      <c r="Y656">
        <v>0</v>
      </c>
      <c r="Z656">
        <v>7823.92</v>
      </c>
      <c r="AA656">
        <v>6034.63</v>
      </c>
      <c r="AB656">
        <v>1789.29</v>
      </c>
      <c r="AC656" t="s">
        <v>33</v>
      </c>
      <c r="AD656" t="s">
        <v>34</v>
      </c>
      <c r="AE656">
        <f>ROUND((U656*V656)-(U656*V656*Y656),2)</f>
        <v>7823.92</v>
      </c>
      <c r="AF656">
        <f>AE656-AA656</f>
        <v>1789.29</v>
      </c>
      <c r="AG656" s="7">
        <f>ROUND((AF656/AE656),4)</f>
        <v>0.22869999999999999</v>
      </c>
      <c r="AH656">
        <f>IF(AND(C656&lt;&gt;"",E656&lt;&gt;""),E656 - C656,"")</f>
        <v>1</v>
      </c>
      <c r="AI656" t="str">
        <f>IF(C656="","",TEXT(C656, "mmmm"))</f>
        <v>May</v>
      </c>
      <c r="AJ656">
        <f>IF(C656="","",YEAR(C656))</f>
        <v>2025</v>
      </c>
      <c r="AM656" t="str">
        <f>IF(AN656="","clean","")</f>
        <v>clean</v>
      </c>
      <c r="AN656" t="s">
        <v>3595</v>
      </c>
    </row>
    <row r="657" spans="1:40">
      <c r="A657" t="s">
        <v>1484</v>
      </c>
      <c r="B657" t="s">
        <v>3806</v>
      </c>
      <c r="C657" s="6">
        <v>45830</v>
      </c>
      <c r="D657" t="s">
        <v>1485</v>
      </c>
      <c r="E657" s="6">
        <v>45835</v>
      </c>
      <c r="F657" t="s">
        <v>1486</v>
      </c>
      <c r="G657" t="s">
        <v>169</v>
      </c>
      <c r="H657" t="s">
        <v>169</v>
      </c>
      <c r="I657" t="s">
        <v>110</v>
      </c>
      <c r="J657" t="s">
        <v>110</v>
      </c>
      <c r="L657" t="str">
        <f>IF(TRIM(K657)="","Unknown",PROPER(TRIM(K657)))</f>
        <v>Unknown</v>
      </c>
      <c r="M657" t="s">
        <v>454</v>
      </c>
      <c r="N657" t="s">
        <v>455</v>
      </c>
      <c r="O657" t="s">
        <v>83</v>
      </c>
      <c r="P657" t="str">
        <f>IF(TRIM(O657)="","Unknown",PROPER(TRIM(O657)))</f>
        <v>Technology</v>
      </c>
      <c r="Q657" t="s">
        <v>207</v>
      </c>
      <c r="R657" t="s">
        <v>1487</v>
      </c>
      <c r="S657" t="s">
        <v>55</v>
      </c>
      <c r="T657" t="str">
        <f>IF(TRIM(S657)="","Unknown",PROPER(TRIM(S657)))</f>
        <v>First Class</v>
      </c>
      <c r="U657">
        <v>2</v>
      </c>
      <c r="V657">
        <v>1468.05</v>
      </c>
      <c r="W657">
        <v>0</v>
      </c>
      <c r="Y657">
        <v>0</v>
      </c>
      <c r="Z657">
        <v>2936.1</v>
      </c>
      <c r="AA657">
        <v>1923.1</v>
      </c>
      <c r="AB657">
        <v>1013</v>
      </c>
      <c r="AC657" t="s">
        <v>33</v>
      </c>
      <c r="AD657" t="s">
        <v>34</v>
      </c>
      <c r="AE657">
        <f>ROUND((U657*V657)-(U657*V657*Y657),2)</f>
        <v>2936.1</v>
      </c>
      <c r="AF657">
        <f>AE657-AA657</f>
        <v>1013</v>
      </c>
      <c r="AG657" s="7">
        <f>ROUND((AF657/AE657),4)</f>
        <v>0.34499999999999997</v>
      </c>
      <c r="AH657">
        <f>IF(AND(C657&lt;&gt;"",E657&lt;&gt;""),E657 - C657,"")</f>
        <v>5</v>
      </c>
      <c r="AI657" t="str">
        <f>IF(C657="","",TEXT(C657, "mmmm"))</f>
        <v>June</v>
      </c>
      <c r="AJ657">
        <f>IF(C657="","",YEAR(C657))</f>
        <v>2025</v>
      </c>
      <c r="AM657" t="s">
        <v>4145</v>
      </c>
      <c r="AN657" t="s">
        <v>3597</v>
      </c>
    </row>
    <row r="658" spans="1:40">
      <c r="A658" t="s">
        <v>1492</v>
      </c>
      <c r="B658" t="s">
        <v>3808</v>
      </c>
      <c r="C658" s="6">
        <v>45824</v>
      </c>
      <c r="D658" t="s">
        <v>1493</v>
      </c>
      <c r="E658" s="6">
        <v>45826</v>
      </c>
      <c r="F658" t="s">
        <v>1494</v>
      </c>
      <c r="G658" t="s">
        <v>141</v>
      </c>
      <c r="H658" t="s">
        <v>141</v>
      </c>
      <c r="I658" t="s">
        <v>110</v>
      </c>
      <c r="J658" t="s">
        <v>110</v>
      </c>
      <c r="K658" t="s">
        <v>71</v>
      </c>
      <c r="L658" t="str">
        <f>IF(TRIM(K658)="","Unknown",PROPER(TRIM(K658)))</f>
        <v>West</v>
      </c>
      <c r="M658" t="s">
        <v>81</v>
      </c>
      <c r="N658" t="s">
        <v>82</v>
      </c>
      <c r="O658" t="s">
        <v>29</v>
      </c>
      <c r="P658" t="str">
        <f>IF(TRIM(O658)="","Unknown",PROPER(TRIM(O658)))</f>
        <v>Office Supplies</v>
      </c>
      <c r="Q658" t="s">
        <v>30</v>
      </c>
      <c r="R658" t="s">
        <v>1495</v>
      </c>
      <c r="S658" t="s">
        <v>55</v>
      </c>
      <c r="T658" t="str">
        <f>IF(TRIM(S658)="","Unknown",PROPER(TRIM(S658)))</f>
        <v>First Class</v>
      </c>
      <c r="U658">
        <v>3</v>
      </c>
      <c r="V658">
        <v>4289.37</v>
      </c>
      <c r="W658">
        <v>0.1</v>
      </c>
      <c r="Y658">
        <v>0.1</v>
      </c>
      <c r="Z658">
        <v>11581.3</v>
      </c>
      <c r="AA658">
        <v>6829.43</v>
      </c>
      <c r="AB658">
        <v>4751.87</v>
      </c>
      <c r="AC658" t="s">
        <v>33</v>
      </c>
      <c r="AD658" t="s">
        <v>34</v>
      </c>
      <c r="AE658">
        <f>ROUND((U658*V658)-(U658*V658*Y658),2)</f>
        <v>11581.3</v>
      </c>
      <c r="AF658">
        <f>AE658-AA658</f>
        <v>4751.869999999999</v>
      </c>
      <c r="AG658" s="7">
        <f>ROUND((AF658/AE658),4)</f>
        <v>0.4103</v>
      </c>
      <c r="AH658">
        <f>IF(AND(C658&lt;&gt;"",E658&lt;&gt;""),E658 - C658,"")</f>
        <v>2</v>
      </c>
      <c r="AI658" t="str">
        <f>IF(C658="","",TEXT(C658, "mmmm"))</f>
        <v>June</v>
      </c>
      <c r="AJ658">
        <f>IF(C658="","",YEAR(C658))</f>
        <v>2025</v>
      </c>
      <c r="AM658" t="str">
        <f>IF(AN658="","clean","")</f>
        <v>clean</v>
      </c>
      <c r="AN658" t="s">
        <v>3595</v>
      </c>
    </row>
    <row r="659" spans="1:40">
      <c r="A659" t="s">
        <v>1492</v>
      </c>
      <c r="B659" t="s">
        <v>3808</v>
      </c>
      <c r="C659" s="6">
        <v>45824</v>
      </c>
      <c r="D659" t="s">
        <v>1493</v>
      </c>
      <c r="E659" s="6">
        <v>45826</v>
      </c>
      <c r="F659" t="s">
        <v>1494</v>
      </c>
      <c r="G659" t="s">
        <v>141</v>
      </c>
      <c r="H659" t="s">
        <v>141</v>
      </c>
      <c r="I659" t="s">
        <v>110</v>
      </c>
      <c r="J659" t="s">
        <v>110</v>
      </c>
      <c r="K659" t="s">
        <v>71</v>
      </c>
      <c r="L659" t="str">
        <f>IF(TRIM(K659)="","Unknown",PROPER(TRIM(K659)))</f>
        <v>West</v>
      </c>
      <c r="M659" t="s">
        <v>81</v>
      </c>
      <c r="N659" t="s">
        <v>82</v>
      </c>
      <c r="O659" t="s">
        <v>29</v>
      </c>
      <c r="P659" t="str">
        <f>IF(TRIM(O659)="","Unknown",PROPER(TRIM(O659)))</f>
        <v>Office Supplies</v>
      </c>
      <c r="Q659" t="s">
        <v>30</v>
      </c>
      <c r="R659" t="s">
        <v>1495</v>
      </c>
      <c r="S659" t="s">
        <v>55</v>
      </c>
      <c r="T659" t="str">
        <f>IF(TRIM(S659)="","Unknown",PROPER(TRIM(S659)))</f>
        <v>First Class</v>
      </c>
      <c r="U659">
        <v>3</v>
      </c>
      <c r="V659">
        <v>4289.37</v>
      </c>
      <c r="W659">
        <v>0.1</v>
      </c>
      <c r="Y659">
        <v>0.08</v>
      </c>
      <c r="Z659">
        <v>11778.71</v>
      </c>
      <c r="AA659">
        <v>6829.43</v>
      </c>
      <c r="AB659">
        <v>4751.87</v>
      </c>
      <c r="AC659" t="s">
        <v>33</v>
      </c>
      <c r="AD659" t="s">
        <v>120</v>
      </c>
      <c r="AE659">
        <f>ROUND((U659*V659)-(U659*V659*Y659),2)</f>
        <v>11838.66</v>
      </c>
      <c r="AF659">
        <f>AE659-AA659</f>
        <v>5009.2299999999996</v>
      </c>
      <c r="AG659" s="7">
        <f>ROUND((AF659/AE659),4)</f>
        <v>0.42309999999999998</v>
      </c>
      <c r="AH659">
        <f>IF(AND(C659&lt;&gt;"",E659&lt;&gt;""),E659 - C659,"")</f>
        <v>2</v>
      </c>
      <c r="AI659" t="str">
        <f>IF(C659="","",TEXT(C659, "mmmm"))</f>
        <v>June</v>
      </c>
      <c r="AJ659">
        <f>IF(C659="","",YEAR(C659))</f>
        <v>2025</v>
      </c>
      <c r="AK659" t="s">
        <v>4152</v>
      </c>
      <c r="AM659" t="s">
        <v>4145</v>
      </c>
      <c r="AN659" t="s">
        <v>4155</v>
      </c>
    </row>
    <row r="660" spans="1:40">
      <c r="A660" t="s">
        <v>1506</v>
      </c>
      <c r="B660" t="s">
        <v>3707</v>
      </c>
      <c r="D660" t="s">
        <v>1507</v>
      </c>
      <c r="F660" t="s">
        <v>1508</v>
      </c>
      <c r="G660" t="s">
        <v>90</v>
      </c>
      <c r="H660" t="s">
        <v>90</v>
      </c>
      <c r="I660" t="s">
        <v>104</v>
      </c>
      <c r="J660" t="s">
        <v>104</v>
      </c>
      <c r="K660" t="s">
        <v>41</v>
      </c>
      <c r="L660" t="str">
        <f>IF(TRIM(K660)="","Unknown",PROPER(TRIM(K660)))</f>
        <v>East</v>
      </c>
      <c r="M660" t="s">
        <v>284</v>
      </c>
      <c r="N660" t="s">
        <v>285</v>
      </c>
      <c r="O660" t="s">
        <v>44</v>
      </c>
      <c r="P660" t="str">
        <f>IF(TRIM(O660)="","Unknown",PROPER(TRIM(O660)))</f>
        <v>Furniture</v>
      </c>
      <c r="Q660" t="s">
        <v>190</v>
      </c>
      <c r="R660" t="s">
        <v>1509</v>
      </c>
      <c r="S660" t="s">
        <v>65</v>
      </c>
      <c r="T660" t="str">
        <f>IF(TRIM(S660)="","Unknown",PROPER(TRIM(S660)))</f>
        <v>Standard Class</v>
      </c>
      <c r="U660">
        <v>8</v>
      </c>
      <c r="V660">
        <v>3265.76</v>
      </c>
      <c r="W660">
        <v>0.2</v>
      </c>
      <c r="Y660">
        <v>0.2</v>
      </c>
      <c r="Z660">
        <v>20900.86</v>
      </c>
      <c r="AA660">
        <v>12513.14</v>
      </c>
      <c r="AB660">
        <v>8387.7199999999993</v>
      </c>
      <c r="AC660" t="s">
        <v>33</v>
      </c>
      <c r="AD660" t="s">
        <v>34</v>
      </c>
      <c r="AE660">
        <f>ROUND((U660*V660)-(U660*V660*Y660),2)</f>
        <v>20900.86</v>
      </c>
      <c r="AF660">
        <f>AE660-AA660</f>
        <v>8387.7200000000012</v>
      </c>
      <c r="AG660" s="7">
        <f>ROUND((AF660/AE660),4)</f>
        <v>0.40129999999999999</v>
      </c>
      <c r="AH660" t="str">
        <f>IF(AND(C660&lt;&gt;"",E660&lt;&gt;""),E660 - C660,"")</f>
        <v/>
      </c>
      <c r="AI660" t="str">
        <f>IF(C660="","",TEXT(C660, "mmmm"))</f>
        <v/>
      </c>
      <c r="AJ660" t="str">
        <f>IF(C660="","",YEAR(C660))</f>
        <v/>
      </c>
      <c r="AM660" t="s">
        <v>4144</v>
      </c>
      <c r="AN660" t="s">
        <v>4123</v>
      </c>
    </row>
    <row r="661" spans="1:40">
      <c r="A661" t="s">
        <v>1514</v>
      </c>
      <c r="B661" t="s">
        <v>3812</v>
      </c>
      <c r="C661" s="6">
        <v>45908</v>
      </c>
      <c r="D661" t="s">
        <v>1515</v>
      </c>
      <c r="E661" s="6">
        <v>45909</v>
      </c>
      <c r="F661" t="s">
        <v>1516</v>
      </c>
      <c r="G661" t="s">
        <v>169</v>
      </c>
      <c r="H661" t="s">
        <v>169</v>
      </c>
      <c r="I661" t="s">
        <v>110</v>
      </c>
      <c r="J661" t="s">
        <v>110</v>
      </c>
      <c r="K661" t="s">
        <v>71</v>
      </c>
      <c r="L661" t="str">
        <f>IF(TRIM(K661)="","Unknown",PROPER(TRIM(K661)))</f>
        <v>West</v>
      </c>
      <c r="M661" t="s">
        <v>218</v>
      </c>
      <c r="N661" t="s">
        <v>219</v>
      </c>
      <c r="O661" t="s">
        <v>44</v>
      </c>
      <c r="P661" t="str">
        <f>IF(TRIM(O661)="","Unknown",PROPER(TRIM(O661)))</f>
        <v>Furniture</v>
      </c>
      <c r="Q661" t="s">
        <v>74</v>
      </c>
      <c r="R661" t="s">
        <v>1517</v>
      </c>
      <c r="S661" t="s">
        <v>32</v>
      </c>
      <c r="T661" t="str">
        <f>IF(TRIM(S661)="","Unknown",PROPER(TRIM(S661)))</f>
        <v>Second Class</v>
      </c>
      <c r="U661">
        <v>2</v>
      </c>
      <c r="V661">
        <v>3960.33</v>
      </c>
      <c r="W661">
        <v>0.05</v>
      </c>
      <c r="Y661">
        <v>0.05</v>
      </c>
      <c r="Z661">
        <v>7524.63</v>
      </c>
      <c r="AA661">
        <v>6229.6</v>
      </c>
      <c r="AB661">
        <v>1295.03</v>
      </c>
      <c r="AC661" t="s">
        <v>33</v>
      </c>
      <c r="AD661" t="s">
        <v>34</v>
      </c>
      <c r="AE661">
        <f>ROUND((U661*V661)-(U661*V661*Y661),2)</f>
        <v>7524.63</v>
      </c>
      <c r="AF661">
        <f>AE661-AA661</f>
        <v>1295.0299999999997</v>
      </c>
      <c r="AG661" s="7">
        <f>ROUND((AF661/AE661),4)</f>
        <v>0.1721</v>
      </c>
      <c r="AH661">
        <f>IF(AND(C661&lt;&gt;"",E661&lt;&gt;""),E661 - C661,"")</f>
        <v>1</v>
      </c>
      <c r="AI661" t="str">
        <f>IF(C661="","",TEXT(C661, "mmmm"))</f>
        <v>September</v>
      </c>
      <c r="AJ661">
        <f>IF(C661="","",YEAR(C661))</f>
        <v>2025</v>
      </c>
      <c r="AM661" t="str">
        <f>IF(AN661="","clean","")</f>
        <v>clean</v>
      </c>
      <c r="AN661" t="s">
        <v>3595</v>
      </c>
    </row>
    <row r="662" spans="1:40">
      <c r="A662" t="s">
        <v>1518</v>
      </c>
      <c r="B662" t="s">
        <v>1519</v>
      </c>
      <c r="D662" t="s">
        <v>1520</v>
      </c>
      <c r="E662" s="6">
        <v>45870</v>
      </c>
      <c r="F662" t="s">
        <v>1521</v>
      </c>
      <c r="G662" t="s">
        <v>334</v>
      </c>
      <c r="H662" t="s">
        <v>334</v>
      </c>
      <c r="I662" t="s">
        <v>40</v>
      </c>
      <c r="J662" t="s">
        <v>40</v>
      </c>
      <c r="K662" t="s">
        <v>41</v>
      </c>
      <c r="L662" t="str">
        <f>IF(TRIM(K662)="","Unknown",PROPER(TRIM(K662)))</f>
        <v>East</v>
      </c>
      <c r="M662" t="s">
        <v>284</v>
      </c>
      <c r="N662" t="s">
        <v>285</v>
      </c>
      <c r="O662" t="s">
        <v>29</v>
      </c>
      <c r="P662" t="str">
        <f>IF(TRIM(O662)="","Unknown",PROPER(TRIM(O662)))</f>
        <v>Office Supplies</v>
      </c>
      <c r="Q662" t="s">
        <v>184</v>
      </c>
      <c r="R662" t="s">
        <v>1522</v>
      </c>
      <c r="S662" t="s">
        <v>55</v>
      </c>
      <c r="T662" t="str">
        <f>IF(TRIM(S662)="","Unknown",PROPER(TRIM(S662)))</f>
        <v>First Class</v>
      </c>
      <c r="U662">
        <v>8</v>
      </c>
      <c r="V662">
        <v>1528.92</v>
      </c>
      <c r="W662">
        <v>0</v>
      </c>
      <c r="Y662">
        <v>0</v>
      </c>
      <c r="Z662">
        <v>12231.36</v>
      </c>
      <c r="AA662">
        <v>8766.9</v>
      </c>
      <c r="AB662">
        <v>3464.46</v>
      </c>
      <c r="AC662" t="s">
        <v>33</v>
      </c>
      <c r="AD662" t="s">
        <v>34</v>
      </c>
      <c r="AE662">
        <f>ROUND((U662*V662)-(U662*V662*Y662),2)</f>
        <v>12231.36</v>
      </c>
      <c r="AF662">
        <f>AE662-AA662</f>
        <v>3464.4600000000009</v>
      </c>
      <c r="AG662" s="7">
        <f>ROUND((AF662/AE662),4)</f>
        <v>0.28320000000000001</v>
      </c>
      <c r="AH662" t="str">
        <f>IF(AND(C662&lt;&gt;"",E662&lt;&gt;""),E662 - C662,"")</f>
        <v/>
      </c>
      <c r="AI662" t="str">
        <f>IF(C662="","",TEXT(C662, "mmmm"))</f>
        <v/>
      </c>
      <c r="AJ662" t="str">
        <f>IF(C662="","",YEAR(C662))</f>
        <v/>
      </c>
      <c r="AM662" t="s">
        <v>4144</v>
      </c>
      <c r="AN662" t="s">
        <v>4127</v>
      </c>
    </row>
    <row r="663" spans="1:40">
      <c r="A663" t="s">
        <v>1523</v>
      </c>
      <c r="B663" t="s">
        <v>3813</v>
      </c>
      <c r="C663" s="6">
        <v>45933</v>
      </c>
      <c r="D663" t="s">
        <v>1050</v>
      </c>
      <c r="E663" s="6">
        <v>45938</v>
      </c>
      <c r="F663" t="s">
        <v>1524</v>
      </c>
      <c r="G663" t="s">
        <v>153</v>
      </c>
      <c r="H663" t="s">
        <v>153</v>
      </c>
      <c r="I663" t="s">
        <v>104</v>
      </c>
      <c r="J663" t="s">
        <v>104</v>
      </c>
      <c r="K663" t="s">
        <v>71</v>
      </c>
      <c r="L663" t="str">
        <f>IF(TRIM(K663)="","Unknown",PROPER(TRIM(K663)))</f>
        <v>West</v>
      </c>
      <c r="M663" t="s">
        <v>81</v>
      </c>
      <c r="N663" t="s">
        <v>82</v>
      </c>
      <c r="O663" t="s">
        <v>83</v>
      </c>
      <c r="P663" t="str">
        <f>IF(TRIM(O663)="","Unknown",PROPER(TRIM(O663)))</f>
        <v>Technology</v>
      </c>
      <c r="Q663" t="s">
        <v>347</v>
      </c>
      <c r="R663" t="s">
        <v>1525</v>
      </c>
      <c r="S663" t="s">
        <v>47</v>
      </c>
      <c r="T663" t="str">
        <f>IF(TRIM(S663)="","Unknown",PROPER(TRIM(S663)))</f>
        <v>Same Day</v>
      </c>
      <c r="U663">
        <v>9</v>
      </c>
      <c r="V663">
        <v>3837</v>
      </c>
      <c r="W663">
        <v>0.1</v>
      </c>
      <c r="Y663">
        <v>0.1</v>
      </c>
      <c r="Z663">
        <v>31079.7</v>
      </c>
      <c r="AA663">
        <v>17758.25</v>
      </c>
      <c r="AB663">
        <v>13321.45</v>
      </c>
      <c r="AC663" t="s">
        <v>33</v>
      </c>
      <c r="AD663" t="s">
        <v>34</v>
      </c>
      <c r="AE663">
        <f>ROUND((U663*V663)-(U663*V663*Y663),2)</f>
        <v>31079.7</v>
      </c>
      <c r="AF663">
        <f>AE663-AA663</f>
        <v>13321.45</v>
      </c>
      <c r="AG663" s="7">
        <f>ROUND((AF663/AE663),4)</f>
        <v>0.42859999999999998</v>
      </c>
      <c r="AH663">
        <f>IF(AND(C663&lt;&gt;"",E663&lt;&gt;""),E663 - C663,"")</f>
        <v>5</v>
      </c>
      <c r="AI663" t="str">
        <f>IF(C663="","",TEXT(C663, "mmmm"))</f>
        <v>October</v>
      </c>
      <c r="AJ663">
        <f>IF(C663="","",YEAR(C663))</f>
        <v>2025</v>
      </c>
      <c r="AM663" t="str">
        <f>IF(AN663="","clean","")</f>
        <v>clean</v>
      </c>
      <c r="AN663" t="s">
        <v>3595</v>
      </c>
    </row>
    <row r="664" spans="1:40">
      <c r="A664" t="s">
        <v>1534</v>
      </c>
      <c r="B664" t="s">
        <v>3802</v>
      </c>
      <c r="C664" s="6">
        <v>45860</v>
      </c>
      <c r="D664" t="s">
        <v>1535</v>
      </c>
      <c r="F664" t="s">
        <v>1536</v>
      </c>
      <c r="G664" t="s">
        <v>141</v>
      </c>
      <c r="H664" t="s">
        <v>141</v>
      </c>
      <c r="I664" t="s">
        <v>104</v>
      </c>
      <c r="J664" t="s">
        <v>104</v>
      </c>
      <c r="K664" t="s">
        <v>60</v>
      </c>
      <c r="L664" t="str">
        <f>IF(TRIM(K664)="","Unknown",PROPER(TRIM(K664)))</f>
        <v>South</v>
      </c>
      <c r="M664" t="s">
        <v>224</v>
      </c>
      <c r="N664" t="s">
        <v>225</v>
      </c>
      <c r="O664" t="s">
        <v>44</v>
      </c>
      <c r="P664" t="str">
        <f>IF(TRIM(O664)="","Unknown",PROPER(TRIM(O664)))</f>
        <v>Furniture</v>
      </c>
      <c r="Q664" t="s">
        <v>74</v>
      </c>
      <c r="R664" t="s">
        <v>1537</v>
      </c>
      <c r="S664" t="s">
        <v>32</v>
      </c>
      <c r="T664" t="str">
        <f>IF(TRIM(S664)="","Unknown",PROPER(TRIM(S664)))</f>
        <v>Second Class</v>
      </c>
      <c r="U664">
        <v>6</v>
      </c>
      <c r="V664">
        <v>1607.46</v>
      </c>
      <c r="W664">
        <v>0.2</v>
      </c>
      <c r="Y664">
        <v>0.2</v>
      </c>
      <c r="Z664">
        <v>7715.81</v>
      </c>
      <c r="AA664">
        <v>4258.42</v>
      </c>
      <c r="AB664">
        <v>3457.39</v>
      </c>
      <c r="AC664" t="s">
        <v>33</v>
      </c>
      <c r="AD664" t="s">
        <v>34</v>
      </c>
      <c r="AE664">
        <f>ROUND((U664*V664)-(U664*V664*Y664),2)</f>
        <v>7715.81</v>
      </c>
      <c r="AF664">
        <f>AE664-AA664</f>
        <v>3457.3900000000003</v>
      </c>
      <c r="AG664" s="7">
        <f>ROUND((AF664/AE664),4)</f>
        <v>0.4481</v>
      </c>
      <c r="AH664" t="str">
        <f>IF(AND(C664&lt;&gt;"",E664&lt;&gt;""),E664 - C664,"")</f>
        <v/>
      </c>
      <c r="AI664" t="str">
        <f>IF(C664="","",TEXT(C664, "mmmm"))</f>
        <v>July</v>
      </c>
      <c r="AJ664">
        <f>IF(C664="","",YEAR(C664))</f>
        <v>2025</v>
      </c>
      <c r="AM664" t="s">
        <v>4144</v>
      </c>
      <c r="AN664" t="s">
        <v>4136</v>
      </c>
    </row>
    <row r="665" spans="1:40">
      <c r="A665" t="s">
        <v>1546</v>
      </c>
      <c r="B665" t="s">
        <v>3814</v>
      </c>
      <c r="D665" t="s">
        <v>667</v>
      </c>
      <c r="E665" s="6">
        <v>45929</v>
      </c>
      <c r="F665" t="s">
        <v>1547</v>
      </c>
      <c r="G665" t="s">
        <v>334</v>
      </c>
      <c r="H665" t="s">
        <v>334</v>
      </c>
      <c r="I665" t="s">
        <v>110</v>
      </c>
      <c r="J665" t="s">
        <v>110</v>
      </c>
      <c r="K665" t="s">
        <v>41</v>
      </c>
      <c r="L665" t="str">
        <f>IF(TRIM(K665)="","Unknown",PROPER(TRIM(K665)))</f>
        <v>East</v>
      </c>
      <c r="M665" t="s">
        <v>284</v>
      </c>
      <c r="N665" t="s">
        <v>285</v>
      </c>
      <c r="O665" t="s">
        <v>44</v>
      </c>
      <c r="P665" t="str">
        <f>IF(TRIM(O665)="","Unknown",PROPER(TRIM(O665)))</f>
        <v>Furniture</v>
      </c>
      <c r="Q665" t="s">
        <v>63</v>
      </c>
      <c r="R665" t="s">
        <v>1548</v>
      </c>
      <c r="S665" t="s">
        <v>32</v>
      </c>
      <c r="T665" t="str">
        <f>IF(TRIM(S665)="","Unknown",PROPER(TRIM(S665)))</f>
        <v>Second Class</v>
      </c>
      <c r="U665">
        <v>9</v>
      </c>
      <c r="V665">
        <v>2867.55</v>
      </c>
      <c r="W665">
        <v>0.25</v>
      </c>
      <c r="Y665">
        <v>0.25</v>
      </c>
      <c r="Z665">
        <v>19355.96</v>
      </c>
      <c r="AA665">
        <v>15012.45</v>
      </c>
      <c r="AB665">
        <v>4017.4</v>
      </c>
      <c r="AC665" t="s">
        <v>33</v>
      </c>
      <c r="AD665" t="s">
        <v>34</v>
      </c>
      <c r="AE665">
        <f>ROUND((U665*V665)-(U665*V665*Y665),2)</f>
        <v>19355.96</v>
      </c>
      <c r="AF665">
        <f>AE665-AA665</f>
        <v>4343.5099999999984</v>
      </c>
      <c r="AG665" s="7">
        <f>ROUND((AF665/AE665),4)</f>
        <v>0.22439999999999999</v>
      </c>
      <c r="AH665" t="str">
        <f>IF(AND(C665&lt;&gt;"",E665&lt;&gt;""),E665 - C665,"")</f>
        <v/>
      </c>
      <c r="AI665" t="str">
        <f>IF(C665="","",TEXT(C665, "mmmm"))</f>
        <v/>
      </c>
      <c r="AJ665" t="str">
        <f>IF(C665="","",YEAR(C665))</f>
        <v/>
      </c>
      <c r="AM665" t="s">
        <v>4144</v>
      </c>
      <c r="AN665" t="s">
        <v>4127</v>
      </c>
    </row>
    <row r="666" spans="1:40">
      <c r="A666" t="s">
        <v>1554</v>
      </c>
      <c r="B666" t="s">
        <v>3815</v>
      </c>
      <c r="D666" t="s">
        <v>1479</v>
      </c>
      <c r="E666" s="6">
        <v>45804</v>
      </c>
      <c r="F666" t="s">
        <v>1555</v>
      </c>
      <c r="G666" t="s">
        <v>80</v>
      </c>
      <c r="H666" t="s">
        <v>80</v>
      </c>
      <c r="I666" t="s">
        <v>40</v>
      </c>
      <c r="J666" t="s">
        <v>40</v>
      </c>
      <c r="K666" t="s">
        <v>60</v>
      </c>
      <c r="L666" t="str">
        <f>IF(TRIM(K666)="","Unknown",PROPER(TRIM(K666)))</f>
        <v>South</v>
      </c>
      <c r="M666" t="s">
        <v>61</v>
      </c>
      <c r="N666" t="s">
        <v>62</v>
      </c>
      <c r="O666" t="s">
        <v>29</v>
      </c>
      <c r="P666" t="str">
        <f>IF(TRIM(O666)="","Unknown",PROPER(TRIM(O666)))</f>
        <v>Office Supplies</v>
      </c>
      <c r="Q666" t="s">
        <v>148</v>
      </c>
      <c r="R666" t="s">
        <v>1556</v>
      </c>
      <c r="S666" t="s">
        <v>55</v>
      </c>
      <c r="T666" t="str">
        <f>IF(TRIM(S666)="","Unknown",PROPER(TRIM(S666)))</f>
        <v>First Class</v>
      </c>
      <c r="U666">
        <v>6</v>
      </c>
      <c r="V666">
        <v>719.44</v>
      </c>
      <c r="W666">
        <v>0.25</v>
      </c>
      <c r="Y666">
        <v>0.25</v>
      </c>
      <c r="Z666">
        <v>3237.48</v>
      </c>
      <c r="AA666">
        <v>2118.34</v>
      </c>
      <c r="AB666">
        <v>1119.1400000000001</v>
      </c>
      <c r="AC666" t="s">
        <v>131</v>
      </c>
      <c r="AD666" t="s">
        <v>76</v>
      </c>
      <c r="AE666">
        <f>ROUND((U666*V666)-(U666*V666*Y666),2)</f>
        <v>3237.48</v>
      </c>
      <c r="AF666">
        <f>AE666-AA666</f>
        <v>1119.1399999999999</v>
      </c>
      <c r="AG666" s="7">
        <f>ROUND((AF666/AE666),4)</f>
        <v>0.34570000000000001</v>
      </c>
      <c r="AH666" t="str">
        <f>IF(AND(C666&lt;&gt;"",E666&lt;&gt;""),E666 - C666,"")</f>
        <v/>
      </c>
      <c r="AI666" t="str">
        <f>IF(C666="","",TEXT(C666, "mmmm"))</f>
        <v/>
      </c>
      <c r="AJ666" t="str">
        <f>IF(C666="","",YEAR(C666))</f>
        <v/>
      </c>
      <c r="AM666" t="s">
        <v>4144</v>
      </c>
      <c r="AN666" t="s">
        <v>4127</v>
      </c>
    </row>
    <row r="667" spans="1:40">
      <c r="A667" t="s">
        <v>1557</v>
      </c>
      <c r="B667" t="s">
        <v>3816</v>
      </c>
      <c r="C667" s="6">
        <v>45884</v>
      </c>
      <c r="D667" t="s">
        <v>1223</v>
      </c>
      <c r="E667" s="6">
        <v>45886</v>
      </c>
      <c r="F667" t="s">
        <v>1558</v>
      </c>
      <c r="G667" t="s">
        <v>196</v>
      </c>
      <c r="H667" t="s">
        <v>196</v>
      </c>
      <c r="I667" t="s">
        <v>40</v>
      </c>
      <c r="J667" t="s">
        <v>40</v>
      </c>
      <c r="K667" t="s">
        <v>41</v>
      </c>
      <c r="L667" t="str">
        <f>IF(TRIM(K667)="","Unknown",PROPER(TRIM(K667)))</f>
        <v>East</v>
      </c>
      <c r="M667" t="s">
        <v>201</v>
      </c>
      <c r="N667" t="s">
        <v>202</v>
      </c>
      <c r="O667" t="s">
        <v>83</v>
      </c>
      <c r="P667" t="str">
        <f>IF(TRIM(O667)="","Unknown",PROPER(TRIM(O667)))</f>
        <v>Technology</v>
      </c>
      <c r="Q667" t="s">
        <v>91</v>
      </c>
      <c r="R667" t="s">
        <v>1559</v>
      </c>
      <c r="S667" t="s">
        <v>55</v>
      </c>
      <c r="T667" t="str">
        <f>IF(TRIM(S667)="","Unknown",PROPER(TRIM(S667)))</f>
        <v>First Class</v>
      </c>
      <c r="U667">
        <v>5</v>
      </c>
      <c r="V667">
        <v>2862.6</v>
      </c>
      <c r="W667">
        <v>0.25</v>
      </c>
      <c r="Y667">
        <v>0.25</v>
      </c>
      <c r="Z667">
        <v>10734.75</v>
      </c>
      <c r="AA667">
        <v>6475.73</v>
      </c>
      <c r="AB667">
        <v>4259.0200000000004</v>
      </c>
      <c r="AC667" t="s">
        <v>33</v>
      </c>
      <c r="AD667" t="s">
        <v>34</v>
      </c>
      <c r="AE667">
        <f>ROUND((U667*V667)-(U667*V667*Y667),2)</f>
        <v>10734.75</v>
      </c>
      <c r="AF667">
        <f>AE667-AA667</f>
        <v>4259.0200000000004</v>
      </c>
      <c r="AG667" s="7">
        <f>ROUND((AF667/AE667),4)</f>
        <v>0.39679999999999999</v>
      </c>
      <c r="AH667">
        <f>IF(AND(C667&lt;&gt;"",E667&lt;&gt;""),E667 - C667,"")</f>
        <v>2</v>
      </c>
      <c r="AI667" t="str">
        <f>IF(C667="","",TEXT(C667, "mmmm"))</f>
        <v>August</v>
      </c>
      <c r="AJ667">
        <f>IF(C667="","",YEAR(C667))</f>
        <v>2025</v>
      </c>
      <c r="AM667" t="str">
        <f>IF(AN667="","clean","")</f>
        <v>clean</v>
      </c>
      <c r="AN667" t="s">
        <v>3595</v>
      </c>
    </row>
    <row r="668" spans="1:40">
      <c r="A668" t="s">
        <v>1560</v>
      </c>
      <c r="B668" t="s">
        <v>1561</v>
      </c>
      <c r="D668" t="s">
        <v>1025</v>
      </c>
      <c r="F668" t="s">
        <v>1562</v>
      </c>
      <c r="G668" t="s">
        <v>70</v>
      </c>
      <c r="H668" t="s">
        <v>70</v>
      </c>
      <c r="I668" t="s">
        <v>25</v>
      </c>
      <c r="J668" t="s">
        <v>25</v>
      </c>
      <c r="K668" t="s">
        <v>26</v>
      </c>
      <c r="L668" t="str">
        <f>IF(TRIM(K668)="","Unknown",PROPER(TRIM(K668)))</f>
        <v>North</v>
      </c>
      <c r="M668" t="s">
        <v>27</v>
      </c>
      <c r="N668" t="s">
        <v>28</v>
      </c>
      <c r="O668" t="s">
        <v>29</v>
      </c>
      <c r="P668" t="str">
        <f>IF(TRIM(O668)="","Unknown",PROPER(TRIM(O668)))</f>
        <v>Office Supplies</v>
      </c>
      <c r="Q668" t="s">
        <v>53</v>
      </c>
      <c r="R668" t="s">
        <v>1563</v>
      </c>
      <c r="S668" t="s">
        <v>47</v>
      </c>
      <c r="T668" t="str">
        <f>IF(TRIM(S668)="","Unknown",PROPER(TRIM(S668)))</f>
        <v>Same Day</v>
      </c>
      <c r="U668">
        <v>9</v>
      </c>
      <c r="V668">
        <v>1431.67</v>
      </c>
      <c r="W668">
        <v>0.2</v>
      </c>
      <c r="Y668">
        <v>0.2</v>
      </c>
      <c r="Z668">
        <v>10308.02</v>
      </c>
      <c r="AA668">
        <v>5822.31</v>
      </c>
      <c r="AB668">
        <v>4485.71</v>
      </c>
      <c r="AC668" t="s">
        <v>33</v>
      </c>
      <c r="AD668" t="s">
        <v>34</v>
      </c>
      <c r="AE668">
        <f>ROUND((U668*V668)-(U668*V668*Y668),2)</f>
        <v>10308.02</v>
      </c>
      <c r="AF668">
        <f>AE668-AA668</f>
        <v>4485.71</v>
      </c>
      <c r="AG668" s="7">
        <f>ROUND((AF668/AE668),4)</f>
        <v>0.43519999999999998</v>
      </c>
      <c r="AH668" t="str">
        <f>IF(AND(C668&lt;&gt;"",E668&lt;&gt;""),E668 - C668,"")</f>
        <v/>
      </c>
      <c r="AI668" t="str">
        <f>IF(C668="","",TEXT(C668, "mmmm"))</f>
        <v/>
      </c>
      <c r="AJ668" t="str">
        <f>IF(C668="","",YEAR(C668))</f>
        <v/>
      </c>
      <c r="AM668" t="s">
        <v>4144</v>
      </c>
      <c r="AN668" t="s">
        <v>4123</v>
      </c>
    </row>
    <row r="669" spans="1:40">
      <c r="A669" t="s">
        <v>1574</v>
      </c>
      <c r="B669" t="s">
        <v>3817</v>
      </c>
      <c r="C669" s="6">
        <v>45835</v>
      </c>
      <c r="D669" t="s">
        <v>1575</v>
      </c>
      <c r="E669" s="6">
        <v>45837</v>
      </c>
      <c r="F669" t="s">
        <v>1576</v>
      </c>
      <c r="G669" t="s">
        <v>169</v>
      </c>
      <c r="H669" t="s">
        <v>169</v>
      </c>
      <c r="I669" t="s">
        <v>110</v>
      </c>
      <c r="J669" t="s">
        <v>110</v>
      </c>
      <c r="K669" t="s">
        <v>60</v>
      </c>
      <c r="L669" t="str">
        <f>IF(TRIM(K669)="","Unknown",PROPER(TRIM(K669)))</f>
        <v>South</v>
      </c>
      <c r="M669" t="s">
        <v>61</v>
      </c>
      <c r="N669" t="s">
        <v>62</v>
      </c>
      <c r="O669" t="s">
        <v>44</v>
      </c>
      <c r="P669" t="str">
        <f>IF(TRIM(O669)="","Unknown",PROPER(TRIM(O669)))</f>
        <v>Furniture</v>
      </c>
      <c r="Q669" t="s">
        <v>74</v>
      </c>
      <c r="R669" t="s">
        <v>1577</v>
      </c>
      <c r="S669" t="s">
        <v>55</v>
      </c>
      <c r="T669" t="str">
        <f>IF(TRIM(S669)="","Unknown",PROPER(TRIM(S669)))</f>
        <v>First Class</v>
      </c>
      <c r="U669">
        <v>5</v>
      </c>
      <c r="V669">
        <v>621.70000000000005</v>
      </c>
      <c r="W669">
        <v>0.2</v>
      </c>
      <c r="Y669">
        <v>0.2</v>
      </c>
      <c r="Z669">
        <v>2486.8000000000002</v>
      </c>
      <c r="AA669">
        <v>2131.73</v>
      </c>
      <c r="AB669">
        <v>355.07</v>
      </c>
      <c r="AC669" t="s">
        <v>131</v>
      </c>
      <c r="AD669" t="s">
        <v>120</v>
      </c>
      <c r="AE669">
        <f>ROUND((U669*V669)-(U669*V669*Y669),2)</f>
        <v>2486.8000000000002</v>
      </c>
      <c r="AF669">
        <f>AE669-AA669</f>
        <v>355.07000000000016</v>
      </c>
      <c r="AG669" s="7">
        <f>ROUND((AF669/AE669),4)</f>
        <v>0.14280000000000001</v>
      </c>
      <c r="AH669">
        <f>IF(AND(C669&lt;&gt;"",E669&lt;&gt;""),E669 - C669,"")</f>
        <v>2</v>
      </c>
      <c r="AI669" t="str">
        <f>IF(C669="","",TEXT(C669, "mmmm"))</f>
        <v>June</v>
      </c>
      <c r="AJ669">
        <f>IF(C669="","",YEAR(C669))</f>
        <v>2025</v>
      </c>
      <c r="AM669" t="str">
        <f>IF(AN669="","clean","")</f>
        <v>clean</v>
      </c>
      <c r="AN669" t="s">
        <v>3595</v>
      </c>
    </row>
    <row r="670" spans="1:40">
      <c r="A670" t="s">
        <v>1578</v>
      </c>
      <c r="B670" t="s">
        <v>182</v>
      </c>
      <c r="C670" s="6">
        <v>45678</v>
      </c>
      <c r="D670" t="s">
        <v>1579</v>
      </c>
      <c r="E670" s="6">
        <v>45686</v>
      </c>
      <c r="F670" t="s">
        <v>1580</v>
      </c>
      <c r="G670" t="s">
        <v>39</v>
      </c>
      <c r="H670" t="s">
        <v>39</v>
      </c>
      <c r="I670" t="s">
        <v>110</v>
      </c>
      <c r="J670" t="s">
        <v>110</v>
      </c>
      <c r="K670" t="s">
        <v>60</v>
      </c>
      <c r="L670" t="str">
        <f>IF(TRIM(K670)="","Unknown",PROPER(TRIM(K670)))</f>
        <v>South</v>
      </c>
      <c r="M670" t="s">
        <v>97</v>
      </c>
      <c r="N670" t="s">
        <v>98</v>
      </c>
      <c r="O670" t="s">
        <v>83</v>
      </c>
      <c r="P670" t="str">
        <f>IF(TRIM(O670)="","Unknown",PROPER(TRIM(O670)))</f>
        <v>Technology</v>
      </c>
      <c r="Q670" t="s">
        <v>347</v>
      </c>
      <c r="R670" t="s">
        <v>1581</v>
      </c>
      <c r="S670" t="s">
        <v>32</v>
      </c>
      <c r="T670" t="str">
        <f>IF(TRIM(S670)="","Unknown",PROPER(TRIM(S670)))</f>
        <v>Second Class</v>
      </c>
      <c r="U670">
        <v>8</v>
      </c>
      <c r="V670">
        <v>546.13</v>
      </c>
      <c r="W670">
        <v>0</v>
      </c>
      <c r="Y670">
        <v>0</v>
      </c>
      <c r="Z670">
        <v>4369.04</v>
      </c>
      <c r="AA670">
        <v>3716.88</v>
      </c>
      <c r="AB670">
        <v>652.16</v>
      </c>
      <c r="AC670" t="s">
        <v>33</v>
      </c>
      <c r="AD670" t="s">
        <v>76</v>
      </c>
      <c r="AE670">
        <f>ROUND((U670*V670)-(U670*V670*Y670),2)</f>
        <v>4369.04</v>
      </c>
      <c r="AF670">
        <f>AE670-AA670</f>
        <v>652.15999999999985</v>
      </c>
      <c r="AG670" s="7">
        <f>ROUND((AF670/AE670),4)</f>
        <v>0.14929999999999999</v>
      </c>
      <c r="AH670">
        <f>IF(AND(C670&lt;&gt;"",E670&lt;&gt;""),E670 - C670,"")</f>
        <v>8</v>
      </c>
      <c r="AI670" t="str">
        <f>IF(C670="","",TEXT(C670, "mmmm"))</f>
        <v>January</v>
      </c>
      <c r="AJ670">
        <f>IF(C670="","",YEAR(C670))</f>
        <v>2025</v>
      </c>
      <c r="AM670" t="str">
        <f>IF(AN670="","clean","")</f>
        <v>clean</v>
      </c>
      <c r="AN670" t="s">
        <v>3595</v>
      </c>
    </row>
    <row r="671" spans="1:40">
      <c r="A671" t="s">
        <v>1582</v>
      </c>
      <c r="B671" t="s">
        <v>3818</v>
      </c>
      <c r="C671" s="6">
        <v>45878</v>
      </c>
      <c r="D671" t="s">
        <v>1583</v>
      </c>
      <c r="E671" s="6">
        <v>45876</v>
      </c>
      <c r="F671" t="s">
        <v>1584</v>
      </c>
      <c r="G671" t="s">
        <v>80</v>
      </c>
      <c r="H671" t="s">
        <v>80</v>
      </c>
      <c r="I671" t="s">
        <v>110</v>
      </c>
      <c r="J671" t="s">
        <v>110</v>
      </c>
      <c r="K671" t="s">
        <v>71</v>
      </c>
      <c r="L671" t="str">
        <f>IF(TRIM(K671)="","Unknown",PROPER(TRIM(K671)))</f>
        <v>West</v>
      </c>
      <c r="M671" t="s">
        <v>218</v>
      </c>
      <c r="N671" t="s">
        <v>219</v>
      </c>
      <c r="O671" t="s">
        <v>44</v>
      </c>
      <c r="P671" t="str">
        <f>IF(TRIM(O671)="","Unknown",PROPER(TRIM(O671)))</f>
        <v>Furniture</v>
      </c>
      <c r="Q671" t="s">
        <v>190</v>
      </c>
      <c r="R671" t="s">
        <v>1585</v>
      </c>
      <c r="S671" t="s">
        <v>32</v>
      </c>
      <c r="T671" t="str">
        <f>IF(TRIM(S671)="","Unknown",PROPER(TRIM(S671)))</f>
        <v>Second Class</v>
      </c>
      <c r="U671">
        <v>5</v>
      </c>
      <c r="V671">
        <v>1253.92</v>
      </c>
      <c r="W671">
        <v>0.05</v>
      </c>
      <c r="Y671">
        <v>0.05</v>
      </c>
      <c r="Z671">
        <v>5956.12</v>
      </c>
      <c r="AA671">
        <v>4379.18</v>
      </c>
      <c r="AB671">
        <v>1576.94</v>
      </c>
      <c r="AC671" t="s">
        <v>131</v>
      </c>
      <c r="AD671" t="s">
        <v>120</v>
      </c>
      <c r="AE671">
        <f>ROUND((U671*V671)-(U671*V671*Y671),2)</f>
        <v>5956.12</v>
      </c>
      <c r="AF671">
        <f>AE671-AA671</f>
        <v>1576.9399999999996</v>
      </c>
      <c r="AG671" s="7">
        <f>ROUND((AF671/AE671),4)</f>
        <v>0.26479999999999998</v>
      </c>
      <c r="AH671">
        <f>IF(AND(C671&lt;&gt;"",E671&lt;&gt;""),E671 - C671,"")</f>
        <v>-2</v>
      </c>
      <c r="AI671" t="str">
        <f>IF(C671="","",TEXT(C671, "mmmm"))</f>
        <v>August</v>
      </c>
      <c r="AJ671">
        <f>IF(C671="","",YEAR(C671))</f>
        <v>2025</v>
      </c>
      <c r="AM671" t="s">
        <v>4145</v>
      </c>
      <c r="AN671" t="s">
        <v>4140</v>
      </c>
    </row>
    <row r="672" spans="1:40">
      <c r="A672" t="s">
        <v>1594</v>
      </c>
      <c r="B672" t="s">
        <v>3739</v>
      </c>
      <c r="C672" s="6">
        <v>45748</v>
      </c>
      <c r="D672" t="s">
        <v>1595</v>
      </c>
      <c r="E672" s="6">
        <v>45749</v>
      </c>
      <c r="F672" t="s">
        <v>1596</v>
      </c>
      <c r="G672" t="s">
        <v>169</v>
      </c>
      <c r="H672" t="s">
        <v>169</v>
      </c>
      <c r="I672" t="s">
        <v>104</v>
      </c>
      <c r="J672" t="s">
        <v>104</v>
      </c>
      <c r="K672" t="s">
        <v>41</v>
      </c>
      <c r="L672" t="str">
        <f>IF(TRIM(K672)="","Unknown",PROPER(TRIM(K672)))</f>
        <v>East</v>
      </c>
      <c r="M672" t="s">
        <v>42</v>
      </c>
      <c r="N672" t="s">
        <v>43</v>
      </c>
      <c r="O672" t="s">
        <v>44</v>
      </c>
      <c r="P672" t="str">
        <f>IF(TRIM(O672)="","Unknown",PROPER(TRIM(O672)))</f>
        <v>Furniture</v>
      </c>
      <c r="Q672" t="s">
        <v>74</v>
      </c>
      <c r="R672" t="s">
        <v>1597</v>
      </c>
      <c r="S672" t="s">
        <v>32</v>
      </c>
      <c r="T672" t="str">
        <f>IF(TRIM(S672)="","Unknown",PROPER(TRIM(S672)))</f>
        <v>Second Class</v>
      </c>
      <c r="U672">
        <v>9</v>
      </c>
      <c r="V672">
        <v>4165.58</v>
      </c>
      <c r="W672">
        <v>0.05</v>
      </c>
      <c r="Y672">
        <v>0.05</v>
      </c>
      <c r="Z672">
        <v>35615.71</v>
      </c>
      <c r="AA672">
        <v>20389.71</v>
      </c>
      <c r="AB672">
        <v>15226</v>
      </c>
      <c r="AC672" t="s">
        <v>131</v>
      </c>
      <c r="AD672" t="s">
        <v>120</v>
      </c>
      <c r="AE672">
        <f>ROUND((U672*V672)-(U672*V672*Y672),2)</f>
        <v>35615.71</v>
      </c>
      <c r="AF672">
        <f>AE672-AA672</f>
        <v>15226</v>
      </c>
      <c r="AG672" s="7">
        <f>ROUND((AF672/AE672),4)</f>
        <v>0.42749999999999999</v>
      </c>
      <c r="AH672">
        <f>IF(AND(C672&lt;&gt;"",E672&lt;&gt;""),E672 - C672,"")</f>
        <v>1</v>
      </c>
      <c r="AI672" t="str">
        <f>IF(C672="","",TEXT(C672, "mmmm"))</f>
        <v>April</v>
      </c>
      <c r="AJ672">
        <f>IF(C672="","",YEAR(C672))</f>
        <v>2025</v>
      </c>
      <c r="AM672" t="str">
        <f>IF(AN672="","clean","")</f>
        <v>clean</v>
      </c>
      <c r="AN672" t="s">
        <v>3595</v>
      </c>
    </row>
    <row r="673" spans="1:40">
      <c r="A673" t="s">
        <v>1602</v>
      </c>
      <c r="B673" t="s">
        <v>3821</v>
      </c>
      <c r="C673" s="6">
        <v>45845</v>
      </c>
      <c r="D673" t="s">
        <v>1603</v>
      </c>
      <c r="E673" s="6">
        <v>45850</v>
      </c>
      <c r="F673" t="s">
        <v>1604</v>
      </c>
      <c r="G673" t="s">
        <v>196</v>
      </c>
      <c r="H673" t="s">
        <v>196</v>
      </c>
      <c r="I673" t="s">
        <v>104</v>
      </c>
      <c r="J673" t="s">
        <v>104</v>
      </c>
      <c r="K673" t="s">
        <v>41</v>
      </c>
      <c r="L673" t="str">
        <f>IF(TRIM(K673)="","Unknown",PROPER(TRIM(K673)))</f>
        <v>East</v>
      </c>
      <c r="M673" t="s">
        <v>116</v>
      </c>
      <c r="N673" t="s">
        <v>117</v>
      </c>
      <c r="O673" t="s">
        <v>44</v>
      </c>
      <c r="P673" t="str">
        <f>IF(TRIM(O673)="","Unknown",PROPER(TRIM(O673)))</f>
        <v>Furniture</v>
      </c>
      <c r="Q673" t="s">
        <v>45</v>
      </c>
      <c r="R673" t="s">
        <v>1605</v>
      </c>
      <c r="S673" t="s">
        <v>32</v>
      </c>
      <c r="T673" t="str">
        <f>IF(TRIM(S673)="","Unknown",PROPER(TRIM(S673)))</f>
        <v>Second Class</v>
      </c>
      <c r="U673">
        <v>5</v>
      </c>
      <c r="V673">
        <v>1831.37</v>
      </c>
      <c r="W673">
        <v>0.25</v>
      </c>
      <c r="Y673">
        <v>0.25</v>
      </c>
      <c r="Z673">
        <v>6867.64</v>
      </c>
      <c r="AA673">
        <v>5205.3599999999997</v>
      </c>
      <c r="AB673">
        <v>1662.28</v>
      </c>
      <c r="AC673" t="s">
        <v>33</v>
      </c>
      <c r="AD673" t="s">
        <v>34</v>
      </c>
      <c r="AE673">
        <f>ROUND((U673*V673)-(U673*V673*Y673),2)</f>
        <v>6867.64</v>
      </c>
      <c r="AF673">
        <f>AE673-AA673</f>
        <v>1662.2800000000007</v>
      </c>
      <c r="AG673" s="7">
        <f>ROUND((AF673/AE673),4)</f>
        <v>0.24199999999999999</v>
      </c>
      <c r="AH673">
        <f>IF(AND(C673&lt;&gt;"",E673&lt;&gt;""),E673 - C673,"")</f>
        <v>5</v>
      </c>
      <c r="AI673" t="str">
        <f>IF(C673="","",TEXT(C673, "mmmm"))</f>
        <v>July</v>
      </c>
      <c r="AJ673">
        <f>IF(C673="","",YEAR(C673))</f>
        <v>2025</v>
      </c>
      <c r="AM673" t="str">
        <f>IF(AN673="","clean","")</f>
        <v>clean</v>
      </c>
      <c r="AN673" t="s">
        <v>3595</v>
      </c>
    </row>
    <row r="674" spans="1:40">
      <c r="A674" t="s">
        <v>1606</v>
      </c>
      <c r="B674" t="s">
        <v>3822</v>
      </c>
      <c r="C674" s="6">
        <v>45737</v>
      </c>
      <c r="D674" t="s">
        <v>1607</v>
      </c>
      <c r="E674" s="6">
        <v>45740</v>
      </c>
      <c r="F674" t="s">
        <v>1608</v>
      </c>
      <c r="G674" t="s">
        <v>153</v>
      </c>
      <c r="H674" t="s">
        <v>153</v>
      </c>
      <c r="I674" t="s">
        <v>40</v>
      </c>
      <c r="J674" t="s">
        <v>40</v>
      </c>
      <c r="K674" t="s">
        <v>60</v>
      </c>
      <c r="L674" t="str">
        <f>IF(TRIM(K674)="","Unknown",PROPER(TRIM(K674)))</f>
        <v>South</v>
      </c>
      <c r="M674" t="s">
        <v>97</v>
      </c>
      <c r="N674" t="s">
        <v>98</v>
      </c>
      <c r="O674" t="s">
        <v>44</v>
      </c>
      <c r="P674" t="str">
        <f>IF(TRIM(O674)="","Unknown",PROPER(TRIM(O674)))</f>
        <v>Furniture</v>
      </c>
      <c r="Q674" t="s">
        <v>74</v>
      </c>
      <c r="R674" t="s">
        <v>1609</v>
      </c>
      <c r="S674" t="s">
        <v>32</v>
      </c>
      <c r="T674" t="str">
        <f>IF(TRIM(S674)="","Unknown",PROPER(TRIM(S674)))</f>
        <v>Second Class</v>
      </c>
      <c r="U674">
        <v>5</v>
      </c>
      <c r="V674">
        <v>1239.1500000000001</v>
      </c>
      <c r="W674">
        <v>0</v>
      </c>
      <c r="Y674">
        <v>0</v>
      </c>
      <c r="Z674">
        <v>6195.75</v>
      </c>
      <c r="AA674">
        <v>3967.02</v>
      </c>
      <c r="AB674">
        <v>2228.73</v>
      </c>
      <c r="AC674" t="s">
        <v>33</v>
      </c>
      <c r="AD674" t="s">
        <v>34</v>
      </c>
      <c r="AE674">
        <f>ROUND((U674*V674)-(U674*V674*Y674),2)</f>
        <v>6195.75</v>
      </c>
      <c r="AF674">
        <f>AE674-AA674</f>
        <v>2228.73</v>
      </c>
      <c r="AG674" s="7">
        <f>ROUND((AF674/AE674),4)</f>
        <v>0.35970000000000002</v>
      </c>
      <c r="AH674">
        <f>IF(AND(C674&lt;&gt;"",E674&lt;&gt;""),E674 - C674,"")</f>
        <v>3</v>
      </c>
      <c r="AI674" t="str">
        <f>IF(C674="","",TEXT(C674, "mmmm"))</f>
        <v>March</v>
      </c>
      <c r="AJ674">
        <f>IF(C674="","",YEAR(C674))</f>
        <v>2025</v>
      </c>
      <c r="AM674" t="str">
        <f>IF(AN674="","clean","")</f>
        <v>clean</v>
      </c>
      <c r="AN674" t="s">
        <v>3595</v>
      </c>
    </row>
    <row r="675" spans="1:40">
      <c r="A675" t="s">
        <v>1614</v>
      </c>
      <c r="B675" t="s">
        <v>3824</v>
      </c>
      <c r="C675" s="6">
        <v>45673</v>
      </c>
      <c r="D675" t="s">
        <v>1615</v>
      </c>
      <c r="E675" s="6">
        <v>45679</v>
      </c>
      <c r="F675" t="s">
        <v>1616</v>
      </c>
      <c r="G675" t="s">
        <v>158</v>
      </c>
      <c r="H675" t="s">
        <v>158</v>
      </c>
      <c r="I675" t="s">
        <v>104</v>
      </c>
      <c r="J675" t="s">
        <v>104</v>
      </c>
      <c r="K675" t="s">
        <v>26</v>
      </c>
      <c r="L675" t="str">
        <f>IF(TRIM(K675)="","Unknown",PROPER(TRIM(K675)))</f>
        <v>North</v>
      </c>
      <c r="M675" t="s">
        <v>27</v>
      </c>
      <c r="N675" t="s">
        <v>28</v>
      </c>
      <c r="O675" t="s">
        <v>44</v>
      </c>
      <c r="P675" t="str">
        <f>IF(TRIM(O675)="","Unknown",PROPER(TRIM(O675)))</f>
        <v>Furniture</v>
      </c>
      <c r="Q675" t="s">
        <v>45</v>
      </c>
      <c r="R675" t="s">
        <v>1617</v>
      </c>
      <c r="S675" t="s">
        <v>47</v>
      </c>
      <c r="T675" t="str">
        <f>IF(TRIM(S675)="","Unknown",PROPER(TRIM(S675)))</f>
        <v>Same Day</v>
      </c>
      <c r="U675">
        <v>2</v>
      </c>
      <c r="V675">
        <v>4418.28</v>
      </c>
      <c r="W675">
        <v>0</v>
      </c>
      <c r="Y675">
        <v>0</v>
      </c>
      <c r="Z675">
        <v>8836.56</v>
      </c>
      <c r="AA675">
        <v>5867.75</v>
      </c>
      <c r="AB675">
        <v>2968.81</v>
      </c>
      <c r="AC675" t="s">
        <v>33</v>
      </c>
      <c r="AD675" t="s">
        <v>34</v>
      </c>
      <c r="AE675">
        <f>ROUND((U675*V675)-(U675*V675*Y675),2)</f>
        <v>8836.56</v>
      </c>
      <c r="AF675">
        <f>AE675-AA675</f>
        <v>2968.8099999999995</v>
      </c>
      <c r="AG675" s="7">
        <f>ROUND((AF675/AE675),4)</f>
        <v>0.33600000000000002</v>
      </c>
      <c r="AH675">
        <f>IF(AND(C675&lt;&gt;"",E675&lt;&gt;""),E675 - C675,"")</f>
        <v>6</v>
      </c>
      <c r="AI675" t="str">
        <f>IF(C675="","",TEXT(C675, "mmmm"))</f>
        <v>January</v>
      </c>
      <c r="AJ675">
        <f>IF(C675="","",YEAR(C675))</f>
        <v>2025</v>
      </c>
      <c r="AM675" t="str">
        <f>IF(AN675="","clean","")</f>
        <v>clean</v>
      </c>
      <c r="AN675" t="s">
        <v>3595</v>
      </c>
    </row>
    <row r="676" spans="1:40">
      <c r="A676" t="s">
        <v>1622</v>
      </c>
      <c r="B676" t="s">
        <v>1119</v>
      </c>
      <c r="C676" s="6">
        <v>45844</v>
      </c>
      <c r="D676" t="s">
        <v>1119</v>
      </c>
      <c r="E676" s="6">
        <v>45844</v>
      </c>
      <c r="F676" t="s">
        <v>1623</v>
      </c>
      <c r="G676" t="s">
        <v>153</v>
      </c>
      <c r="H676" t="s">
        <v>153</v>
      </c>
      <c r="I676" t="s">
        <v>110</v>
      </c>
      <c r="J676" t="s">
        <v>110</v>
      </c>
      <c r="K676" t="s">
        <v>26</v>
      </c>
      <c r="L676" t="str">
        <f>IF(TRIM(K676)="","Unknown",PROPER(TRIM(K676)))</f>
        <v>North</v>
      </c>
      <c r="M676" t="s">
        <v>27</v>
      </c>
      <c r="N676" t="s">
        <v>28</v>
      </c>
      <c r="O676" t="s">
        <v>83</v>
      </c>
      <c r="P676" t="str">
        <f>IF(TRIM(O676)="","Unknown",PROPER(TRIM(O676)))</f>
        <v>Technology</v>
      </c>
      <c r="Q676" t="s">
        <v>84</v>
      </c>
      <c r="R676" t="s">
        <v>1624</v>
      </c>
      <c r="S676" t="s">
        <v>47</v>
      </c>
      <c r="T676" t="str">
        <f>IF(TRIM(S676)="","Unknown",PROPER(TRIM(S676)))</f>
        <v>Same Day</v>
      </c>
      <c r="U676">
        <v>9</v>
      </c>
      <c r="V676">
        <v>243.19</v>
      </c>
      <c r="W676">
        <v>0.05</v>
      </c>
      <c r="Y676">
        <v>0.05</v>
      </c>
      <c r="Z676">
        <v>2079.27</v>
      </c>
      <c r="AA676">
        <v>1512.17</v>
      </c>
      <c r="AB676">
        <v>567.1</v>
      </c>
      <c r="AC676" t="s">
        <v>119</v>
      </c>
      <c r="AD676" t="s">
        <v>120</v>
      </c>
      <c r="AE676">
        <f>ROUND((U676*V676)-(U676*V676*Y676),2)</f>
        <v>2079.27</v>
      </c>
      <c r="AF676">
        <f>AE676-AA676</f>
        <v>567.09999999999991</v>
      </c>
      <c r="AG676" s="7">
        <f>ROUND((AF676/AE676),4)</f>
        <v>0.2727</v>
      </c>
      <c r="AH676">
        <f>IF(AND(C676&lt;&gt;"",E676&lt;&gt;""),E676 - C676,"")</f>
        <v>0</v>
      </c>
      <c r="AI676" t="str">
        <f>IF(C676="","",TEXT(C676, "mmmm"))</f>
        <v>July</v>
      </c>
      <c r="AJ676">
        <f>IF(C676="","",YEAR(C676))</f>
        <v>2025</v>
      </c>
      <c r="AM676" t="str">
        <f>IF(AN676="","clean","")</f>
        <v>clean</v>
      </c>
      <c r="AN676" t="s">
        <v>3595</v>
      </c>
    </row>
    <row r="677" spans="1:40">
      <c r="A677" t="s">
        <v>1625</v>
      </c>
      <c r="B677" t="s">
        <v>3785</v>
      </c>
      <c r="D677" t="s">
        <v>178</v>
      </c>
      <c r="E677" s="6">
        <v>45687</v>
      </c>
      <c r="F677" t="s">
        <v>1626</v>
      </c>
      <c r="G677" t="s">
        <v>136</v>
      </c>
      <c r="H677" t="s">
        <v>136</v>
      </c>
      <c r="I677" t="s">
        <v>25</v>
      </c>
      <c r="J677" t="s">
        <v>25</v>
      </c>
      <c r="K677" t="s">
        <v>26</v>
      </c>
      <c r="L677" t="str">
        <f>IF(TRIM(K677)="","Unknown",PROPER(TRIM(K677)))</f>
        <v>North</v>
      </c>
      <c r="M677" t="s">
        <v>454</v>
      </c>
      <c r="N677" t="s">
        <v>455</v>
      </c>
      <c r="O677" t="s">
        <v>29</v>
      </c>
      <c r="P677" t="str">
        <f>IF(TRIM(O677)="","Unknown",PROPER(TRIM(O677)))</f>
        <v>Office Supplies</v>
      </c>
      <c r="Q677" t="s">
        <v>105</v>
      </c>
      <c r="R677" t="s">
        <v>1627</v>
      </c>
      <c r="S677" t="s">
        <v>65</v>
      </c>
      <c r="T677" t="str">
        <f>IF(TRIM(S677)="","Unknown",PROPER(TRIM(S677)))</f>
        <v>Standard Class</v>
      </c>
      <c r="U677">
        <v>9</v>
      </c>
      <c r="V677">
        <v>1169.3699999999999</v>
      </c>
      <c r="W677">
        <v>0.15</v>
      </c>
      <c r="Y677">
        <v>0.15</v>
      </c>
      <c r="Z677">
        <v>8945.68</v>
      </c>
      <c r="AA677">
        <v>6740.35</v>
      </c>
      <c r="AB677">
        <v>2205.33</v>
      </c>
      <c r="AC677" t="s">
        <v>33</v>
      </c>
      <c r="AD677" t="s">
        <v>34</v>
      </c>
      <c r="AE677">
        <f>ROUND((U677*V677)-(U677*V677*Y677),2)</f>
        <v>8945.68</v>
      </c>
      <c r="AF677">
        <f>AE677-AA677</f>
        <v>2205.33</v>
      </c>
      <c r="AG677" s="7">
        <f>ROUND((AF677/AE677),4)</f>
        <v>0.2465</v>
      </c>
      <c r="AH677" t="str">
        <f>IF(AND(C677&lt;&gt;"",E677&lt;&gt;""),E677 - C677,"")</f>
        <v/>
      </c>
      <c r="AI677" t="str">
        <f>IF(C677="","",TEXT(C677, "mmmm"))</f>
        <v/>
      </c>
      <c r="AJ677" t="str">
        <f>IF(C677="","",YEAR(C677))</f>
        <v/>
      </c>
      <c r="AM677" t="s">
        <v>4144</v>
      </c>
      <c r="AN677" t="s">
        <v>4127</v>
      </c>
    </row>
    <row r="678" spans="1:40">
      <c r="A678" t="s">
        <v>1635</v>
      </c>
      <c r="B678" t="s">
        <v>1636</v>
      </c>
      <c r="C678" s="6">
        <v>45885</v>
      </c>
      <c r="D678" t="s">
        <v>816</v>
      </c>
      <c r="E678" s="6">
        <v>45887</v>
      </c>
      <c r="F678" t="s">
        <v>860</v>
      </c>
      <c r="G678" t="s">
        <v>334</v>
      </c>
      <c r="H678" t="s">
        <v>334</v>
      </c>
      <c r="I678" t="s">
        <v>25</v>
      </c>
      <c r="J678" t="s">
        <v>25</v>
      </c>
      <c r="K678" t="s">
        <v>41</v>
      </c>
      <c r="L678" t="str">
        <f>IF(TRIM(K678)="","Unknown",PROPER(TRIM(K678)))</f>
        <v>East</v>
      </c>
      <c r="M678" t="s">
        <v>284</v>
      </c>
      <c r="N678" t="s">
        <v>285</v>
      </c>
      <c r="O678" t="s">
        <v>44</v>
      </c>
      <c r="P678" t="str">
        <f>IF(TRIM(O678)="","Unknown",PROPER(TRIM(O678)))</f>
        <v>Furniture</v>
      </c>
      <c r="Q678" t="s">
        <v>74</v>
      </c>
      <c r="R678" t="s">
        <v>1637</v>
      </c>
      <c r="S678" t="s">
        <v>47</v>
      </c>
      <c r="T678" t="str">
        <f>IF(TRIM(S678)="","Unknown",PROPER(TRIM(S678)))</f>
        <v>Same Day</v>
      </c>
      <c r="U678">
        <v>5</v>
      </c>
      <c r="V678">
        <v>1530.36</v>
      </c>
      <c r="W678">
        <v>0</v>
      </c>
      <c r="Y678">
        <v>0</v>
      </c>
      <c r="Z678">
        <v>7651.8</v>
      </c>
      <c r="AA678">
        <v>5171.78</v>
      </c>
      <c r="AB678">
        <v>2480.02</v>
      </c>
      <c r="AC678" t="s">
        <v>33</v>
      </c>
      <c r="AD678" t="s">
        <v>34</v>
      </c>
      <c r="AE678">
        <f>ROUND((U678*V678)-(U678*V678*Y678),2)</f>
        <v>7651.8</v>
      </c>
      <c r="AF678">
        <f>AE678-AA678</f>
        <v>2480.0200000000004</v>
      </c>
      <c r="AG678" s="7">
        <f>ROUND((AF678/AE678),4)</f>
        <v>0.3241</v>
      </c>
      <c r="AH678">
        <f>IF(AND(C678&lt;&gt;"",E678&lt;&gt;""),E678 - C678,"")</f>
        <v>2</v>
      </c>
      <c r="AI678" t="str">
        <f>IF(C678="","",TEXT(C678, "mmmm"))</f>
        <v>August</v>
      </c>
      <c r="AJ678">
        <f>IF(C678="","",YEAR(C678))</f>
        <v>2025</v>
      </c>
      <c r="AM678" t="str">
        <f>IF(AN678="","clean","")</f>
        <v>clean</v>
      </c>
      <c r="AN678" t="s">
        <v>3595</v>
      </c>
    </row>
    <row r="679" spans="1:40">
      <c r="A679" t="s">
        <v>1638</v>
      </c>
      <c r="B679" t="s">
        <v>1639</v>
      </c>
      <c r="C679" s="6">
        <v>45760</v>
      </c>
      <c r="D679" t="s">
        <v>1639</v>
      </c>
      <c r="E679" s="6">
        <v>45760</v>
      </c>
      <c r="F679" t="s">
        <v>1640</v>
      </c>
      <c r="G679" t="s">
        <v>158</v>
      </c>
      <c r="H679" t="s">
        <v>158</v>
      </c>
      <c r="I679" t="s">
        <v>40</v>
      </c>
      <c r="J679" t="s">
        <v>40</v>
      </c>
      <c r="K679" t="s">
        <v>26</v>
      </c>
      <c r="L679" t="str">
        <f>IF(TRIM(K679)="","Unknown",PROPER(TRIM(K679)))</f>
        <v>North</v>
      </c>
      <c r="M679" t="s">
        <v>163</v>
      </c>
      <c r="N679" t="s">
        <v>164</v>
      </c>
      <c r="O679" t="s">
        <v>29</v>
      </c>
      <c r="P679" t="str">
        <f>IF(TRIM(O679)="","Unknown",PROPER(TRIM(O679)))</f>
        <v>Office Supplies</v>
      </c>
      <c r="Q679" t="s">
        <v>148</v>
      </c>
      <c r="R679" t="s">
        <v>1641</v>
      </c>
      <c r="S679" t="s">
        <v>32</v>
      </c>
      <c r="T679" t="str">
        <f>IF(TRIM(S679)="","Unknown",PROPER(TRIM(S679)))</f>
        <v>Second Class</v>
      </c>
      <c r="U679">
        <v>9</v>
      </c>
      <c r="V679">
        <v>1118.68</v>
      </c>
      <c r="W679">
        <v>0</v>
      </c>
      <c r="Y679">
        <v>0</v>
      </c>
      <c r="Z679">
        <v>10068.120000000001</v>
      </c>
      <c r="AA679">
        <v>8595.3700000000008</v>
      </c>
      <c r="AB679">
        <v>1472.75</v>
      </c>
      <c r="AC679" t="s">
        <v>33</v>
      </c>
      <c r="AD679" t="s">
        <v>34</v>
      </c>
      <c r="AE679">
        <f>ROUND((U679*V679)-(U679*V679*Y679),2)</f>
        <v>10068.120000000001</v>
      </c>
      <c r="AF679">
        <f>AE679-AA679</f>
        <v>1472.75</v>
      </c>
      <c r="AG679" s="7">
        <f>ROUND((AF679/AE679),4)</f>
        <v>0.14630000000000001</v>
      </c>
      <c r="AH679">
        <f>IF(AND(C679&lt;&gt;"",E679&lt;&gt;""),E679 - C679,"")</f>
        <v>0</v>
      </c>
      <c r="AI679" t="str">
        <f>IF(C679="","",TEXT(C679, "mmmm"))</f>
        <v>April</v>
      </c>
      <c r="AJ679">
        <f>IF(C679="","",YEAR(C679))</f>
        <v>2025</v>
      </c>
      <c r="AM679" t="str">
        <f>IF(AN679="","clean","")</f>
        <v>clean</v>
      </c>
      <c r="AN679" t="s">
        <v>3595</v>
      </c>
    </row>
    <row r="680" spans="1:40">
      <c r="A680" t="s">
        <v>1638</v>
      </c>
      <c r="B680" t="s">
        <v>1639</v>
      </c>
      <c r="C680" s="6">
        <v>45760</v>
      </c>
      <c r="D680" t="s">
        <v>1639</v>
      </c>
      <c r="E680" s="6">
        <v>45760</v>
      </c>
      <c r="F680" t="s">
        <v>1640</v>
      </c>
      <c r="G680" t="s">
        <v>158</v>
      </c>
      <c r="H680" t="s">
        <v>158</v>
      </c>
      <c r="I680" t="s">
        <v>40</v>
      </c>
      <c r="J680" t="s">
        <v>40</v>
      </c>
      <c r="K680" t="s">
        <v>26</v>
      </c>
      <c r="L680" t="str">
        <f>IF(TRIM(K680)="","Unknown",PROPER(TRIM(K680)))</f>
        <v>North</v>
      </c>
      <c r="M680" t="s">
        <v>163</v>
      </c>
      <c r="N680" t="s">
        <v>164</v>
      </c>
      <c r="O680" t="s">
        <v>29</v>
      </c>
      <c r="P680" t="str">
        <f>IF(TRIM(O680)="","Unknown",PROPER(TRIM(O680)))</f>
        <v>Office Supplies</v>
      </c>
      <c r="Q680" t="s">
        <v>148</v>
      </c>
      <c r="R680" t="s">
        <v>1641</v>
      </c>
      <c r="S680" t="s">
        <v>32</v>
      </c>
      <c r="T680" t="str">
        <f>IF(TRIM(S680)="","Unknown",PROPER(TRIM(S680)))</f>
        <v>Second Class</v>
      </c>
      <c r="U680">
        <v>9</v>
      </c>
      <c r="V680">
        <v>1118.68</v>
      </c>
      <c r="W680">
        <v>0</v>
      </c>
      <c r="Y680">
        <v>0</v>
      </c>
      <c r="Z680">
        <v>10348.43</v>
      </c>
      <c r="AA680">
        <v>8595.3700000000008</v>
      </c>
      <c r="AB680">
        <v>1472.75</v>
      </c>
      <c r="AC680" t="s">
        <v>33</v>
      </c>
      <c r="AD680" t="s">
        <v>120</v>
      </c>
      <c r="AE680">
        <f>ROUND((U680*V680)-(U680*V680*Y680),2)</f>
        <v>10068.120000000001</v>
      </c>
      <c r="AF680">
        <f>AE680-AA680</f>
        <v>1472.75</v>
      </c>
      <c r="AG680" s="7">
        <f>ROUND((AF680/AE680),4)</f>
        <v>0.14630000000000001</v>
      </c>
      <c r="AH680">
        <f>IF(AND(C680&lt;&gt;"",E680&lt;&gt;""),E680 - C680,"")</f>
        <v>0</v>
      </c>
      <c r="AI680" t="str">
        <f>IF(C680="","",TEXT(C680, "mmmm"))</f>
        <v>April</v>
      </c>
      <c r="AJ680">
        <f>IF(C680="","",YEAR(C680))</f>
        <v>2025</v>
      </c>
      <c r="AK680" t="s">
        <v>4152</v>
      </c>
      <c r="AM680" t="s">
        <v>4145</v>
      </c>
      <c r="AN680" t="s">
        <v>4155</v>
      </c>
    </row>
    <row r="681" spans="1:40">
      <c r="A681" t="s">
        <v>1642</v>
      </c>
      <c r="B681" t="s">
        <v>3826</v>
      </c>
      <c r="C681" s="6">
        <v>45715</v>
      </c>
      <c r="D681" t="s">
        <v>1643</v>
      </c>
      <c r="F681" t="s">
        <v>1644</v>
      </c>
      <c r="G681" t="s">
        <v>103</v>
      </c>
      <c r="H681" t="s">
        <v>103</v>
      </c>
      <c r="I681" t="s">
        <v>40</v>
      </c>
      <c r="J681" t="s">
        <v>40</v>
      </c>
      <c r="K681" t="s">
        <v>26</v>
      </c>
      <c r="L681" t="str">
        <f>IF(TRIM(K681)="","Unknown",PROPER(TRIM(K681)))</f>
        <v>North</v>
      </c>
      <c r="M681" t="s">
        <v>163</v>
      </c>
      <c r="N681" t="s">
        <v>164</v>
      </c>
      <c r="O681" t="s">
        <v>29</v>
      </c>
      <c r="P681" t="str">
        <f>IF(TRIM(O681)="","Unknown",PROPER(TRIM(O681)))</f>
        <v>Office Supplies</v>
      </c>
      <c r="Q681" t="s">
        <v>105</v>
      </c>
      <c r="R681" t="s">
        <v>1645</v>
      </c>
      <c r="S681" t="s">
        <v>65</v>
      </c>
      <c r="T681" t="str">
        <f>IF(TRIM(S681)="","Unknown",PROPER(TRIM(S681)))</f>
        <v>Standard Class</v>
      </c>
      <c r="U681">
        <v>6</v>
      </c>
      <c r="V681">
        <v>2393.25</v>
      </c>
      <c r="W681">
        <v>0</v>
      </c>
      <c r="Y681">
        <v>0</v>
      </c>
      <c r="Z681">
        <v>14359.5</v>
      </c>
      <c r="AA681">
        <v>8117.71</v>
      </c>
      <c r="AB681">
        <v>6241.79</v>
      </c>
      <c r="AC681" t="s">
        <v>33</v>
      </c>
      <c r="AD681" t="s">
        <v>34</v>
      </c>
      <c r="AE681">
        <f>ROUND((U681*V681)-(U681*V681*Y681),2)</f>
        <v>14359.5</v>
      </c>
      <c r="AF681">
        <f>AE681-AA681</f>
        <v>6241.79</v>
      </c>
      <c r="AG681" s="7">
        <f>ROUND((AF681/AE681),4)</f>
        <v>0.43469999999999998</v>
      </c>
      <c r="AH681" t="str">
        <f>IF(AND(C681&lt;&gt;"",E681&lt;&gt;""),E681 - C681,"")</f>
        <v/>
      </c>
      <c r="AI681" t="str">
        <f>IF(C681="","",TEXT(C681, "mmmm"))</f>
        <v>February</v>
      </c>
      <c r="AJ681">
        <f>IF(C681="","",YEAR(C681))</f>
        <v>2025</v>
      </c>
      <c r="AM681" t="s">
        <v>4144</v>
      </c>
      <c r="AN681" t="s">
        <v>4136</v>
      </c>
    </row>
    <row r="682" spans="1:40">
      <c r="A682" t="s">
        <v>1654</v>
      </c>
      <c r="B682" t="s">
        <v>3783</v>
      </c>
      <c r="C682" s="6">
        <v>45801</v>
      </c>
      <c r="D682" t="s">
        <v>1655</v>
      </c>
      <c r="F682" t="s">
        <v>1656</v>
      </c>
      <c r="G682" t="s">
        <v>334</v>
      </c>
      <c r="H682" t="s">
        <v>334</v>
      </c>
      <c r="I682" t="s">
        <v>40</v>
      </c>
      <c r="J682" t="s">
        <v>40</v>
      </c>
      <c r="K682" t="s">
        <v>41</v>
      </c>
      <c r="L682" t="str">
        <f>IF(TRIM(K682)="","Unknown",PROPER(TRIM(K682)))</f>
        <v>East</v>
      </c>
      <c r="M682" t="s">
        <v>42</v>
      </c>
      <c r="N682" t="s">
        <v>43</v>
      </c>
      <c r="O682" t="s">
        <v>29</v>
      </c>
      <c r="P682" t="str">
        <f>IF(TRIM(O682)="","Unknown",PROPER(TRIM(O682)))</f>
        <v>Office Supplies</v>
      </c>
      <c r="Q682" t="s">
        <v>1657</v>
      </c>
      <c r="R682" t="s">
        <v>1658</v>
      </c>
      <c r="S682" t="s">
        <v>47</v>
      </c>
      <c r="T682" t="str">
        <f>IF(TRIM(S682)="","Unknown",PROPER(TRIM(S682)))</f>
        <v>Same Day</v>
      </c>
      <c r="U682">
        <v>1</v>
      </c>
      <c r="V682">
        <v>2564.7399999999998</v>
      </c>
      <c r="W682">
        <v>0</v>
      </c>
      <c r="Y682">
        <v>0</v>
      </c>
      <c r="Z682">
        <v>2564.7399999999998</v>
      </c>
      <c r="AA682">
        <v>1754.58</v>
      </c>
      <c r="AB682">
        <v>810.16</v>
      </c>
      <c r="AC682" t="s">
        <v>33</v>
      </c>
      <c r="AD682" t="s">
        <v>34</v>
      </c>
      <c r="AE682">
        <f>ROUND((U682*V682)-(U682*V682*Y682),2)</f>
        <v>2564.7399999999998</v>
      </c>
      <c r="AF682">
        <f>AE682-AA682</f>
        <v>810.15999999999985</v>
      </c>
      <c r="AG682" s="7">
        <f>ROUND((AF682/AE682),4)</f>
        <v>0.31590000000000001</v>
      </c>
      <c r="AH682" t="str">
        <f>IF(AND(C682&lt;&gt;"",E682&lt;&gt;""),E682 - C682,"")</f>
        <v/>
      </c>
      <c r="AI682" t="str">
        <f>IF(C682="","",TEXT(C682, "mmmm"))</f>
        <v>May</v>
      </c>
      <c r="AJ682">
        <f>IF(C682="","",YEAR(C682))</f>
        <v>2025</v>
      </c>
      <c r="AM682" t="s">
        <v>4144</v>
      </c>
      <c r="AN682" t="s">
        <v>4136</v>
      </c>
    </row>
    <row r="683" spans="1:40">
      <c r="A683" t="s">
        <v>1654</v>
      </c>
      <c r="B683" t="s">
        <v>3783</v>
      </c>
      <c r="C683" s="6">
        <v>45801</v>
      </c>
      <c r="D683" t="s">
        <v>1655</v>
      </c>
      <c r="F683" t="s">
        <v>1656</v>
      </c>
      <c r="G683" t="s">
        <v>334</v>
      </c>
      <c r="H683" t="s">
        <v>334</v>
      </c>
      <c r="I683" t="s">
        <v>40</v>
      </c>
      <c r="J683" t="s">
        <v>40</v>
      </c>
      <c r="K683" t="s">
        <v>41</v>
      </c>
      <c r="L683" t="str">
        <f>IF(TRIM(K683)="","Unknown",PROPER(TRIM(K683)))</f>
        <v>East</v>
      </c>
      <c r="M683" t="s">
        <v>42</v>
      </c>
      <c r="N683" t="s">
        <v>43</v>
      </c>
      <c r="O683" t="s">
        <v>29</v>
      </c>
      <c r="P683" t="str">
        <f>IF(TRIM(O683)="","Unknown",PROPER(TRIM(O683)))</f>
        <v>Office Supplies</v>
      </c>
      <c r="Q683" t="s">
        <v>1657</v>
      </c>
      <c r="R683" t="s">
        <v>1658</v>
      </c>
      <c r="S683" t="s">
        <v>47</v>
      </c>
      <c r="T683" t="str">
        <f>IF(TRIM(S683)="","Unknown",PROPER(TRIM(S683)))</f>
        <v>Same Day</v>
      </c>
      <c r="U683">
        <v>1</v>
      </c>
      <c r="V683">
        <v>2564.7399999999998</v>
      </c>
      <c r="W683">
        <v>0</v>
      </c>
      <c r="Y683">
        <v>0</v>
      </c>
      <c r="Z683">
        <v>2564.7399999999998</v>
      </c>
      <c r="AA683">
        <v>1754.58</v>
      </c>
      <c r="AB683">
        <v>810.16</v>
      </c>
      <c r="AC683" t="s">
        <v>33</v>
      </c>
      <c r="AD683" t="s">
        <v>34</v>
      </c>
      <c r="AE683">
        <f>ROUND((U683*V683)-(U683*V683*Y683),2)</f>
        <v>2564.7399999999998</v>
      </c>
      <c r="AF683">
        <f>AE683-AA683</f>
        <v>810.15999999999985</v>
      </c>
      <c r="AG683" s="7">
        <f>ROUND((AF683/AE683),4)</f>
        <v>0.31590000000000001</v>
      </c>
      <c r="AH683" t="str">
        <f>IF(AND(C683&lt;&gt;"",E683&lt;&gt;""),E683 - C683,"")</f>
        <v/>
      </c>
      <c r="AI683" t="str">
        <f>IF(C683="","",TEXT(C683, "mmmm"))</f>
        <v>May</v>
      </c>
      <c r="AJ683">
        <f>IF(C683="","",YEAR(C683))</f>
        <v>2025</v>
      </c>
      <c r="AL683" t="s">
        <v>4152</v>
      </c>
      <c r="AM683" t="s">
        <v>4144</v>
      </c>
      <c r="AN683" t="s">
        <v>4148</v>
      </c>
    </row>
    <row r="684" spans="1:40">
      <c r="A684" t="s">
        <v>1659</v>
      </c>
      <c r="B684" t="s">
        <v>1660</v>
      </c>
      <c r="D684" t="s">
        <v>1660</v>
      </c>
      <c r="F684" t="s">
        <v>1661</v>
      </c>
      <c r="G684" t="s">
        <v>39</v>
      </c>
      <c r="H684" t="s">
        <v>39</v>
      </c>
      <c r="I684" t="s">
        <v>25</v>
      </c>
      <c r="J684" t="s">
        <v>25</v>
      </c>
      <c r="K684" t="s">
        <v>71</v>
      </c>
      <c r="L684" t="str">
        <f>IF(TRIM(K684)="","Unknown",PROPER(TRIM(K684)))</f>
        <v>West</v>
      </c>
      <c r="M684" t="s">
        <v>230</v>
      </c>
      <c r="N684" t="s">
        <v>231</v>
      </c>
      <c r="O684" t="s">
        <v>83</v>
      </c>
      <c r="P684" t="str">
        <f>IF(TRIM(O684)="","Unknown",PROPER(TRIM(O684)))</f>
        <v>Technology</v>
      </c>
      <c r="Q684" t="s">
        <v>84</v>
      </c>
      <c r="R684" t="s">
        <v>1662</v>
      </c>
      <c r="S684" t="s">
        <v>65</v>
      </c>
      <c r="T684" t="str">
        <f>IF(TRIM(S684)="","Unknown",PROPER(TRIM(S684)))</f>
        <v>Standard Class</v>
      </c>
      <c r="U684">
        <v>2</v>
      </c>
      <c r="V684">
        <v>3910.61</v>
      </c>
      <c r="W684">
        <v>0</v>
      </c>
      <c r="Y684">
        <v>0</v>
      </c>
      <c r="Z684">
        <v>7821.22</v>
      </c>
      <c r="AA684">
        <v>4994.46</v>
      </c>
      <c r="AB684">
        <v>2826.76</v>
      </c>
      <c r="AC684" t="s">
        <v>33</v>
      </c>
      <c r="AD684" t="s">
        <v>34</v>
      </c>
      <c r="AE684">
        <f>ROUND((U684*V684)-(U684*V684*Y684),2)</f>
        <v>7821.22</v>
      </c>
      <c r="AF684">
        <f>AE684-AA684</f>
        <v>2826.76</v>
      </c>
      <c r="AG684" s="7">
        <f>ROUND((AF684/AE684),4)</f>
        <v>0.3614</v>
      </c>
      <c r="AH684" t="str">
        <f>IF(AND(C684&lt;&gt;"",E684&lt;&gt;""),E684 - C684,"")</f>
        <v/>
      </c>
      <c r="AI684" t="str">
        <f>IF(C684="","",TEXT(C684, "mmmm"))</f>
        <v/>
      </c>
      <c r="AJ684" t="str">
        <f>IF(C684="","",YEAR(C684))</f>
        <v/>
      </c>
      <c r="AM684" t="s">
        <v>4144</v>
      </c>
      <c r="AN684" t="s">
        <v>4123</v>
      </c>
    </row>
    <row r="685" spans="1:40">
      <c r="A685" t="s">
        <v>1672</v>
      </c>
      <c r="B685" t="s">
        <v>3828</v>
      </c>
      <c r="C685" s="6">
        <v>45919</v>
      </c>
      <c r="D685" t="s">
        <v>1673</v>
      </c>
      <c r="F685" t="s">
        <v>1674</v>
      </c>
      <c r="G685" t="s">
        <v>59</v>
      </c>
      <c r="H685" t="s">
        <v>59</v>
      </c>
      <c r="I685" t="s">
        <v>1675</v>
      </c>
      <c r="J685" t="s">
        <v>1675</v>
      </c>
      <c r="K685" t="s">
        <v>26</v>
      </c>
      <c r="L685" t="str">
        <f>IF(TRIM(K685)="","Unknown",PROPER(TRIM(K685)))</f>
        <v>North</v>
      </c>
      <c r="M685" t="s">
        <v>454</v>
      </c>
      <c r="N685" t="s">
        <v>455</v>
      </c>
      <c r="O685" t="s">
        <v>29</v>
      </c>
      <c r="P685" t="str">
        <f>IF(TRIM(O685)="","Unknown",PROPER(TRIM(O685)))</f>
        <v>Office Supplies</v>
      </c>
      <c r="Q685" t="s">
        <v>184</v>
      </c>
      <c r="R685" t="s">
        <v>1676</v>
      </c>
      <c r="S685" t="s">
        <v>65</v>
      </c>
      <c r="T685" t="str">
        <f>IF(TRIM(S685)="","Unknown",PROPER(TRIM(S685)))</f>
        <v>Standard Class</v>
      </c>
      <c r="U685">
        <v>4</v>
      </c>
      <c r="V685">
        <v>4387.1499999999996</v>
      </c>
      <c r="W685">
        <v>0.05</v>
      </c>
      <c r="Y685">
        <v>0.05</v>
      </c>
      <c r="Z685">
        <v>16671.169999999998</v>
      </c>
      <c r="AA685">
        <v>10833.19</v>
      </c>
      <c r="AB685">
        <v>5837.98</v>
      </c>
      <c r="AC685" t="s">
        <v>186</v>
      </c>
      <c r="AD685" t="s">
        <v>76</v>
      </c>
      <c r="AE685">
        <f>ROUND((U685*V685)-(U685*V685*Y685),2)</f>
        <v>16671.169999999998</v>
      </c>
      <c r="AF685">
        <f>AE685-AA685</f>
        <v>5837.9799999999977</v>
      </c>
      <c r="AG685" s="7">
        <f>ROUND((AF685/AE685),4)</f>
        <v>0.35020000000000001</v>
      </c>
      <c r="AH685" t="str">
        <f>IF(AND(C685&lt;&gt;"",E685&lt;&gt;""),E685 - C685,"")</f>
        <v/>
      </c>
      <c r="AI685" t="str">
        <f>IF(C685="","",TEXT(C685, "mmmm"))</f>
        <v>September</v>
      </c>
      <c r="AJ685">
        <f>IF(C685="","",YEAR(C685))</f>
        <v>2025</v>
      </c>
      <c r="AM685" t="s">
        <v>4144</v>
      </c>
      <c r="AN685" t="s">
        <v>4136</v>
      </c>
    </row>
    <row r="686" spans="1:40">
      <c r="A686" t="s">
        <v>1677</v>
      </c>
      <c r="B686" t="s">
        <v>3829</v>
      </c>
      <c r="C686" s="6">
        <v>45720</v>
      </c>
      <c r="D686" t="s">
        <v>498</v>
      </c>
      <c r="E686" s="6">
        <v>45724</v>
      </c>
      <c r="F686" t="s">
        <v>189</v>
      </c>
      <c r="G686" t="s">
        <v>59</v>
      </c>
      <c r="H686" t="s">
        <v>59</v>
      </c>
      <c r="I686" t="s">
        <v>40</v>
      </c>
      <c r="J686" t="s">
        <v>40</v>
      </c>
      <c r="K686" t="s">
        <v>41</v>
      </c>
      <c r="L686" t="str">
        <f>IF(TRIM(K686)="","Unknown",PROPER(TRIM(K686)))</f>
        <v>East</v>
      </c>
      <c r="M686" t="s">
        <v>174</v>
      </c>
      <c r="N686" t="s">
        <v>175</v>
      </c>
      <c r="O686" t="s">
        <v>1678</v>
      </c>
      <c r="P686" t="str">
        <f>IF(TRIM(O686)="","Unknown",PROPER(TRIM(O686)))</f>
        <v>Technology</v>
      </c>
      <c r="Q686" t="s">
        <v>207</v>
      </c>
      <c r="R686" t="s">
        <v>1679</v>
      </c>
      <c r="S686" t="s">
        <v>55</v>
      </c>
      <c r="T686" t="str">
        <f>IF(TRIM(S686)="","Unknown",PROPER(TRIM(S686)))</f>
        <v>First Class</v>
      </c>
      <c r="U686">
        <v>3</v>
      </c>
      <c r="V686">
        <v>4361.8500000000004</v>
      </c>
      <c r="W686">
        <v>0.2</v>
      </c>
      <c r="Y686">
        <v>0.2</v>
      </c>
      <c r="Z686">
        <v>10468.44</v>
      </c>
      <c r="AA686">
        <v>8399.8700000000008</v>
      </c>
      <c r="AB686">
        <v>2068.5700000000002</v>
      </c>
      <c r="AC686" t="s">
        <v>33</v>
      </c>
      <c r="AD686" t="s">
        <v>34</v>
      </c>
      <c r="AE686">
        <f>ROUND((U686*V686)-(U686*V686*Y686),2)</f>
        <v>10468.44</v>
      </c>
      <c r="AF686">
        <f>AE686-AA686</f>
        <v>2068.5699999999997</v>
      </c>
      <c r="AG686" s="7">
        <f>ROUND((AF686/AE686),4)</f>
        <v>0.1976</v>
      </c>
      <c r="AH686">
        <f>IF(AND(C686&lt;&gt;"",E686&lt;&gt;""),E686 - C686,"")</f>
        <v>4</v>
      </c>
      <c r="AI686" t="str">
        <f>IF(C686="","",TEXT(C686, "mmmm"))</f>
        <v>March</v>
      </c>
      <c r="AJ686">
        <f>IF(C686="","",YEAR(C686))</f>
        <v>2025</v>
      </c>
      <c r="AM686" t="str">
        <f>IF(AN686="","clean","")</f>
        <v>clean</v>
      </c>
      <c r="AN686" t="s">
        <v>3595</v>
      </c>
    </row>
    <row r="687" spans="1:40">
      <c r="A687" t="s">
        <v>1680</v>
      </c>
      <c r="B687" t="s">
        <v>1337</v>
      </c>
      <c r="C687" s="6">
        <v>45836</v>
      </c>
      <c r="D687" t="s">
        <v>951</v>
      </c>
      <c r="E687" s="6">
        <v>45843</v>
      </c>
      <c r="F687" t="s">
        <v>1681</v>
      </c>
      <c r="G687" t="s">
        <v>80</v>
      </c>
      <c r="H687" t="s">
        <v>80</v>
      </c>
      <c r="I687" t="s">
        <v>104</v>
      </c>
      <c r="J687" t="s">
        <v>104</v>
      </c>
      <c r="K687" t="s">
        <v>41</v>
      </c>
      <c r="L687" t="str">
        <f>IF(TRIM(K687)="","Unknown",PROPER(TRIM(K687)))</f>
        <v>East</v>
      </c>
      <c r="M687" t="s">
        <v>116</v>
      </c>
      <c r="N687" t="s">
        <v>117</v>
      </c>
      <c r="O687" t="s">
        <v>29</v>
      </c>
      <c r="P687" t="str">
        <f>IF(TRIM(O687)="","Unknown",PROPER(TRIM(O687)))</f>
        <v>Office Supplies</v>
      </c>
      <c r="Q687" t="s">
        <v>53</v>
      </c>
      <c r="R687" t="s">
        <v>1682</v>
      </c>
      <c r="S687" t="s">
        <v>55</v>
      </c>
      <c r="T687" t="str">
        <f>IF(TRIM(S687)="","Unknown",PROPER(TRIM(S687)))</f>
        <v>First Class</v>
      </c>
      <c r="U687">
        <v>2</v>
      </c>
      <c r="V687">
        <v>2242.75</v>
      </c>
      <c r="W687">
        <v>0</v>
      </c>
      <c r="Y687">
        <v>0</v>
      </c>
      <c r="Z687">
        <v>4485.5</v>
      </c>
      <c r="AA687">
        <v>3131.86</v>
      </c>
      <c r="AB687">
        <v>1353.64</v>
      </c>
      <c r="AC687" t="s">
        <v>33</v>
      </c>
      <c r="AD687" t="s">
        <v>76</v>
      </c>
      <c r="AE687">
        <f>ROUND((U687*V687)-(U687*V687*Y687),2)</f>
        <v>4485.5</v>
      </c>
      <c r="AF687">
        <f>AE687-AA687</f>
        <v>1353.6399999999999</v>
      </c>
      <c r="AG687" s="7">
        <f>ROUND((AF687/AE687),4)</f>
        <v>0.30180000000000001</v>
      </c>
      <c r="AH687">
        <f>IF(AND(C687&lt;&gt;"",E687&lt;&gt;""),E687 - C687,"")</f>
        <v>7</v>
      </c>
      <c r="AI687" t="str">
        <f>IF(C687="","",TEXT(C687, "mmmm"))</f>
        <v>June</v>
      </c>
      <c r="AJ687">
        <f>IF(C687="","",YEAR(C687))</f>
        <v>2025</v>
      </c>
      <c r="AM687" t="str">
        <f>IF(AN687="","clean","")</f>
        <v>clean</v>
      </c>
      <c r="AN687" t="s">
        <v>3595</v>
      </c>
    </row>
    <row r="688" spans="1:40">
      <c r="A688" t="s">
        <v>1687</v>
      </c>
      <c r="B688" t="s">
        <v>882</v>
      </c>
      <c r="C688" s="6">
        <v>45832</v>
      </c>
      <c r="D688" t="s">
        <v>1688</v>
      </c>
      <c r="E688" s="6">
        <v>45838</v>
      </c>
      <c r="F688" t="s">
        <v>1689</v>
      </c>
      <c r="G688" t="s">
        <v>59</v>
      </c>
      <c r="H688" t="s">
        <v>59</v>
      </c>
      <c r="I688" t="s">
        <v>25</v>
      </c>
      <c r="J688" t="s">
        <v>25</v>
      </c>
      <c r="K688" t="s">
        <v>26</v>
      </c>
      <c r="L688" t="str">
        <f>IF(TRIM(K688)="","Unknown",PROPER(TRIM(K688)))</f>
        <v>North</v>
      </c>
      <c r="M688" t="s">
        <v>294</v>
      </c>
      <c r="N688" t="s">
        <v>295</v>
      </c>
      <c r="O688" t="s">
        <v>29</v>
      </c>
      <c r="P688" t="str">
        <f>IF(TRIM(O688)="","Unknown",PROPER(TRIM(O688)))</f>
        <v>Office Supplies</v>
      </c>
      <c r="Q688" t="s">
        <v>105</v>
      </c>
      <c r="R688" t="s">
        <v>1690</v>
      </c>
      <c r="S688" t="s">
        <v>65</v>
      </c>
      <c r="T688" t="str">
        <f>IF(TRIM(S688)="","Unknown",PROPER(TRIM(S688)))</f>
        <v>Standard Class</v>
      </c>
      <c r="U688">
        <v>6</v>
      </c>
      <c r="V688">
        <v>365.76</v>
      </c>
      <c r="W688">
        <v>0.1</v>
      </c>
      <c r="Y688">
        <v>0.1</v>
      </c>
      <c r="Z688">
        <v>1975.1</v>
      </c>
      <c r="AA688">
        <v>1115.3499999999999</v>
      </c>
      <c r="AB688">
        <v>859.75</v>
      </c>
      <c r="AC688" t="s">
        <v>33</v>
      </c>
      <c r="AD688" t="s">
        <v>34</v>
      </c>
      <c r="AE688">
        <f>ROUND((U688*V688)-(U688*V688*Y688),2)</f>
        <v>1975.1</v>
      </c>
      <c r="AF688">
        <f>AE688-AA688</f>
        <v>859.75</v>
      </c>
      <c r="AG688" s="7">
        <f>ROUND((AF688/AE688),4)</f>
        <v>0.43530000000000002</v>
      </c>
      <c r="AH688">
        <f>IF(AND(C688&lt;&gt;"",E688&lt;&gt;""),E688 - C688,"")</f>
        <v>6</v>
      </c>
      <c r="AI688" t="str">
        <f>IF(C688="","",TEXT(C688, "mmmm"))</f>
        <v>June</v>
      </c>
      <c r="AJ688">
        <f>IF(C688="","",YEAR(C688))</f>
        <v>2025</v>
      </c>
      <c r="AM688" t="str">
        <f>IF(AN688="","clean","")</f>
        <v>clean</v>
      </c>
      <c r="AN688" t="s">
        <v>3595</v>
      </c>
    </row>
    <row r="689" spans="1:40">
      <c r="A689" t="s">
        <v>1691</v>
      </c>
      <c r="B689" t="s">
        <v>1227</v>
      </c>
      <c r="C689" s="6">
        <v>45700</v>
      </c>
      <c r="D689" t="s">
        <v>1692</v>
      </c>
      <c r="E689" s="6">
        <v>45702</v>
      </c>
      <c r="F689" t="s">
        <v>1693</v>
      </c>
      <c r="G689" t="s">
        <v>158</v>
      </c>
      <c r="H689" t="s">
        <v>158</v>
      </c>
      <c r="I689" t="s">
        <v>25</v>
      </c>
      <c r="J689" t="s">
        <v>25</v>
      </c>
      <c r="K689" t="s">
        <v>71</v>
      </c>
      <c r="L689" t="str">
        <f>IF(TRIM(K689)="","Unknown",PROPER(TRIM(K689)))</f>
        <v>West</v>
      </c>
      <c r="M689" t="s">
        <v>72</v>
      </c>
      <c r="N689" t="s">
        <v>73</v>
      </c>
      <c r="O689" t="s">
        <v>44</v>
      </c>
      <c r="P689" t="str">
        <f>IF(TRIM(O689)="","Unknown",PROPER(TRIM(O689)))</f>
        <v>Furniture</v>
      </c>
      <c r="Q689" t="s">
        <v>63</v>
      </c>
      <c r="R689" t="s">
        <v>1694</v>
      </c>
      <c r="S689" t="s">
        <v>32</v>
      </c>
      <c r="T689" t="str">
        <f>IF(TRIM(S689)="","Unknown",PROPER(TRIM(S689)))</f>
        <v>Second Class</v>
      </c>
      <c r="U689">
        <v>8</v>
      </c>
      <c r="V689">
        <v>2786.66</v>
      </c>
      <c r="W689">
        <v>0.1</v>
      </c>
      <c r="Y689">
        <v>0.1</v>
      </c>
      <c r="Z689">
        <v>20063.95</v>
      </c>
      <c r="AA689">
        <v>14363.38</v>
      </c>
      <c r="AB689">
        <v>5700.57</v>
      </c>
      <c r="AC689" t="s">
        <v>33</v>
      </c>
      <c r="AD689" t="s">
        <v>34</v>
      </c>
      <c r="AE689">
        <f>ROUND((U689*V689)-(U689*V689*Y689),2)</f>
        <v>20063.95</v>
      </c>
      <c r="AF689">
        <f>AE689-AA689</f>
        <v>5700.5700000000015</v>
      </c>
      <c r="AG689" s="7">
        <f>ROUND((AF689/AE689),4)</f>
        <v>0.28410000000000002</v>
      </c>
      <c r="AH689">
        <f>IF(AND(C689&lt;&gt;"",E689&lt;&gt;""),E689 - C689,"")</f>
        <v>2</v>
      </c>
      <c r="AI689" t="str">
        <f>IF(C689="","",TEXT(C689, "mmmm"))</f>
        <v>February</v>
      </c>
      <c r="AJ689">
        <f>IF(C689="","",YEAR(C689))</f>
        <v>2025</v>
      </c>
      <c r="AM689" t="str">
        <f>IF(AN689="","clean","")</f>
        <v>clean</v>
      </c>
      <c r="AN689" t="s">
        <v>3595</v>
      </c>
    </row>
    <row r="690" spans="1:40">
      <c r="A690" t="s">
        <v>1695</v>
      </c>
      <c r="B690" t="s">
        <v>837</v>
      </c>
      <c r="C690" s="6">
        <v>45879</v>
      </c>
      <c r="D690" t="s">
        <v>986</v>
      </c>
      <c r="E690" s="6">
        <v>45882</v>
      </c>
      <c r="F690" t="s">
        <v>1696</v>
      </c>
      <c r="G690" t="s">
        <v>136</v>
      </c>
      <c r="H690" t="s">
        <v>136</v>
      </c>
      <c r="I690" t="s">
        <v>40</v>
      </c>
      <c r="J690" t="s">
        <v>40</v>
      </c>
      <c r="K690" t="s">
        <v>71</v>
      </c>
      <c r="L690" t="str">
        <f>IF(TRIM(K690)="","Unknown",PROPER(TRIM(K690)))</f>
        <v>West</v>
      </c>
      <c r="M690" t="s">
        <v>81</v>
      </c>
      <c r="N690" t="s">
        <v>82</v>
      </c>
      <c r="O690" t="s">
        <v>44</v>
      </c>
      <c r="P690" t="str">
        <f>IF(TRIM(O690)="","Unknown",PROPER(TRIM(O690)))</f>
        <v>Furniture</v>
      </c>
      <c r="Q690" t="s">
        <v>74</v>
      </c>
      <c r="R690" t="s">
        <v>1697</v>
      </c>
      <c r="S690" t="s">
        <v>65</v>
      </c>
      <c r="T690" t="str">
        <f>IF(TRIM(S690)="","Unknown",PROPER(TRIM(S690)))</f>
        <v>Standard Class</v>
      </c>
      <c r="U690">
        <v>5</v>
      </c>
      <c r="V690">
        <v>352.86</v>
      </c>
      <c r="W690">
        <v>0</v>
      </c>
      <c r="Y690">
        <v>0</v>
      </c>
      <c r="Z690">
        <v>1764.3</v>
      </c>
      <c r="AA690">
        <v>1332.49</v>
      </c>
      <c r="AB690">
        <v>431.81</v>
      </c>
      <c r="AC690" t="s">
        <v>131</v>
      </c>
      <c r="AD690" t="s">
        <v>76</v>
      </c>
      <c r="AE690">
        <f>ROUND((U690*V690)-(U690*V690*Y690),2)</f>
        <v>1764.3</v>
      </c>
      <c r="AF690">
        <f>AE690-AA690</f>
        <v>431.80999999999995</v>
      </c>
      <c r="AG690" s="7">
        <f>ROUND((AF690/AE690),4)</f>
        <v>0.2447</v>
      </c>
      <c r="AH690">
        <f>IF(AND(C690&lt;&gt;"",E690&lt;&gt;""),E690 - C690,"")</f>
        <v>3</v>
      </c>
      <c r="AI690" t="str">
        <f>IF(C690="","",TEXT(C690, "mmmm"))</f>
        <v>August</v>
      </c>
      <c r="AJ690">
        <f>IF(C690="","",YEAR(C690))</f>
        <v>2025</v>
      </c>
      <c r="AM690" t="str">
        <f>IF(AN690="","clean","")</f>
        <v>clean</v>
      </c>
      <c r="AN690" t="s">
        <v>3595</v>
      </c>
    </row>
    <row r="691" spans="1:40">
      <c r="A691" t="s">
        <v>1708</v>
      </c>
      <c r="B691" t="s">
        <v>1692</v>
      </c>
      <c r="C691" s="6">
        <v>45702</v>
      </c>
      <c r="D691" t="s">
        <v>1709</v>
      </c>
      <c r="E691" s="6">
        <v>45702</v>
      </c>
      <c r="F691" t="s">
        <v>1710</v>
      </c>
      <c r="G691" t="s">
        <v>196</v>
      </c>
      <c r="H691" t="s">
        <v>196</v>
      </c>
      <c r="I691" t="s">
        <v>25</v>
      </c>
      <c r="J691" t="s">
        <v>25</v>
      </c>
      <c r="K691" t="s">
        <v>60</v>
      </c>
      <c r="L691" t="str">
        <f>IF(TRIM(K691)="","Unknown",PROPER(TRIM(K691)))</f>
        <v>South</v>
      </c>
      <c r="M691" t="s">
        <v>212</v>
      </c>
      <c r="N691" t="s">
        <v>213</v>
      </c>
      <c r="O691" t="s">
        <v>29</v>
      </c>
      <c r="P691" t="str">
        <f>IF(TRIM(O691)="","Unknown",PROPER(TRIM(O691)))</f>
        <v>Office Supplies</v>
      </c>
      <c r="Q691" t="s">
        <v>148</v>
      </c>
      <c r="R691" t="s">
        <v>1711</v>
      </c>
      <c r="S691" t="s">
        <v>55</v>
      </c>
      <c r="T691" t="str">
        <f>IF(TRIM(S691)="","Unknown",PROPER(TRIM(S691)))</f>
        <v>First Class</v>
      </c>
      <c r="U691">
        <v>1</v>
      </c>
      <c r="V691">
        <v>714.43</v>
      </c>
      <c r="W691">
        <v>0</v>
      </c>
      <c r="Y691">
        <v>0</v>
      </c>
      <c r="Z691">
        <v>714.43</v>
      </c>
      <c r="AA691">
        <v>565.44000000000005</v>
      </c>
      <c r="AB691">
        <v>148.99</v>
      </c>
      <c r="AC691" t="s">
        <v>33</v>
      </c>
      <c r="AD691" t="s">
        <v>34</v>
      </c>
      <c r="AE691">
        <f>ROUND((U691*V691)-(U691*V691*Y691),2)</f>
        <v>714.43</v>
      </c>
      <c r="AF691">
        <f>AE691-AA691</f>
        <v>148.9899999999999</v>
      </c>
      <c r="AG691" s="7">
        <f>ROUND((AF691/AE691),4)</f>
        <v>0.20849999999999999</v>
      </c>
      <c r="AH691">
        <f>IF(AND(C691&lt;&gt;"",E691&lt;&gt;""),E691 - C691,"")</f>
        <v>0</v>
      </c>
      <c r="AI691" t="str">
        <f>IF(C691="","",TEXT(C691, "mmmm"))</f>
        <v>February</v>
      </c>
      <c r="AJ691">
        <f>IF(C691="","",YEAR(C691))</f>
        <v>2025</v>
      </c>
      <c r="AM691" t="str">
        <f>IF(AN691="","clean","")</f>
        <v>clean</v>
      </c>
      <c r="AN691" t="s">
        <v>3595</v>
      </c>
    </row>
    <row r="692" spans="1:40">
      <c r="A692" t="s">
        <v>1727</v>
      </c>
      <c r="B692" t="s">
        <v>1728</v>
      </c>
      <c r="C692" s="6">
        <v>45761</v>
      </c>
      <c r="D692" t="s">
        <v>1729</v>
      </c>
      <c r="E692" s="6">
        <v>45769</v>
      </c>
      <c r="F692" t="s">
        <v>1730</v>
      </c>
      <c r="G692" t="s">
        <v>103</v>
      </c>
      <c r="H692" t="s">
        <v>103</v>
      </c>
      <c r="I692" t="s">
        <v>40</v>
      </c>
      <c r="J692" t="s">
        <v>40</v>
      </c>
      <c r="K692" t="s">
        <v>60</v>
      </c>
      <c r="L692" t="str">
        <f>IF(TRIM(K692)="","Unknown",PROPER(TRIM(K692)))</f>
        <v>South</v>
      </c>
      <c r="M692" t="s">
        <v>212</v>
      </c>
      <c r="N692" t="s">
        <v>213</v>
      </c>
      <c r="O692" t="s">
        <v>83</v>
      </c>
      <c r="P692" t="str">
        <f>IF(TRIM(O692)="","Unknown",PROPER(TRIM(O692)))</f>
        <v>Technology</v>
      </c>
      <c r="Q692" t="s">
        <v>347</v>
      </c>
      <c r="R692" t="s">
        <v>1731</v>
      </c>
      <c r="S692" t="s">
        <v>65</v>
      </c>
      <c r="T692" t="str">
        <f>IF(TRIM(S692)="","Unknown",PROPER(TRIM(S692)))</f>
        <v>Standard Class</v>
      </c>
      <c r="U692">
        <v>2</v>
      </c>
      <c r="V692">
        <v>638.73</v>
      </c>
      <c r="W692">
        <v>0.05</v>
      </c>
      <c r="Y692">
        <v>0.05</v>
      </c>
      <c r="Z692">
        <v>1213.5899999999999</v>
      </c>
      <c r="AA692">
        <v>956.22</v>
      </c>
      <c r="AB692">
        <v>257.37</v>
      </c>
      <c r="AC692" t="s">
        <v>33</v>
      </c>
      <c r="AD692" t="s">
        <v>34</v>
      </c>
      <c r="AE692">
        <f>ROUND((U692*V692)-(U692*V692*Y692),2)</f>
        <v>1213.5899999999999</v>
      </c>
      <c r="AF692">
        <f>AE692-AA692</f>
        <v>257.36999999999989</v>
      </c>
      <c r="AG692" s="7">
        <f>ROUND((AF692/AE692),4)</f>
        <v>0.21210000000000001</v>
      </c>
      <c r="AH692">
        <f>IF(AND(C692&lt;&gt;"",E692&lt;&gt;""),E692 - C692,"")</f>
        <v>8</v>
      </c>
      <c r="AI692" t="str">
        <f>IF(C692="","",TEXT(C692, "mmmm"))</f>
        <v>April</v>
      </c>
      <c r="AJ692">
        <f>IF(C692="","",YEAR(C692))</f>
        <v>2025</v>
      </c>
      <c r="AM692" t="str">
        <f>IF(AN692="","clean","")</f>
        <v>clean</v>
      </c>
      <c r="AN692" t="s">
        <v>3595</v>
      </c>
    </row>
    <row r="693" spans="1:40">
      <c r="A693" t="s">
        <v>1732</v>
      </c>
      <c r="B693" t="s">
        <v>3837</v>
      </c>
      <c r="C693" s="6">
        <v>45817</v>
      </c>
      <c r="D693" t="s">
        <v>1733</v>
      </c>
      <c r="E693" s="6">
        <v>45818</v>
      </c>
      <c r="F693" t="s">
        <v>1734</v>
      </c>
      <c r="G693" t="s">
        <v>158</v>
      </c>
      <c r="H693" t="s">
        <v>158</v>
      </c>
      <c r="I693" t="s">
        <v>40</v>
      </c>
      <c r="J693" t="s">
        <v>40</v>
      </c>
      <c r="K693" t="s">
        <v>26</v>
      </c>
      <c r="L693" t="str">
        <f>IF(TRIM(K693)="","Unknown",PROPER(TRIM(K693)))</f>
        <v>North</v>
      </c>
      <c r="M693" t="s">
        <v>163</v>
      </c>
      <c r="N693" t="s">
        <v>164</v>
      </c>
      <c r="O693" t="s">
        <v>44</v>
      </c>
      <c r="P693" t="str">
        <f>IF(TRIM(O693)="","Unknown",PROPER(TRIM(O693)))</f>
        <v>Furniture</v>
      </c>
      <c r="Q693" t="s">
        <v>45</v>
      </c>
      <c r="R693" t="s">
        <v>1735</v>
      </c>
      <c r="S693" t="s">
        <v>32</v>
      </c>
      <c r="T693" t="str">
        <f>IF(TRIM(S693)="","Unknown",PROPER(TRIM(S693)))</f>
        <v>Second Class</v>
      </c>
      <c r="U693">
        <v>2</v>
      </c>
      <c r="V693">
        <v>1731.88</v>
      </c>
      <c r="W693">
        <v>0</v>
      </c>
      <c r="Y693">
        <v>0</v>
      </c>
      <c r="Z693">
        <v>3463.76</v>
      </c>
      <c r="AA693">
        <v>2143.7399999999998</v>
      </c>
      <c r="AB693">
        <v>1320.02</v>
      </c>
      <c r="AC693" t="s">
        <v>33</v>
      </c>
      <c r="AD693" t="s">
        <v>34</v>
      </c>
      <c r="AE693">
        <f>ROUND((U693*V693)-(U693*V693*Y693),2)</f>
        <v>3463.76</v>
      </c>
      <c r="AF693">
        <f>AE693-AA693</f>
        <v>1320.0200000000004</v>
      </c>
      <c r="AG693" s="7">
        <f>ROUND((AF693/AE693),4)</f>
        <v>0.38109999999999999</v>
      </c>
      <c r="AH693">
        <f>IF(AND(C693&lt;&gt;"",E693&lt;&gt;""),E693 - C693,"")</f>
        <v>1</v>
      </c>
      <c r="AI693" t="str">
        <f>IF(C693="","",TEXT(C693, "mmmm"))</f>
        <v>June</v>
      </c>
      <c r="AJ693">
        <f>IF(C693="","",YEAR(C693))</f>
        <v>2025</v>
      </c>
      <c r="AM693" t="str">
        <f>IF(AN693="","clean","")</f>
        <v>clean</v>
      </c>
      <c r="AN693" t="s">
        <v>3595</v>
      </c>
    </row>
    <row r="694" spans="1:40">
      <c r="A694" t="s">
        <v>1740</v>
      </c>
      <c r="B694" t="s">
        <v>3839</v>
      </c>
      <c r="C694" s="6">
        <v>45771</v>
      </c>
      <c r="D694" t="s">
        <v>1741</v>
      </c>
      <c r="E694" s="6">
        <v>45776</v>
      </c>
      <c r="F694" t="s">
        <v>1742</v>
      </c>
      <c r="G694" t="s">
        <v>196</v>
      </c>
      <c r="H694" t="s">
        <v>196</v>
      </c>
      <c r="I694" t="s">
        <v>40</v>
      </c>
      <c r="J694" t="s">
        <v>40</v>
      </c>
      <c r="K694" t="s">
        <v>60</v>
      </c>
      <c r="L694" t="str">
        <f>IF(TRIM(K694)="","Unknown",PROPER(TRIM(K694)))</f>
        <v>South</v>
      </c>
      <c r="M694" t="s">
        <v>97</v>
      </c>
      <c r="N694" t="s">
        <v>98</v>
      </c>
      <c r="O694" t="s">
        <v>29</v>
      </c>
      <c r="P694" t="str">
        <f>IF(TRIM(O694)="","Unknown",PROPER(TRIM(O694)))</f>
        <v>Office Supplies</v>
      </c>
      <c r="Q694" t="s">
        <v>30</v>
      </c>
      <c r="R694" t="s">
        <v>1743</v>
      </c>
      <c r="S694" t="s">
        <v>47</v>
      </c>
      <c r="T694" t="str">
        <f>IF(TRIM(S694)="","Unknown",PROPER(TRIM(S694)))</f>
        <v>Same Day</v>
      </c>
      <c r="U694">
        <v>1</v>
      </c>
      <c r="V694">
        <v>4358.5</v>
      </c>
      <c r="W694">
        <v>0.25</v>
      </c>
      <c r="Y694">
        <v>0.25</v>
      </c>
      <c r="Z694">
        <v>3268.88</v>
      </c>
      <c r="AA694">
        <v>1993.74</v>
      </c>
      <c r="AB694">
        <v>1275.1400000000001</v>
      </c>
      <c r="AC694" t="s">
        <v>33</v>
      </c>
      <c r="AD694" t="s">
        <v>34</v>
      </c>
      <c r="AE694">
        <f>ROUND((U694*V694)-(U694*V694*Y694),2)</f>
        <v>3268.88</v>
      </c>
      <c r="AF694">
        <f>AE694-AA694</f>
        <v>1275.1400000000001</v>
      </c>
      <c r="AG694" s="7">
        <f>ROUND((AF694/AE694),4)</f>
        <v>0.3901</v>
      </c>
      <c r="AH694">
        <f>IF(AND(C694&lt;&gt;"",E694&lt;&gt;""),E694 - C694,"")</f>
        <v>5</v>
      </c>
      <c r="AI694" t="str">
        <f>IF(C694="","",TEXT(C694, "mmmm"))</f>
        <v>April</v>
      </c>
      <c r="AJ694">
        <f>IF(C694="","",YEAR(C694))</f>
        <v>2025</v>
      </c>
      <c r="AM694" t="str">
        <f>IF(AN694="","clean","")</f>
        <v>clean</v>
      </c>
      <c r="AN694" t="s">
        <v>3595</v>
      </c>
    </row>
    <row r="695" spans="1:40">
      <c r="A695" t="s">
        <v>1740</v>
      </c>
      <c r="B695" t="s">
        <v>3839</v>
      </c>
      <c r="C695" s="6">
        <v>45771</v>
      </c>
      <c r="D695" t="s">
        <v>1741</v>
      </c>
      <c r="E695" s="6">
        <v>45776</v>
      </c>
      <c r="F695" t="s">
        <v>1742</v>
      </c>
      <c r="G695" t="s">
        <v>196</v>
      </c>
      <c r="H695" t="s">
        <v>196</v>
      </c>
      <c r="I695" t="s">
        <v>40</v>
      </c>
      <c r="J695" t="s">
        <v>40</v>
      </c>
      <c r="K695" t="s">
        <v>60</v>
      </c>
      <c r="L695" t="str">
        <f>IF(TRIM(K695)="","Unknown",PROPER(TRIM(K695)))</f>
        <v>South</v>
      </c>
      <c r="M695" t="s">
        <v>97</v>
      </c>
      <c r="N695" t="s">
        <v>98</v>
      </c>
      <c r="O695" t="s">
        <v>29</v>
      </c>
      <c r="P695" t="str">
        <f>IF(TRIM(O695)="","Unknown",PROPER(TRIM(O695)))</f>
        <v>Office Supplies</v>
      </c>
      <c r="Q695" t="s">
        <v>30</v>
      </c>
      <c r="R695" t="s">
        <v>1743</v>
      </c>
      <c r="S695" t="s">
        <v>47</v>
      </c>
      <c r="T695" t="str">
        <f>IF(TRIM(S695)="","Unknown",PROPER(TRIM(S695)))</f>
        <v>Same Day</v>
      </c>
      <c r="U695">
        <v>1</v>
      </c>
      <c r="V695">
        <v>4358.5</v>
      </c>
      <c r="W695">
        <v>0.25</v>
      </c>
      <c r="Y695">
        <v>0.25</v>
      </c>
      <c r="Z695">
        <v>3268.88</v>
      </c>
      <c r="AA695">
        <v>1993.74</v>
      </c>
      <c r="AB695">
        <v>1275.1400000000001</v>
      </c>
      <c r="AC695" t="s">
        <v>33</v>
      </c>
      <c r="AD695" t="s">
        <v>34</v>
      </c>
      <c r="AE695">
        <f>ROUND((U695*V695)-(U695*V695*Y695),2)</f>
        <v>3268.88</v>
      </c>
      <c r="AF695">
        <f>AE695-AA695</f>
        <v>1275.1400000000001</v>
      </c>
      <c r="AG695" s="7">
        <f>ROUND((AF695/AE695),4)</f>
        <v>0.3901</v>
      </c>
      <c r="AH695">
        <f>IF(AND(C695&lt;&gt;"",E695&lt;&gt;""),E695 - C695,"")</f>
        <v>5</v>
      </c>
      <c r="AI695" t="str">
        <f>IF(C695="","",TEXT(C695, "mmmm"))</f>
        <v>April</v>
      </c>
      <c r="AJ695">
        <f>IF(C695="","",YEAR(C695))</f>
        <v>2025</v>
      </c>
      <c r="AL695" t="s">
        <v>4152</v>
      </c>
      <c r="AM695" t="s">
        <v>4144</v>
      </c>
      <c r="AN695" t="s">
        <v>4149</v>
      </c>
    </row>
    <row r="696" spans="1:40">
      <c r="A696" t="s">
        <v>1744</v>
      </c>
      <c r="B696" t="s">
        <v>3840</v>
      </c>
      <c r="C696" s="6">
        <v>45814</v>
      </c>
      <c r="D696" t="s">
        <v>1745</v>
      </c>
      <c r="E696" s="6">
        <v>45819</v>
      </c>
      <c r="F696" t="s">
        <v>1746</v>
      </c>
      <c r="G696" t="s">
        <v>158</v>
      </c>
      <c r="H696" t="s">
        <v>158</v>
      </c>
      <c r="I696" t="s">
        <v>40</v>
      </c>
      <c r="J696" t="s">
        <v>40</v>
      </c>
      <c r="K696" t="s">
        <v>26</v>
      </c>
      <c r="L696" t="str">
        <f>IF(TRIM(K696)="","Unknown",PROPER(TRIM(K696)))</f>
        <v>North</v>
      </c>
      <c r="M696" t="s">
        <v>163</v>
      </c>
      <c r="N696" t="s">
        <v>164</v>
      </c>
      <c r="O696" t="s">
        <v>29</v>
      </c>
      <c r="P696" t="str">
        <f>IF(TRIM(O696)="","Unknown",PROPER(TRIM(O696)))</f>
        <v>Office Supplies</v>
      </c>
      <c r="Q696" t="s">
        <v>30</v>
      </c>
      <c r="R696" t="s">
        <v>1747</v>
      </c>
      <c r="S696" t="s">
        <v>47</v>
      </c>
      <c r="T696" t="str">
        <f>IF(TRIM(S696)="","Unknown",PROPER(TRIM(S696)))</f>
        <v>Same Day</v>
      </c>
      <c r="U696">
        <v>7</v>
      </c>
      <c r="V696">
        <v>878.09</v>
      </c>
      <c r="W696">
        <v>-0.1</v>
      </c>
      <c r="Y696">
        <v>0.05</v>
      </c>
      <c r="Z696">
        <v>5839.3</v>
      </c>
      <c r="AA696">
        <v>4877.38</v>
      </c>
      <c r="AB696">
        <v>961.92</v>
      </c>
      <c r="AC696" t="s">
        <v>33</v>
      </c>
      <c r="AD696" t="s">
        <v>34</v>
      </c>
      <c r="AE696">
        <f>ROUND((U696*V696)-(U696*V696*Y696),2)</f>
        <v>5839.3</v>
      </c>
      <c r="AF696">
        <f>AE696-AA696</f>
        <v>961.92000000000007</v>
      </c>
      <c r="AG696" s="7">
        <f>ROUND((AF696/AE696),4)</f>
        <v>0.16470000000000001</v>
      </c>
      <c r="AH696">
        <f>IF(AND(C696&lt;&gt;"",E696&lt;&gt;""),E696 - C696,"")</f>
        <v>5</v>
      </c>
      <c r="AI696" t="str">
        <f>IF(C696="","",TEXT(C696, "mmmm"))</f>
        <v>June</v>
      </c>
      <c r="AJ696">
        <f>IF(C696="","",YEAR(C696))</f>
        <v>2025</v>
      </c>
      <c r="AM696" t="s">
        <v>4145</v>
      </c>
      <c r="AN696" t="s">
        <v>3596</v>
      </c>
    </row>
    <row r="697" spans="1:40">
      <c r="A697" t="s">
        <v>1748</v>
      </c>
      <c r="B697" t="s">
        <v>3841</v>
      </c>
      <c r="C697" s="6">
        <v>45725</v>
      </c>
      <c r="D697" t="s">
        <v>1749</v>
      </c>
      <c r="E697" s="6">
        <v>45732</v>
      </c>
      <c r="F697" t="s">
        <v>1750</v>
      </c>
      <c r="G697" t="s">
        <v>59</v>
      </c>
      <c r="H697" t="s">
        <v>59</v>
      </c>
      <c r="I697" t="s">
        <v>40</v>
      </c>
      <c r="J697" t="s">
        <v>40</v>
      </c>
      <c r="K697" t="s">
        <v>41</v>
      </c>
      <c r="L697" t="str">
        <f>IF(TRIM(K697)="","Unknown",PROPER(TRIM(K697)))</f>
        <v>East</v>
      </c>
      <c r="M697" t="s">
        <v>284</v>
      </c>
      <c r="N697" t="s">
        <v>285</v>
      </c>
      <c r="O697" t="s">
        <v>44</v>
      </c>
      <c r="P697" t="str">
        <f>IF(TRIM(O697)="","Unknown",PROPER(TRIM(O697)))</f>
        <v>Furniture</v>
      </c>
      <c r="Q697" t="s">
        <v>45</v>
      </c>
      <c r="R697" t="s">
        <v>1751</v>
      </c>
      <c r="S697" t="s">
        <v>47</v>
      </c>
      <c r="T697" t="str">
        <f>IF(TRIM(S697)="","Unknown",PROPER(TRIM(S697)))</f>
        <v>Same Day</v>
      </c>
      <c r="U697">
        <v>3</v>
      </c>
      <c r="V697">
        <v>2625.85</v>
      </c>
      <c r="W697">
        <v>0</v>
      </c>
      <c r="Y697">
        <v>0</v>
      </c>
      <c r="Z697">
        <v>7877.55</v>
      </c>
      <c r="AA697">
        <v>5562.77</v>
      </c>
      <c r="AB697">
        <v>2314.7800000000002</v>
      </c>
      <c r="AC697" t="s">
        <v>33</v>
      </c>
      <c r="AD697" t="s">
        <v>34</v>
      </c>
      <c r="AE697">
        <f>ROUND((U697*V697)-(U697*V697*Y697),2)</f>
        <v>7877.55</v>
      </c>
      <c r="AF697">
        <f>AE697-AA697</f>
        <v>2314.7799999999997</v>
      </c>
      <c r="AG697" s="7">
        <f>ROUND((AF697/AE697),4)</f>
        <v>0.29380000000000001</v>
      </c>
      <c r="AH697">
        <f>IF(AND(C697&lt;&gt;"",E697&lt;&gt;""),E697 - C697,"")</f>
        <v>7</v>
      </c>
      <c r="AI697" t="str">
        <f>IF(C697="","",TEXT(C697, "mmmm"))</f>
        <v>March</v>
      </c>
      <c r="AJ697">
        <f>IF(C697="","",YEAR(C697))</f>
        <v>2025</v>
      </c>
      <c r="AM697" t="str">
        <f>IF(AN697="","clean","")</f>
        <v>clean</v>
      </c>
      <c r="AN697" t="s">
        <v>3595</v>
      </c>
    </row>
    <row r="698" spans="1:40">
      <c r="A698" t="s">
        <v>1770</v>
      </c>
      <c r="B698" t="s">
        <v>1771</v>
      </c>
      <c r="C698" s="6">
        <v>45713</v>
      </c>
      <c r="D698" t="s">
        <v>1771</v>
      </c>
      <c r="E698" s="6">
        <v>45713</v>
      </c>
      <c r="F698" t="s">
        <v>1772</v>
      </c>
      <c r="G698" t="s">
        <v>334</v>
      </c>
      <c r="H698" t="s">
        <v>334</v>
      </c>
      <c r="I698" t="s">
        <v>40</v>
      </c>
      <c r="J698" t="s">
        <v>40</v>
      </c>
      <c r="K698" t="s">
        <v>71</v>
      </c>
      <c r="L698" t="str">
        <f>IF(TRIM(K698)="","Unknown",PROPER(TRIM(K698)))</f>
        <v>West</v>
      </c>
      <c r="M698" t="s">
        <v>230</v>
      </c>
      <c r="N698" t="s">
        <v>231</v>
      </c>
      <c r="O698" t="s">
        <v>44</v>
      </c>
      <c r="P698" t="str">
        <f>IF(TRIM(O698)="","Unknown",PROPER(TRIM(O698)))</f>
        <v>Furniture</v>
      </c>
      <c r="Q698" t="s">
        <v>63</v>
      </c>
      <c r="R698" t="s">
        <v>1773</v>
      </c>
      <c r="S698" t="s">
        <v>65</v>
      </c>
      <c r="T698" t="str">
        <f>IF(TRIM(S698)="","Unknown",PROPER(TRIM(S698)))</f>
        <v>Standard Class</v>
      </c>
      <c r="U698">
        <v>2</v>
      </c>
      <c r="V698">
        <v>3924.2</v>
      </c>
      <c r="W698">
        <v>0.25</v>
      </c>
      <c r="Y698">
        <v>0.25</v>
      </c>
      <c r="Z698">
        <v>5886.3</v>
      </c>
      <c r="AA698">
        <v>3621.76</v>
      </c>
      <c r="AB698">
        <v>2264.54</v>
      </c>
      <c r="AC698" t="s">
        <v>131</v>
      </c>
      <c r="AD698" t="s">
        <v>120</v>
      </c>
      <c r="AE698">
        <f>ROUND((U698*V698)-(U698*V698*Y698),2)</f>
        <v>5886.3</v>
      </c>
      <c r="AF698">
        <f>AE698-AA698</f>
        <v>2264.54</v>
      </c>
      <c r="AG698" s="7">
        <f>ROUND((AF698/AE698),4)</f>
        <v>0.38469999999999999</v>
      </c>
      <c r="AH698">
        <f>IF(AND(C698&lt;&gt;"",E698&lt;&gt;""),E698 - C698,"")</f>
        <v>0</v>
      </c>
      <c r="AI698" t="str">
        <f>IF(C698="","",TEXT(C698, "mmmm"))</f>
        <v>February</v>
      </c>
      <c r="AJ698">
        <f>IF(C698="","",YEAR(C698))</f>
        <v>2025</v>
      </c>
      <c r="AM698" t="str">
        <f>IF(AN698="","clean","")</f>
        <v>clean</v>
      </c>
      <c r="AN698" t="s">
        <v>3595</v>
      </c>
    </row>
    <row r="699" spans="1:40">
      <c r="A699" t="s">
        <v>1778</v>
      </c>
      <c r="B699" t="s">
        <v>729</v>
      </c>
      <c r="C699" s="6">
        <v>45870</v>
      </c>
      <c r="D699" t="s">
        <v>955</v>
      </c>
      <c r="E699" s="6">
        <v>45872</v>
      </c>
      <c r="F699" t="s">
        <v>1779</v>
      </c>
      <c r="G699" t="s">
        <v>158</v>
      </c>
      <c r="H699" t="s">
        <v>158</v>
      </c>
      <c r="I699" t="s">
        <v>25</v>
      </c>
      <c r="J699" t="s">
        <v>25</v>
      </c>
      <c r="K699" t="s">
        <v>71</v>
      </c>
      <c r="L699" t="str">
        <f>IF(TRIM(K699)="","Unknown",PROPER(TRIM(K699)))</f>
        <v>West</v>
      </c>
      <c r="M699" t="s">
        <v>72</v>
      </c>
      <c r="N699" t="s">
        <v>73</v>
      </c>
      <c r="O699" t="s">
        <v>44</v>
      </c>
      <c r="P699" t="str">
        <f>IF(TRIM(O699)="","Unknown",PROPER(TRIM(O699)))</f>
        <v>Furniture</v>
      </c>
      <c r="Q699" t="s">
        <v>74</v>
      </c>
      <c r="R699" t="s">
        <v>1780</v>
      </c>
      <c r="S699" t="s">
        <v>55</v>
      </c>
      <c r="T699" t="str">
        <f>IF(TRIM(S699)="","Unknown",PROPER(TRIM(S699)))</f>
        <v>First Class</v>
      </c>
      <c r="U699">
        <v>4</v>
      </c>
      <c r="V699">
        <v>1773.46</v>
      </c>
      <c r="W699">
        <v>0</v>
      </c>
      <c r="Y699">
        <v>0</v>
      </c>
      <c r="Z699">
        <v>7093.84</v>
      </c>
      <c r="AA699">
        <v>4587.49</v>
      </c>
      <c r="AB699">
        <v>2506.35</v>
      </c>
      <c r="AC699" t="s">
        <v>186</v>
      </c>
      <c r="AD699" t="s">
        <v>120</v>
      </c>
      <c r="AE699">
        <f>ROUND((U699*V699)-(U699*V699*Y699),2)</f>
        <v>7093.84</v>
      </c>
      <c r="AF699">
        <f>AE699-AA699</f>
        <v>2506.3500000000004</v>
      </c>
      <c r="AG699" s="7">
        <f>ROUND((AF699/AE699),4)</f>
        <v>0.3533</v>
      </c>
      <c r="AH699">
        <f>IF(AND(C699&lt;&gt;"",E699&lt;&gt;""),E699 - C699,"")</f>
        <v>2</v>
      </c>
      <c r="AI699" t="str">
        <f>IF(C699="","",TEXT(C699, "mmmm"))</f>
        <v>August</v>
      </c>
      <c r="AJ699">
        <f>IF(C699="","",YEAR(C699))</f>
        <v>2025</v>
      </c>
      <c r="AM699" t="str">
        <f>IF(AN699="","clean","")</f>
        <v>clean</v>
      </c>
      <c r="AN699" t="s">
        <v>3595</v>
      </c>
    </row>
    <row r="700" spans="1:40">
      <c r="A700" t="s">
        <v>1781</v>
      </c>
      <c r="B700" t="s">
        <v>738</v>
      </c>
      <c r="C700" s="6">
        <v>45701</v>
      </c>
      <c r="D700" t="s">
        <v>688</v>
      </c>
      <c r="E700" s="6">
        <v>45703</v>
      </c>
      <c r="F700" t="s">
        <v>1782</v>
      </c>
      <c r="G700" t="s">
        <v>24</v>
      </c>
      <c r="H700" t="s">
        <v>24</v>
      </c>
      <c r="I700" t="s">
        <v>25</v>
      </c>
      <c r="J700" t="s">
        <v>25</v>
      </c>
      <c r="K700" t="s">
        <v>41</v>
      </c>
      <c r="L700" t="str">
        <f>IF(TRIM(K700)="","Unknown",PROPER(TRIM(K700)))</f>
        <v>East</v>
      </c>
      <c r="M700" t="s">
        <v>201</v>
      </c>
      <c r="N700" t="s">
        <v>202</v>
      </c>
      <c r="O700" t="s">
        <v>83</v>
      </c>
      <c r="P700" t="str">
        <f>IF(TRIM(O700)="","Unknown",PROPER(TRIM(O700)))</f>
        <v>Technology</v>
      </c>
      <c r="Q700" t="s">
        <v>84</v>
      </c>
      <c r="R700" t="s">
        <v>1783</v>
      </c>
      <c r="S700" t="s">
        <v>47</v>
      </c>
      <c r="T700" t="str">
        <f>IF(TRIM(S700)="","Unknown",PROPER(TRIM(S700)))</f>
        <v>Same Day</v>
      </c>
      <c r="U700">
        <v>1</v>
      </c>
      <c r="V700">
        <v>3025.46</v>
      </c>
      <c r="W700">
        <v>0.25</v>
      </c>
      <c r="Y700">
        <v>0.25</v>
      </c>
      <c r="Z700">
        <v>2269.1</v>
      </c>
      <c r="AA700">
        <v>1593.59</v>
      </c>
      <c r="AB700">
        <v>675.51</v>
      </c>
      <c r="AC700" t="s">
        <v>119</v>
      </c>
      <c r="AD700" t="s">
        <v>120</v>
      </c>
      <c r="AE700">
        <f>ROUND((U700*V700)-(U700*V700*Y700),2)</f>
        <v>2269.1</v>
      </c>
      <c r="AF700">
        <f>AE700-AA700</f>
        <v>675.51</v>
      </c>
      <c r="AG700" s="7">
        <f>ROUND((AF700/AE700),4)</f>
        <v>0.29770000000000002</v>
      </c>
      <c r="AH700">
        <f>IF(AND(C700&lt;&gt;"",E700&lt;&gt;""),E700 - C700,"")</f>
        <v>2</v>
      </c>
      <c r="AI700" t="str">
        <f>IF(C700="","",TEXT(C700, "mmmm"))</f>
        <v>February</v>
      </c>
      <c r="AJ700">
        <f>IF(C700="","",YEAR(C700))</f>
        <v>2025</v>
      </c>
      <c r="AM700" t="str">
        <f>IF(AN700="","clean","")</f>
        <v>clean</v>
      </c>
      <c r="AN700" t="s">
        <v>3595</v>
      </c>
    </row>
    <row r="701" spans="1:40">
      <c r="A701" t="s">
        <v>1788</v>
      </c>
      <c r="B701" t="s">
        <v>3847</v>
      </c>
      <c r="C701" s="6">
        <v>45892</v>
      </c>
      <c r="D701" t="s">
        <v>1789</v>
      </c>
      <c r="E701" s="6">
        <v>45897</v>
      </c>
      <c r="F701" t="s">
        <v>1790</v>
      </c>
      <c r="G701" t="s">
        <v>59</v>
      </c>
      <c r="H701" t="s">
        <v>59</v>
      </c>
      <c r="I701" t="s">
        <v>110</v>
      </c>
      <c r="J701" t="s">
        <v>110</v>
      </c>
      <c r="K701" t="s">
        <v>71</v>
      </c>
      <c r="L701" t="str">
        <f>IF(TRIM(K701)="","Unknown",PROPER(TRIM(K701)))</f>
        <v>West</v>
      </c>
      <c r="M701" t="s">
        <v>27</v>
      </c>
      <c r="N701" t="s">
        <v>129</v>
      </c>
      <c r="O701" t="s">
        <v>44</v>
      </c>
      <c r="P701" t="str">
        <f>IF(TRIM(O701)="","Unknown",PROPER(TRIM(O701)))</f>
        <v>Furniture</v>
      </c>
      <c r="Q701" t="s">
        <v>45</v>
      </c>
      <c r="R701" t="s">
        <v>1791</v>
      </c>
      <c r="S701" t="s">
        <v>55</v>
      </c>
      <c r="T701" t="str">
        <f>IF(TRIM(S701)="","Unknown",PROPER(TRIM(S701)))</f>
        <v>First Class</v>
      </c>
      <c r="U701">
        <v>1</v>
      </c>
      <c r="V701">
        <v>4167.8100000000004</v>
      </c>
      <c r="W701">
        <v>0.2</v>
      </c>
      <c r="Y701">
        <v>0.2</v>
      </c>
      <c r="Z701">
        <v>3334.25</v>
      </c>
      <c r="AA701">
        <v>2768.77</v>
      </c>
      <c r="AB701">
        <v>565.48</v>
      </c>
      <c r="AC701" t="s">
        <v>186</v>
      </c>
      <c r="AD701" t="s">
        <v>120</v>
      </c>
      <c r="AE701">
        <f>ROUND((U701*V701)-(U701*V701*Y701),2)</f>
        <v>3334.25</v>
      </c>
      <c r="AF701">
        <f>AE701-AA701</f>
        <v>565.48</v>
      </c>
      <c r="AG701" s="7">
        <f>ROUND((AF701/AE701),4)</f>
        <v>0.1696</v>
      </c>
      <c r="AH701">
        <f>IF(AND(C701&lt;&gt;"",E701&lt;&gt;""),E701 - C701,"")</f>
        <v>5</v>
      </c>
      <c r="AI701" t="str">
        <f>IF(C701="","",TEXT(C701, "mmmm"))</f>
        <v>August</v>
      </c>
      <c r="AJ701">
        <f>IF(C701="","",YEAR(C701))</f>
        <v>2025</v>
      </c>
      <c r="AM701" t="str">
        <f>IF(AN701="","clean","")</f>
        <v>clean</v>
      </c>
      <c r="AN701" t="s">
        <v>3595</v>
      </c>
    </row>
    <row r="702" spans="1:40">
      <c r="A702" t="s">
        <v>1796</v>
      </c>
      <c r="B702" t="s">
        <v>222</v>
      </c>
      <c r="C702" s="6">
        <v>45882</v>
      </c>
      <c r="D702" t="s">
        <v>1797</v>
      </c>
      <c r="E702" s="6">
        <v>45886</v>
      </c>
      <c r="F702" t="s">
        <v>1798</v>
      </c>
      <c r="G702" t="s">
        <v>90</v>
      </c>
      <c r="H702" t="s">
        <v>90</v>
      </c>
      <c r="I702" t="s">
        <v>110</v>
      </c>
      <c r="J702" t="s">
        <v>110</v>
      </c>
      <c r="K702" t="s">
        <v>71</v>
      </c>
      <c r="L702" t="str">
        <f>IF(TRIM(K702)="","Unknown",PROPER(TRIM(K702)))</f>
        <v>West</v>
      </c>
      <c r="M702" t="s">
        <v>81</v>
      </c>
      <c r="N702" t="s">
        <v>82</v>
      </c>
      <c r="O702" t="s">
        <v>83</v>
      </c>
      <c r="P702" t="str">
        <f>IF(TRIM(O702)="","Unknown",PROPER(TRIM(O702)))</f>
        <v>Technology</v>
      </c>
      <c r="Q702" t="s">
        <v>84</v>
      </c>
      <c r="R702" t="s">
        <v>1799</v>
      </c>
      <c r="S702" t="s">
        <v>32</v>
      </c>
      <c r="T702" t="str">
        <f>IF(TRIM(S702)="","Unknown",PROPER(TRIM(S702)))</f>
        <v>Second Class</v>
      </c>
      <c r="U702">
        <v>8</v>
      </c>
      <c r="V702">
        <v>1918.23</v>
      </c>
      <c r="W702">
        <v>0</v>
      </c>
      <c r="Y702">
        <v>0</v>
      </c>
      <c r="Z702">
        <v>15345.84</v>
      </c>
      <c r="AA702">
        <v>10735.33</v>
      </c>
      <c r="AB702">
        <v>4610.51</v>
      </c>
      <c r="AC702" t="s">
        <v>131</v>
      </c>
      <c r="AD702" t="s">
        <v>76</v>
      </c>
      <c r="AE702">
        <f>ROUND((U702*V702)-(U702*V702*Y702),2)</f>
        <v>15345.84</v>
      </c>
      <c r="AF702">
        <f>AE702-AA702</f>
        <v>4610.51</v>
      </c>
      <c r="AG702" s="7">
        <f>ROUND((AF702/AE702),4)</f>
        <v>0.3004</v>
      </c>
      <c r="AH702">
        <f>IF(AND(C702&lt;&gt;"",E702&lt;&gt;""),E702 - C702,"")</f>
        <v>4</v>
      </c>
      <c r="AI702" t="str">
        <f>IF(C702="","",TEXT(C702, "mmmm"))</f>
        <v>August</v>
      </c>
      <c r="AJ702">
        <f>IF(C702="","",YEAR(C702))</f>
        <v>2025</v>
      </c>
      <c r="AM702" t="str">
        <f>IF(AN702="","clean","")</f>
        <v>clean</v>
      </c>
      <c r="AN702" t="s">
        <v>3595</v>
      </c>
    </row>
    <row r="703" spans="1:40">
      <c r="A703" t="s">
        <v>1808</v>
      </c>
      <c r="B703" t="s">
        <v>3849</v>
      </c>
      <c r="C703" s="6">
        <v>45665</v>
      </c>
      <c r="D703" t="s">
        <v>1809</v>
      </c>
      <c r="E703" s="6">
        <v>45673</v>
      </c>
      <c r="F703" t="s">
        <v>1810</v>
      </c>
      <c r="G703" t="s">
        <v>90</v>
      </c>
      <c r="H703" t="s">
        <v>90</v>
      </c>
      <c r="I703" t="s">
        <v>25</v>
      </c>
      <c r="J703" t="s">
        <v>25</v>
      </c>
      <c r="K703" t="s">
        <v>60</v>
      </c>
      <c r="L703" t="str">
        <f>IF(TRIM(K703)="","Unknown",PROPER(TRIM(K703)))</f>
        <v>South</v>
      </c>
      <c r="M703" t="s">
        <v>61</v>
      </c>
      <c r="N703" t="s">
        <v>62</v>
      </c>
      <c r="O703" t="s">
        <v>44</v>
      </c>
      <c r="P703" t="str">
        <f>IF(TRIM(O703)="","Unknown",PROPER(TRIM(O703)))</f>
        <v>Furniture</v>
      </c>
      <c r="Q703" t="s">
        <v>63</v>
      </c>
      <c r="R703" t="s">
        <v>1811</v>
      </c>
      <c r="S703" t="s">
        <v>55</v>
      </c>
      <c r="T703" t="str">
        <f>IF(TRIM(S703)="","Unknown",PROPER(TRIM(S703)))</f>
        <v>First Class</v>
      </c>
      <c r="U703">
        <v>8</v>
      </c>
      <c r="V703">
        <v>638.95000000000005</v>
      </c>
      <c r="W703">
        <v>0.25</v>
      </c>
      <c r="Y703">
        <v>0.25</v>
      </c>
      <c r="Z703">
        <v>3833.7</v>
      </c>
      <c r="AA703">
        <v>2886.35</v>
      </c>
      <c r="AB703">
        <v>947.35</v>
      </c>
      <c r="AC703" t="s">
        <v>33</v>
      </c>
      <c r="AD703" t="s">
        <v>34</v>
      </c>
      <c r="AE703">
        <f>ROUND((U703*V703)-(U703*V703*Y703),2)</f>
        <v>3833.7</v>
      </c>
      <c r="AF703">
        <f>AE703-AA703</f>
        <v>947.34999999999991</v>
      </c>
      <c r="AG703" s="7">
        <f>ROUND((AF703/AE703),4)</f>
        <v>0.24709999999999999</v>
      </c>
      <c r="AH703">
        <f>IF(AND(C703&lt;&gt;"",E703&lt;&gt;""),E703 - C703,"")</f>
        <v>8</v>
      </c>
      <c r="AI703" t="str">
        <f>IF(C703="","",TEXT(C703, "mmmm"))</f>
        <v>January</v>
      </c>
      <c r="AJ703">
        <f>IF(C703="","",YEAR(C703))</f>
        <v>2025</v>
      </c>
      <c r="AM703" t="str">
        <f>IF(AN703="","clean","")</f>
        <v>clean</v>
      </c>
      <c r="AN703" t="s">
        <v>3595</v>
      </c>
    </row>
    <row r="704" spans="1:40">
      <c r="A704" t="s">
        <v>1812</v>
      </c>
      <c r="B704" t="s">
        <v>1579</v>
      </c>
      <c r="C704" s="6">
        <v>45686</v>
      </c>
      <c r="D704" t="s">
        <v>1813</v>
      </c>
      <c r="E704" s="6">
        <v>45693</v>
      </c>
      <c r="F704" t="s">
        <v>1814</v>
      </c>
      <c r="G704" t="s">
        <v>39</v>
      </c>
      <c r="H704" t="s">
        <v>39</v>
      </c>
      <c r="I704" t="s">
        <v>25</v>
      </c>
      <c r="J704" t="s">
        <v>25</v>
      </c>
      <c r="K704" t="s">
        <v>71</v>
      </c>
      <c r="L704" t="str">
        <f>IF(TRIM(K704)="","Unknown",PROPER(TRIM(K704)))</f>
        <v>West</v>
      </c>
      <c r="M704" t="s">
        <v>218</v>
      </c>
      <c r="N704" t="s">
        <v>219</v>
      </c>
      <c r="O704" t="s">
        <v>29</v>
      </c>
      <c r="P704" t="str">
        <f>IF(TRIM(O704)="","Unknown",PROPER(TRIM(O704)))</f>
        <v>Office Supplies</v>
      </c>
      <c r="Q704" t="s">
        <v>53</v>
      </c>
      <c r="R704" t="s">
        <v>1815</v>
      </c>
      <c r="S704" t="s">
        <v>55</v>
      </c>
      <c r="T704" t="str">
        <f>IF(TRIM(S704)="","Unknown",PROPER(TRIM(S704)))</f>
        <v>First Class</v>
      </c>
      <c r="U704">
        <v>6</v>
      </c>
      <c r="V704">
        <v>3863</v>
      </c>
      <c r="W704">
        <v>0.2</v>
      </c>
      <c r="Y704">
        <v>0.2</v>
      </c>
      <c r="Z704">
        <v>18542.400000000001</v>
      </c>
      <c r="AA704">
        <v>11193.75</v>
      </c>
      <c r="AB704">
        <v>7348.65</v>
      </c>
      <c r="AC704" t="s">
        <v>33</v>
      </c>
      <c r="AD704" t="s">
        <v>34</v>
      </c>
      <c r="AE704">
        <f>ROUND((U704*V704)-(U704*V704*Y704),2)</f>
        <v>18542.400000000001</v>
      </c>
      <c r="AF704">
        <f>AE704-AA704</f>
        <v>7348.6500000000015</v>
      </c>
      <c r="AG704" s="7">
        <f>ROUND((AF704/AE704),4)</f>
        <v>0.39629999999999999</v>
      </c>
      <c r="AH704">
        <f>IF(AND(C704&lt;&gt;"",E704&lt;&gt;""),E704 - C704,"")</f>
        <v>7</v>
      </c>
      <c r="AI704" t="str">
        <f>IF(C704="","",TEXT(C704, "mmmm"))</f>
        <v>January</v>
      </c>
      <c r="AJ704">
        <f>IF(C704="","",YEAR(C704))</f>
        <v>2025</v>
      </c>
      <c r="AM704" t="str">
        <f>IF(AN704="","clean","")</f>
        <v>clean</v>
      </c>
      <c r="AN704" t="s">
        <v>3595</v>
      </c>
    </row>
    <row r="705" spans="1:40">
      <c r="A705" t="s">
        <v>1820</v>
      </c>
      <c r="B705" t="s">
        <v>3851</v>
      </c>
      <c r="D705" t="s">
        <v>1821</v>
      </c>
      <c r="E705" s="6">
        <v>45930</v>
      </c>
      <c r="F705" t="s">
        <v>1822</v>
      </c>
      <c r="G705" t="s">
        <v>158</v>
      </c>
      <c r="H705" t="s">
        <v>158</v>
      </c>
      <c r="I705" t="s">
        <v>110</v>
      </c>
      <c r="J705" t="s">
        <v>110</v>
      </c>
      <c r="K705" t="s">
        <v>26</v>
      </c>
      <c r="L705" t="str">
        <f>IF(TRIM(K705)="","Unknown",PROPER(TRIM(K705)))</f>
        <v>North</v>
      </c>
      <c r="M705" t="s">
        <v>294</v>
      </c>
      <c r="N705" t="s">
        <v>295</v>
      </c>
      <c r="O705" t="s">
        <v>83</v>
      </c>
      <c r="P705" t="str">
        <f>IF(TRIM(O705)="","Unknown",PROPER(TRIM(O705)))</f>
        <v>Technology</v>
      </c>
      <c r="Q705" t="s">
        <v>207</v>
      </c>
      <c r="R705" t="s">
        <v>1823</v>
      </c>
      <c r="S705" t="s">
        <v>47</v>
      </c>
      <c r="T705" t="str">
        <f>IF(TRIM(S705)="","Unknown",PROPER(TRIM(S705)))</f>
        <v>Same Day</v>
      </c>
      <c r="U705">
        <v>2</v>
      </c>
      <c r="V705">
        <v>688.83</v>
      </c>
      <c r="W705">
        <v>0.05</v>
      </c>
      <c r="Y705">
        <v>0.05</v>
      </c>
      <c r="Z705">
        <v>1308.78</v>
      </c>
      <c r="AA705">
        <v>843</v>
      </c>
      <c r="AB705">
        <v>465.78</v>
      </c>
      <c r="AC705" t="s">
        <v>33</v>
      </c>
      <c r="AD705" t="s">
        <v>34</v>
      </c>
      <c r="AE705">
        <f>ROUND((U705*V705)-(U705*V705*Y705),2)</f>
        <v>1308.78</v>
      </c>
      <c r="AF705">
        <f>AE705-AA705</f>
        <v>465.78</v>
      </c>
      <c r="AG705" s="7">
        <f>ROUND((AF705/AE705),4)</f>
        <v>0.35589999999999999</v>
      </c>
      <c r="AH705" t="str">
        <f>IF(AND(C705&lt;&gt;"",E705&lt;&gt;""),E705 - C705,"")</f>
        <v/>
      </c>
      <c r="AI705" t="str">
        <f>IF(C705="","",TEXT(C705, "mmmm"))</f>
        <v/>
      </c>
      <c r="AJ705" t="str">
        <f>IF(C705="","",YEAR(C705))</f>
        <v/>
      </c>
      <c r="AM705" t="s">
        <v>4144</v>
      </c>
      <c r="AN705" t="s">
        <v>4127</v>
      </c>
    </row>
    <row r="706" spans="1:40">
      <c r="A706" t="s">
        <v>1824</v>
      </c>
      <c r="B706" t="s">
        <v>3711</v>
      </c>
      <c r="C706" s="6">
        <v>45734</v>
      </c>
      <c r="D706" t="s">
        <v>1825</v>
      </c>
      <c r="E706" s="6">
        <v>45735</v>
      </c>
      <c r="F706" t="s">
        <v>1826</v>
      </c>
      <c r="G706" t="s">
        <v>52</v>
      </c>
      <c r="H706" t="s">
        <v>52</v>
      </c>
      <c r="I706" t="s">
        <v>104</v>
      </c>
      <c r="J706" t="s">
        <v>104</v>
      </c>
      <c r="K706" t="s">
        <v>60</v>
      </c>
      <c r="L706" t="str">
        <f>IF(TRIM(K706)="","Unknown",PROPER(TRIM(K706)))</f>
        <v>South</v>
      </c>
      <c r="M706" t="s">
        <v>309</v>
      </c>
      <c r="N706" t="s">
        <v>310</v>
      </c>
      <c r="O706" t="s">
        <v>83</v>
      </c>
      <c r="P706" t="str">
        <f>IF(TRIM(O706)="","Unknown",PROPER(TRIM(O706)))</f>
        <v>Technology</v>
      </c>
      <c r="Q706" t="s">
        <v>347</v>
      </c>
      <c r="R706" t="s">
        <v>1827</v>
      </c>
      <c r="S706" t="s">
        <v>65</v>
      </c>
      <c r="T706" t="str">
        <f>IF(TRIM(S706)="","Unknown",PROPER(TRIM(S706)))</f>
        <v>Standard Class</v>
      </c>
      <c r="U706">
        <v>2</v>
      </c>
      <c r="V706">
        <v>1209.99</v>
      </c>
      <c r="W706">
        <v>0.25</v>
      </c>
      <c r="Y706">
        <v>0.25</v>
      </c>
      <c r="Z706">
        <v>1814.99</v>
      </c>
      <c r="AA706">
        <v>1120.06</v>
      </c>
      <c r="AB706">
        <v>694.93</v>
      </c>
      <c r="AC706" t="s">
        <v>131</v>
      </c>
      <c r="AD706" t="s">
        <v>76</v>
      </c>
      <c r="AE706">
        <f>ROUND((U706*V706)-(U706*V706*Y706),2)</f>
        <v>1814.99</v>
      </c>
      <c r="AF706">
        <f>AE706-AA706</f>
        <v>694.93000000000006</v>
      </c>
      <c r="AG706" s="7">
        <f>ROUND((AF706/AE706),4)</f>
        <v>0.38290000000000002</v>
      </c>
      <c r="AH706">
        <f>IF(AND(C706&lt;&gt;"",E706&lt;&gt;""),E706 - C706,"")</f>
        <v>1</v>
      </c>
      <c r="AI706" t="str">
        <f>IF(C706="","",TEXT(C706, "mmmm"))</f>
        <v>March</v>
      </c>
      <c r="AJ706">
        <f>IF(C706="","",YEAR(C706))</f>
        <v>2025</v>
      </c>
      <c r="AM706" t="str">
        <f>IF(AN706="","clean","")</f>
        <v>clean</v>
      </c>
      <c r="AN706" t="s">
        <v>3595</v>
      </c>
    </row>
    <row r="707" spans="1:40">
      <c r="A707" t="s">
        <v>1828</v>
      </c>
      <c r="B707" t="s">
        <v>3852</v>
      </c>
      <c r="C707" s="6">
        <v>45822</v>
      </c>
      <c r="D707" t="s">
        <v>1829</v>
      </c>
      <c r="E707" s="6">
        <v>45827</v>
      </c>
      <c r="F707" t="s">
        <v>1830</v>
      </c>
      <c r="G707" t="s">
        <v>169</v>
      </c>
      <c r="H707" t="s">
        <v>169</v>
      </c>
      <c r="I707" t="s">
        <v>40</v>
      </c>
      <c r="J707" t="s">
        <v>40</v>
      </c>
      <c r="K707" t="s">
        <v>26</v>
      </c>
      <c r="L707" t="str">
        <f>IF(TRIM(K707)="","Unknown",PROPER(TRIM(K707)))</f>
        <v>North</v>
      </c>
      <c r="M707" t="s">
        <v>454</v>
      </c>
      <c r="N707" t="s">
        <v>455</v>
      </c>
      <c r="O707" t="s">
        <v>29</v>
      </c>
      <c r="P707" t="str">
        <f>IF(TRIM(O707)="","Unknown",PROPER(TRIM(O707)))</f>
        <v>Office Supplies</v>
      </c>
      <c r="Q707" t="s">
        <v>184</v>
      </c>
      <c r="R707" t="s">
        <v>1831</v>
      </c>
      <c r="S707" t="s">
        <v>47</v>
      </c>
      <c r="T707" t="str">
        <f>IF(TRIM(S707)="","Unknown",PROPER(TRIM(S707)))</f>
        <v>Same Day</v>
      </c>
      <c r="U707">
        <v>3</v>
      </c>
      <c r="V707">
        <v>1037.45</v>
      </c>
      <c r="W707">
        <v>0.2</v>
      </c>
      <c r="Y707">
        <v>0.2</v>
      </c>
      <c r="Z707">
        <v>2489.88</v>
      </c>
      <c r="AA707">
        <v>1707.52</v>
      </c>
      <c r="AB707">
        <v>782.36</v>
      </c>
      <c r="AC707" t="s">
        <v>131</v>
      </c>
      <c r="AD707" t="s">
        <v>120</v>
      </c>
      <c r="AE707">
        <f>ROUND((U707*V707)-(U707*V707*Y707),2)</f>
        <v>2489.88</v>
      </c>
      <c r="AF707">
        <f>AE707-AA707</f>
        <v>782.36000000000013</v>
      </c>
      <c r="AG707" s="7">
        <f>ROUND((AF707/AE707),4)</f>
        <v>0.31419999999999998</v>
      </c>
      <c r="AH707">
        <f>IF(AND(C707&lt;&gt;"",E707&lt;&gt;""),E707 - C707,"")</f>
        <v>5</v>
      </c>
      <c r="AI707" t="str">
        <f>IF(C707="","",TEXT(C707, "mmmm"))</f>
        <v>June</v>
      </c>
      <c r="AJ707">
        <f>IF(C707="","",YEAR(C707))</f>
        <v>2025</v>
      </c>
      <c r="AM707" t="str">
        <f>IF(AN707="","clean","")</f>
        <v>clean</v>
      </c>
      <c r="AN707" t="s">
        <v>3595</v>
      </c>
    </row>
    <row r="708" spans="1:40">
      <c r="A708" t="s">
        <v>1832</v>
      </c>
      <c r="B708" t="s">
        <v>3853</v>
      </c>
      <c r="C708" s="6">
        <v>45903</v>
      </c>
      <c r="D708" t="s">
        <v>1833</v>
      </c>
      <c r="E708" s="6">
        <v>45906</v>
      </c>
      <c r="F708" t="s">
        <v>1834</v>
      </c>
      <c r="G708" t="s">
        <v>334</v>
      </c>
      <c r="H708" t="s">
        <v>334</v>
      </c>
      <c r="I708" t="s">
        <v>25</v>
      </c>
      <c r="J708" t="s">
        <v>25</v>
      </c>
      <c r="K708" t="s">
        <v>71</v>
      </c>
      <c r="L708" t="str">
        <f>IF(TRIM(K708)="","Unknown",PROPER(TRIM(K708)))</f>
        <v>West</v>
      </c>
      <c r="M708" t="s">
        <v>81</v>
      </c>
      <c r="N708" t="s">
        <v>82</v>
      </c>
      <c r="O708" t="s">
        <v>83</v>
      </c>
      <c r="P708" t="str">
        <f>IF(TRIM(O708)="","Unknown",PROPER(TRIM(O708)))</f>
        <v>Technology</v>
      </c>
      <c r="Q708" t="s">
        <v>91</v>
      </c>
      <c r="R708" t="s">
        <v>1835</v>
      </c>
      <c r="S708" t="s">
        <v>47</v>
      </c>
      <c r="T708" t="str">
        <f>IF(TRIM(S708)="","Unknown",PROPER(TRIM(S708)))</f>
        <v>Same Day</v>
      </c>
      <c r="U708">
        <v>7</v>
      </c>
      <c r="V708">
        <v>688.85</v>
      </c>
      <c r="W708">
        <v>0.15</v>
      </c>
      <c r="Y708">
        <v>0.15</v>
      </c>
      <c r="Z708">
        <v>4098.66</v>
      </c>
      <c r="AA708">
        <v>2678.06</v>
      </c>
      <c r="AB708">
        <v>1420.6</v>
      </c>
      <c r="AC708" t="s">
        <v>33</v>
      </c>
      <c r="AD708" t="s">
        <v>34</v>
      </c>
      <c r="AE708">
        <f>ROUND((U708*V708)-(U708*V708*Y708),2)</f>
        <v>4098.66</v>
      </c>
      <c r="AF708">
        <f>AE708-AA708</f>
        <v>1420.6</v>
      </c>
      <c r="AG708" s="7">
        <f>ROUND((AF708/AE708),4)</f>
        <v>0.34660000000000002</v>
      </c>
      <c r="AH708">
        <f>IF(AND(C708&lt;&gt;"",E708&lt;&gt;""),E708 - C708,"")</f>
        <v>3</v>
      </c>
      <c r="AI708" t="str">
        <f>IF(C708="","",TEXT(C708, "mmmm"))</f>
        <v>September</v>
      </c>
      <c r="AJ708">
        <f>IF(C708="","",YEAR(C708))</f>
        <v>2025</v>
      </c>
      <c r="AM708" t="str">
        <f>IF(AN708="","clean","")</f>
        <v>clean</v>
      </c>
      <c r="AN708" t="s">
        <v>3595</v>
      </c>
    </row>
    <row r="709" spans="1:40">
      <c r="A709" t="s">
        <v>1855</v>
      </c>
      <c r="B709" t="s">
        <v>1856</v>
      </c>
      <c r="C709" s="6">
        <v>45769</v>
      </c>
      <c r="D709" t="s">
        <v>1857</v>
      </c>
      <c r="F709" t="s">
        <v>1858</v>
      </c>
      <c r="G709" t="s">
        <v>52</v>
      </c>
      <c r="H709" t="s">
        <v>52</v>
      </c>
      <c r="I709" t="s">
        <v>104</v>
      </c>
      <c r="J709" t="s">
        <v>104</v>
      </c>
      <c r="L709" t="str">
        <f>IF(TRIM(K709)="","Unknown",PROPER(TRIM(K709)))</f>
        <v>Unknown</v>
      </c>
      <c r="M709" t="s">
        <v>284</v>
      </c>
      <c r="N709" t="s">
        <v>285</v>
      </c>
      <c r="O709" t="s">
        <v>83</v>
      </c>
      <c r="P709" t="str">
        <f>IF(TRIM(O709)="","Unknown",PROPER(TRIM(O709)))</f>
        <v>Technology</v>
      </c>
      <c r="Q709" t="s">
        <v>84</v>
      </c>
      <c r="R709" t="s">
        <v>1859</v>
      </c>
      <c r="S709" t="s">
        <v>263</v>
      </c>
      <c r="T709" t="str">
        <f>IF(TRIM(S709)="","Unknown",PROPER(TRIM(S709)))</f>
        <v>Standard Class</v>
      </c>
      <c r="U709">
        <v>9</v>
      </c>
      <c r="V709">
        <v>2939.44</v>
      </c>
      <c r="W709">
        <v>0</v>
      </c>
      <c r="Y709">
        <v>0</v>
      </c>
      <c r="Z709">
        <v>26454.959999999999</v>
      </c>
      <c r="AA709">
        <v>17630.25</v>
      </c>
      <c r="AB709">
        <v>8824.7099999999991</v>
      </c>
      <c r="AC709" t="s">
        <v>33</v>
      </c>
      <c r="AD709" t="s">
        <v>34</v>
      </c>
      <c r="AE709">
        <f>ROUND((U709*V709)-(U709*V709*Y709),2)</f>
        <v>26454.959999999999</v>
      </c>
      <c r="AF709">
        <f>AE709-AA709</f>
        <v>8824.7099999999991</v>
      </c>
      <c r="AG709" s="7">
        <f>ROUND((AF709/AE709),4)</f>
        <v>0.33360000000000001</v>
      </c>
      <c r="AH709" t="str">
        <f>IF(AND(C709&lt;&gt;"",E709&lt;&gt;""),E709 - C709,"")</f>
        <v/>
      </c>
      <c r="AI709" t="str">
        <f>IF(C709="","",TEXT(C709, "mmmm"))</f>
        <v>April</v>
      </c>
      <c r="AJ709">
        <f>IF(C709="","",YEAR(C709))</f>
        <v>2025</v>
      </c>
      <c r="AM709" t="s">
        <v>4144</v>
      </c>
      <c r="AN709" t="s">
        <v>4139</v>
      </c>
    </row>
    <row r="710" spans="1:40">
      <c r="A710" t="s">
        <v>1860</v>
      </c>
      <c r="B710" t="s">
        <v>3856</v>
      </c>
      <c r="C710" s="6">
        <v>45731</v>
      </c>
      <c r="D710" t="s">
        <v>1861</v>
      </c>
      <c r="E710" s="6">
        <v>45738</v>
      </c>
      <c r="F710" t="s">
        <v>1862</v>
      </c>
      <c r="G710" t="s">
        <v>24</v>
      </c>
      <c r="H710" t="s">
        <v>24</v>
      </c>
      <c r="I710" t="s">
        <v>40</v>
      </c>
      <c r="J710" t="s">
        <v>40</v>
      </c>
      <c r="K710" t="s">
        <v>41</v>
      </c>
      <c r="L710" t="str">
        <f>IF(TRIM(K710)="","Unknown",PROPER(TRIM(K710)))</f>
        <v>East</v>
      </c>
      <c r="M710" t="s">
        <v>116</v>
      </c>
      <c r="N710" t="s">
        <v>117</v>
      </c>
      <c r="O710" t="s">
        <v>83</v>
      </c>
      <c r="P710" t="str">
        <f>IF(TRIM(O710)="","Unknown",PROPER(TRIM(O710)))</f>
        <v>Technology</v>
      </c>
      <c r="Q710" t="s">
        <v>207</v>
      </c>
      <c r="R710" t="s">
        <v>1863</v>
      </c>
      <c r="S710" t="s">
        <v>47</v>
      </c>
      <c r="T710" t="str">
        <f>IF(TRIM(S710)="","Unknown",PROPER(TRIM(S710)))</f>
        <v>Same Day</v>
      </c>
      <c r="U710">
        <v>2</v>
      </c>
      <c r="V710">
        <v>1235.93</v>
      </c>
      <c r="W710">
        <v>0.25</v>
      </c>
      <c r="Y710">
        <v>0.25</v>
      </c>
      <c r="Z710">
        <v>1853.89</v>
      </c>
      <c r="AA710">
        <v>1101.23</v>
      </c>
      <c r="AB710">
        <v>752.66</v>
      </c>
      <c r="AC710" t="s">
        <v>131</v>
      </c>
      <c r="AD710" t="s">
        <v>76</v>
      </c>
      <c r="AE710">
        <f>ROUND((U710*V710)-(U710*V710*Y710),2)</f>
        <v>1853.9</v>
      </c>
      <c r="AF710">
        <f>AE710-AA710</f>
        <v>752.67000000000007</v>
      </c>
      <c r="AG710" s="7">
        <f>ROUND((AF710/AE710),4)</f>
        <v>0.40600000000000003</v>
      </c>
      <c r="AH710">
        <f>IF(AND(C710&lt;&gt;"",E710&lt;&gt;""),E710 - C710,"")</f>
        <v>7</v>
      </c>
      <c r="AI710" t="str">
        <f>IF(C710="","",TEXT(C710, "mmmm"))</f>
        <v>March</v>
      </c>
      <c r="AJ710">
        <f>IF(C710="","",YEAR(C710))</f>
        <v>2025</v>
      </c>
      <c r="AM710" t="str">
        <f>IF(AN710="","clean","")</f>
        <v>clean</v>
      </c>
    </row>
    <row r="711" spans="1:40">
      <c r="A711" t="s">
        <v>1864</v>
      </c>
      <c r="B711" t="s">
        <v>3857</v>
      </c>
      <c r="C711" s="6">
        <v>45717</v>
      </c>
      <c r="D711" t="s">
        <v>1865</v>
      </c>
      <c r="E711" s="6">
        <v>45724</v>
      </c>
      <c r="F711" t="s">
        <v>1866</v>
      </c>
      <c r="G711" t="s">
        <v>90</v>
      </c>
      <c r="H711" t="s">
        <v>90</v>
      </c>
      <c r="I711" t="s">
        <v>110</v>
      </c>
      <c r="J711" t="s">
        <v>110</v>
      </c>
      <c r="K711" t="s">
        <v>26</v>
      </c>
      <c r="L711" t="str">
        <f>IF(TRIM(K711)="","Unknown",PROPER(TRIM(K711)))</f>
        <v>North</v>
      </c>
      <c r="M711" t="s">
        <v>27</v>
      </c>
      <c r="N711" t="s">
        <v>28</v>
      </c>
      <c r="O711" t="s">
        <v>83</v>
      </c>
      <c r="P711" t="str">
        <f>IF(TRIM(O711)="","Unknown",PROPER(TRIM(O711)))</f>
        <v>Technology</v>
      </c>
      <c r="Q711" t="s">
        <v>91</v>
      </c>
      <c r="R711" t="s">
        <v>1867</v>
      </c>
      <c r="S711" t="s">
        <v>47</v>
      </c>
      <c r="T711" t="str">
        <f>IF(TRIM(S711)="","Unknown",PROPER(TRIM(S711)))</f>
        <v>Same Day</v>
      </c>
      <c r="U711">
        <v>8</v>
      </c>
      <c r="V711">
        <v>2943.1</v>
      </c>
      <c r="W711">
        <v>0.25</v>
      </c>
      <c r="Y711">
        <v>0.25</v>
      </c>
      <c r="Z711">
        <v>17658.599999999999</v>
      </c>
      <c r="AA711">
        <v>13842.48</v>
      </c>
      <c r="AB711">
        <v>3816.12</v>
      </c>
      <c r="AC711" t="s">
        <v>33</v>
      </c>
      <c r="AD711" t="s">
        <v>34</v>
      </c>
      <c r="AE711">
        <f>ROUND((U711*V711)-(U711*V711*Y711),2)</f>
        <v>17658.599999999999</v>
      </c>
      <c r="AF711">
        <f>AE711-AA711</f>
        <v>3816.119999999999</v>
      </c>
      <c r="AG711" s="7">
        <f>ROUND((AF711/AE711),4)</f>
        <v>0.21609999999999999</v>
      </c>
      <c r="AH711">
        <f>IF(AND(C711&lt;&gt;"",E711&lt;&gt;""),E711 - C711,"")</f>
        <v>7</v>
      </c>
      <c r="AI711" t="str">
        <f>IF(C711="","",TEXT(C711, "mmmm"))</f>
        <v>March</v>
      </c>
      <c r="AJ711">
        <f>IF(C711="","",YEAR(C711))</f>
        <v>2025</v>
      </c>
      <c r="AM711" t="str">
        <f>IF(AN711="","clean","")</f>
        <v>clean</v>
      </c>
      <c r="AN711" t="s">
        <v>3595</v>
      </c>
    </row>
    <row r="712" spans="1:40">
      <c r="A712" t="s">
        <v>1884</v>
      </c>
      <c r="B712" t="s">
        <v>3860</v>
      </c>
      <c r="C712" s="6">
        <v>45758</v>
      </c>
      <c r="D712" t="s">
        <v>1885</v>
      </c>
      <c r="E712" s="6">
        <v>45762</v>
      </c>
      <c r="F712" t="s">
        <v>1886</v>
      </c>
      <c r="G712" t="s">
        <v>39</v>
      </c>
      <c r="H712" t="s">
        <v>39</v>
      </c>
      <c r="I712" t="s">
        <v>110</v>
      </c>
      <c r="J712" t="s">
        <v>110</v>
      </c>
      <c r="K712" t="s">
        <v>26</v>
      </c>
      <c r="L712" t="str">
        <f>IF(TRIM(K712)="","Unknown",PROPER(TRIM(K712)))</f>
        <v>North</v>
      </c>
      <c r="M712" t="s">
        <v>163</v>
      </c>
      <c r="N712" t="s">
        <v>164</v>
      </c>
      <c r="O712" t="s">
        <v>83</v>
      </c>
      <c r="P712" t="str">
        <f>IF(TRIM(O712)="","Unknown",PROPER(TRIM(O712)))</f>
        <v>Technology</v>
      </c>
      <c r="Q712" t="s">
        <v>84</v>
      </c>
      <c r="R712" t="s">
        <v>1887</v>
      </c>
      <c r="S712" t="s">
        <v>32</v>
      </c>
      <c r="T712" t="str">
        <f>IF(TRIM(S712)="","Unknown",PROPER(TRIM(S712)))</f>
        <v>Second Class</v>
      </c>
      <c r="U712">
        <v>5</v>
      </c>
      <c r="V712">
        <v>652.78</v>
      </c>
      <c r="W712">
        <v>0</v>
      </c>
      <c r="Y712">
        <v>0</v>
      </c>
      <c r="Z712">
        <v>3263.9</v>
      </c>
      <c r="AA712">
        <v>2068.44</v>
      </c>
      <c r="AB712">
        <v>1195.46</v>
      </c>
      <c r="AC712" t="s">
        <v>33</v>
      </c>
      <c r="AD712" t="s">
        <v>34</v>
      </c>
      <c r="AE712">
        <f>ROUND((U712*V712)-(U712*V712*Y712),2)</f>
        <v>3263.9</v>
      </c>
      <c r="AF712">
        <f>AE712-AA712</f>
        <v>1195.46</v>
      </c>
      <c r="AG712" s="7">
        <f>ROUND((AF712/AE712),4)</f>
        <v>0.36630000000000001</v>
      </c>
      <c r="AH712">
        <f>IF(AND(C712&lt;&gt;"",E712&lt;&gt;""),E712 - C712,"")</f>
        <v>4</v>
      </c>
      <c r="AI712" t="str">
        <f>IF(C712="","",TEXT(C712, "mmmm"))</f>
        <v>April</v>
      </c>
      <c r="AJ712">
        <f>IF(C712="","",YEAR(C712))</f>
        <v>2025</v>
      </c>
      <c r="AM712" t="str">
        <f>IF(AN712="","clean","")</f>
        <v>clean</v>
      </c>
      <c r="AN712" t="s">
        <v>3595</v>
      </c>
    </row>
    <row r="713" spans="1:40">
      <c r="A713" t="s">
        <v>1888</v>
      </c>
      <c r="B713" t="s">
        <v>3861</v>
      </c>
      <c r="C713" s="6">
        <v>45759</v>
      </c>
      <c r="D713" t="s">
        <v>910</v>
      </c>
      <c r="F713" t="s">
        <v>1889</v>
      </c>
      <c r="G713" t="s">
        <v>334</v>
      </c>
      <c r="H713" t="s">
        <v>334</v>
      </c>
      <c r="I713" t="s">
        <v>110</v>
      </c>
      <c r="J713" t="s">
        <v>110</v>
      </c>
      <c r="K713" t="s">
        <v>26</v>
      </c>
      <c r="L713" t="str">
        <f>IF(TRIM(K713)="","Unknown",PROPER(TRIM(K713)))</f>
        <v>North</v>
      </c>
      <c r="M713" t="s">
        <v>454</v>
      </c>
      <c r="N713" t="s">
        <v>455</v>
      </c>
      <c r="O713" t="s">
        <v>83</v>
      </c>
      <c r="P713" t="str">
        <f>IF(TRIM(O713)="","Unknown",PROPER(TRIM(O713)))</f>
        <v>Technology</v>
      </c>
      <c r="Q713" t="s">
        <v>347</v>
      </c>
      <c r="R713" t="s">
        <v>1890</v>
      </c>
      <c r="S713" t="s">
        <v>65</v>
      </c>
      <c r="T713" t="str">
        <f>IF(TRIM(S713)="","Unknown",PROPER(TRIM(S713)))</f>
        <v>Standard Class</v>
      </c>
      <c r="U713">
        <v>1</v>
      </c>
      <c r="V713">
        <v>2737.71</v>
      </c>
      <c r="W713">
        <v>0.15</v>
      </c>
      <c r="Y713">
        <v>0.15</v>
      </c>
      <c r="Z713">
        <v>2327.0500000000002</v>
      </c>
      <c r="AA713">
        <v>1919.42</v>
      </c>
      <c r="AB713">
        <v>407.63</v>
      </c>
      <c r="AC713" t="s">
        <v>33</v>
      </c>
      <c r="AD713" t="s">
        <v>76</v>
      </c>
      <c r="AE713">
        <f>ROUND((U713*V713)-(U713*V713*Y713),2)</f>
        <v>2327.0500000000002</v>
      </c>
      <c r="AF713">
        <f>AE713-AA713</f>
        <v>407.63000000000011</v>
      </c>
      <c r="AG713" s="7">
        <f>ROUND((AF713/AE713),4)</f>
        <v>0.17519999999999999</v>
      </c>
      <c r="AH713" t="str">
        <f>IF(AND(C713&lt;&gt;"",E713&lt;&gt;""),E713 - C713,"")</f>
        <v/>
      </c>
      <c r="AI713" t="str">
        <f>IF(C713="","",TEXT(C713, "mmmm"))</f>
        <v>April</v>
      </c>
      <c r="AJ713">
        <f>IF(C713="","",YEAR(C713))</f>
        <v>2025</v>
      </c>
      <c r="AM713" t="s">
        <v>4144</v>
      </c>
      <c r="AN713" t="s">
        <v>4136</v>
      </c>
    </row>
    <row r="714" spans="1:40">
      <c r="A714" t="s">
        <v>1899</v>
      </c>
      <c r="B714" t="s">
        <v>905</v>
      </c>
      <c r="C714" s="6">
        <v>45784</v>
      </c>
      <c r="D714" t="s">
        <v>1900</v>
      </c>
      <c r="E714" s="6">
        <v>45782</v>
      </c>
      <c r="F714" t="s">
        <v>1901</v>
      </c>
      <c r="G714" t="s">
        <v>90</v>
      </c>
      <c r="H714" t="s">
        <v>90</v>
      </c>
      <c r="I714" t="s">
        <v>104</v>
      </c>
      <c r="J714" t="s">
        <v>104</v>
      </c>
      <c r="K714" t="s">
        <v>41</v>
      </c>
      <c r="L714" t="str">
        <f>IF(TRIM(K714)="","Unknown",PROPER(TRIM(K714)))</f>
        <v>East</v>
      </c>
      <c r="M714" t="s">
        <v>284</v>
      </c>
      <c r="N714" t="s">
        <v>285</v>
      </c>
      <c r="O714" t="s">
        <v>83</v>
      </c>
      <c r="P714" t="str">
        <f>IF(TRIM(O714)="","Unknown",PROPER(TRIM(O714)))</f>
        <v>Technology</v>
      </c>
      <c r="Q714" t="s">
        <v>207</v>
      </c>
      <c r="R714" t="s">
        <v>1902</v>
      </c>
      <c r="S714" t="s">
        <v>65</v>
      </c>
      <c r="T714" t="str">
        <f>IF(TRIM(S714)="","Unknown",PROPER(TRIM(S714)))</f>
        <v>Standard Class</v>
      </c>
      <c r="U714">
        <v>1</v>
      </c>
      <c r="V714">
        <v>2266.4699999999998</v>
      </c>
      <c r="W714">
        <v>0.2</v>
      </c>
      <c r="Y714">
        <v>0.2</v>
      </c>
      <c r="Z714">
        <v>1813.18</v>
      </c>
      <c r="AA714">
        <v>1363.64</v>
      </c>
      <c r="AB714">
        <v>449.54</v>
      </c>
      <c r="AC714" t="s">
        <v>33</v>
      </c>
      <c r="AD714" t="s">
        <v>34</v>
      </c>
      <c r="AE714">
        <f>ROUND((U714*V714)-(U714*V714*Y714),2)</f>
        <v>1813.18</v>
      </c>
      <c r="AF714">
        <f>AE714-AA714</f>
        <v>449.53999999999996</v>
      </c>
      <c r="AG714" s="7">
        <f>ROUND((AF714/AE714),4)</f>
        <v>0.24790000000000001</v>
      </c>
      <c r="AH714">
        <f>IF(AND(C714&lt;&gt;"",E714&lt;&gt;""),E714 - C714,"")</f>
        <v>-2</v>
      </c>
      <c r="AI714" t="str">
        <f>IF(C714="","",TEXT(C714, "mmmm"))</f>
        <v>May</v>
      </c>
      <c r="AJ714">
        <f>IF(C714="","",YEAR(C714))</f>
        <v>2025</v>
      </c>
      <c r="AM714" t="s">
        <v>4145</v>
      </c>
      <c r="AN714" t="s">
        <v>4140</v>
      </c>
    </row>
    <row r="715" spans="1:40">
      <c r="A715" t="s">
        <v>1903</v>
      </c>
      <c r="B715" t="s">
        <v>3864</v>
      </c>
      <c r="D715" t="s">
        <v>1904</v>
      </c>
      <c r="E715" s="6">
        <v>45841</v>
      </c>
      <c r="F715" t="s">
        <v>1905</v>
      </c>
      <c r="G715" t="s">
        <v>153</v>
      </c>
      <c r="H715" t="s">
        <v>153</v>
      </c>
      <c r="I715" t="s">
        <v>110</v>
      </c>
      <c r="J715" t="s">
        <v>110</v>
      </c>
      <c r="K715" t="s">
        <v>71</v>
      </c>
      <c r="L715" t="str">
        <f>IF(TRIM(K715)="","Unknown",PROPER(TRIM(K715)))</f>
        <v>West</v>
      </c>
      <c r="M715" t="s">
        <v>230</v>
      </c>
      <c r="N715" t="s">
        <v>231</v>
      </c>
      <c r="O715" t="s">
        <v>29</v>
      </c>
      <c r="P715" t="str">
        <f>IF(TRIM(O715)="","Unknown",PROPER(TRIM(O715)))</f>
        <v>Office Supplies</v>
      </c>
      <c r="Q715" t="s">
        <v>148</v>
      </c>
      <c r="R715" t="s">
        <v>1906</v>
      </c>
      <c r="S715" t="s">
        <v>47</v>
      </c>
      <c r="T715" t="str">
        <f>IF(TRIM(S715)="","Unknown",PROPER(TRIM(S715)))</f>
        <v>Same Day</v>
      </c>
      <c r="U715">
        <v>5</v>
      </c>
      <c r="V715">
        <v>665.25</v>
      </c>
      <c r="W715">
        <v>0</v>
      </c>
      <c r="Y715">
        <v>0</v>
      </c>
      <c r="Z715">
        <v>3326.25</v>
      </c>
      <c r="AA715">
        <v>2689.36</v>
      </c>
      <c r="AB715">
        <v>636.89</v>
      </c>
      <c r="AC715" t="s">
        <v>119</v>
      </c>
      <c r="AD715" t="s">
        <v>120</v>
      </c>
      <c r="AE715">
        <f>ROUND((U715*V715)-(U715*V715*Y715),2)</f>
        <v>3326.25</v>
      </c>
      <c r="AF715">
        <f>AE715-AA715</f>
        <v>636.88999999999987</v>
      </c>
      <c r="AG715" s="7">
        <f>ROUND((AF715/AE715),4)</f>
        <v>0.1915</v>
      </c>
      <c r="AH715" t="str">
        <f>IF(AND(C715&lt;&gt;"",E715&lt;&gt;""),E715 - C715,"")</f>
        <v/>
      </c>
      <c r="AI715" t="str">
        <f>IF(C715="","",TEXT(C715, "mmmm"))</f>
        <v/>
      </c>
      <c r="AJ715" t="str">
        <f>IF(C715="","",YEAR(C715))</f>
        <v/>
      </c>
      <c r="AM715" t="s">
        <v>4144</v>
      </c>
      <c r="AN715" t="s">
        <v>4127</v>
      </c>
    </row>
    <row r="716" spans="1:40">
      <c r="A716" t="s">
        <v>1914</v>
      </c>
      <c r="B716" t="s">
        <v>1915</v>
      </c>
      <c r="C716" s="6">
        <v>45669</v>
      </c>
      <c r="D716" t="s">
        <v>1916</v>
      </c>
      <c r="E716" s="6">
        <v>45676</v>
      </c>
      <c r="F716" t="s">
        <v>1917</v>
      </c>
      <c r="G716" t="s">
        <v>153</v>
      </c>
      <c r="H716" t="s">
        <v>153</v>
      </c>
      <c r="I716" t="s">
        <v>25</v>
      </c>
      <c r="J716" t="s">
        <v>25</v>
      </c>
      <c r="K716" t="s">
        <v>41</v>
      </c>
      <c r="L716" t="str">
        <f>IF(TRIM(K716)="","Unknown",PROPER(TRIM(K716)))</f>
        <v>East</v>
      </c>
      <c r="M716" t="s">
        <v>284</v>
      </c>
      <c r="N716" t="s">
        <v>285</v>
      </c>
      <c r="O716" t="s">
        <v>44</v>
      </c>
      <c r="P716" t="str">
        <f>IF(TRIM(O716)="","Unknown",PROPER(TRIM(O716)))</f>
        <v>Furniture</v>
      </c>
      <c r="Q716" t="s">
        <v>45</v>
      </c>
      <c r="R716" t="s">
        <v>1918</v>
      </c>
      <c r="S716" t="s">
        <v>55</v>
      </c>
      <c r="T716" t="str">
        <f>IF(TRIM(S716)="","Unknown",PROPER(TRIM(S716)))</f>
        <v>First Class</v>
      </c>
      <c r="U716">
        <v>1</v>
      </c>
      <c r="V716">
        <v>1842.31</v>
      </c>
      <c r="W716">
        <v>0</v>
      </c>
      <c r="Y716">
        <v>0</v>
      </c>
      <c r="Z716">
        <v>1842.31</v>
      </c>
      <c r="AA716">
        <v>1019.17</v>
      </c>
      <c r="AB716">
        <v>823.14</v>
      </c>
      <c r="AC716" t="s">
        <v>33</v>
      </c>
      <c r="AD716" t="s">
        <v>34</v>
      </c>
      <c r="AE716">
        <f>ROUND((U716*V716)-(U716*V716*Y716),2)</f>
        <v>1842.31</v>
      </c>
      <c r="AF716">
        <f>AE716-AA716</f>
        <v>823.14</v>
      </c>
      <c r="AG716" s="7">
        <f>ROUND((AF716/AE716),4)</f>
        <v>0.44679999999999997</v>
      </c>
      <c r="AH716">
        <f>IF(AND(C716&lt;&gt;"",E716&lt;&gt;""),E716 - C716,"")</f>
        <v>7</v>
      </c>
      <c r="AI716" t="str">
        <f>IF(C716="","",TEXT(C716, "mmmm"))</f>
        <v>January</v>
      </c>
      <c r="AJ716">
        <f>IF(C716="","",YEAR(C716))</f>
        <v>2025</v>
      </c>
      <c r="AM716" t="str">
        <f>IF(AN716="","clean","")</f>
        <v>clean</v>
      </c>
      <c r="AN716" t="s">
        <v>3595</v>
      </c>
    </row>
    <row r="717" spans="1:40">
      <c r="A717" t="s">
        <v>1923</v>
      </c>
      <c r="B717" t="s">
        <v>3866</v>
      </c>
      <c r="C717" s="6">
        <v>45881</v>
      </c>
      <c r="D717" t="s">
        <v>1636</v>
      </c>
      <c r="E717" s="6">
        <v>45885</v>
      </c>
      <c r="F717" t="s">
        <v>1924</v>
      </c>
      <c r="G717" t="s">
        <v>70</v>
      </c>
      <c r="H717" t="s">
        <v>70</v>
      </c>
      <c r="I717" t="s">
        <v>25</v>
      </c>
      <c r="J717" t="s">
        <v>25</v>
      </c>
      <c r="K717" t="s">
        <v>41</v>
      </c>
      <c r="L717" t="str">
        <f>IF(TRIM(K717)="","Unknown",PROPER(TRIM(K717)))</f>
        <v>East</v>
      </c>
      <c r="M717" t="s">
        <v>201</v>
      </c>
      <c r="N717" t="s">
        <v>202</v>
      </c>
      <c r="O717" t="s">
        <v>83</v>
      </c>
      <c r="P717" t="str">
        <f>IF(TRIM(O717)="","Unknown",PROPER(TRIM(O717)))</f>
        <v>Technology</v>
      </c>
      <c r="Q717" t="s">
        <v>84</v>
      </c>
      <c r="R717" t="s">
        <v>1925</v>
      </c>
      <c r="S717" t="s">
        <v>47</v>
      </c>
      <c r="T717" t="str">
        <f>IF(TRIM(S717)="","Unknown",PROPER(TRIM(S717)))</f>
        <v>Same Day</v>
      </c>
      <c r="U717">
        <v>9</v>
      </c>
      <c r="V717">
        <v>2379.2399999999998</v>
      </c>
      <c r="W717">
        <v>0.05</v>
      </c>
      <c r="Y717">
        <v>0.05</v>
      </c>
      <c r="Z717">
        <v>20342.5</v>
      </c>
      <c r="AA717">
        <v>12407.51</v>
      </c>
      <c r="AB717">
        <v>7934.99</v>
      </c>
      <c r="AC717" t="s">
        <v>33</v>
      </c>
      <c r="AD717" t="s">
        <v>34</v>
      </c>
      <c r="AE717">
        <f>ROUND((U717*V717)-(U717*V717*Y717),2)</f>
        <v>20342.5</v>
      </c>
      <c r="AF717">
        <f>AE717-AA717</f>
        <v>7934.99</v>
      </c>
      <c r="AG717" s="7">
        <f>ROUND((AF717/AE717),4)</f>
        <v>0.3901</v>
      </c>
      <c r="AH717">
        <f>IF(AND(C717&lt;&gt;"",E717&lt;&gt;""),E717 - C717,"")</f>
        <v>4</v>
      </c>
      <c r="AI717" t="str">
        <f>IF(C717="","",TEXT(C717, "mmmm"))</f>
        <v>August</v>
      </c>
      <c r="AJ717">
        <f>IF(C717="","",YEAR(C717))</f>
        <v>2025</v>
      </c>
      <c r="AM717" t="str">
        <f>IF(AN717="","clean","")</f>
        <v>clean</v>
      </c>
      <c r="AN717" t="s">
        <v>3595</v>
      </c>
    </row>
    <row r="718" spans="1:40">
      <c r="A718" t="s">
        <v>1930</v>
      </c>
      <c r="B718" t="s">
        <v>1931</v>
      </c>
      <c r="C718" s="6">
        <v>45918</v>
      </c>
      <c r="D718" t="s">
        <v>1932</v>
      </c>
      <c r="E718" s="6">
        <v>45919</v>
      </c>
      <c r="F718" t="s">
        <v>1933</v>
      </c>
      <c r="G718" t="s">
        <v>158</v>
      </c>
      <c r="H718" t="s">
        <v>158</v>
      </c>
      <c r="I718" t="s">
        <v>110</v>
      </c>
      <c r="J718" t="s">
        <v>110</v>
      </c>
      <c r="K718" t="s">
        <v>60</v>
      </c>
      <c r="L718" t="str">
        <f>IF(TRIM(K718)="","Unknown",PROPER(TRIM(K718)))</f>
        <v>South</v>
      </c>
      <c r="M718" t="s">
        <v>97</v>
      </c>
      <c r="N718" t="s">
        <v>98</v>
      </c>
      <c r="O718" t="s">
        <v>29</v>
      </c>
      <c r="P718" t="str">
        <f>IF(TRIM(O718)="","Unknown",PROPER(TRIM(O718)))</f>
        <v>Office Supplies</v>
      </c>
      <c r="Q718" t="s">
        <v>148</v>
      </c>
      <c r="R718" t="s">
        <v>1934</v>
      </c>
      <c r="S718" t="s">
        <v>47</v>
      </c>
      <c r="T718" t="str">
        <f>IF(TRIM(S718)="","Unknown",PROPER(TRIM(S718)))</f>
        <v>Same Day</v>
      </c>
      <c r="U718">
        <v>8</v>
      </c>
      <c r="V718">
        <v>4242.51</v>
      </c>
      <c r="W718">
        <v>0</v>
      </c>
      <c r="Y718">
        <v>0</v>
      </c>
      <c r="Z718">
        <v>33940.080000000002</v>
      </c>
      <c r="AA718">
        <v>23754.19</v>
      </c>
      <c r="AB718">
        <v>10185.89</v>
      </c>
      <c r="AC718" t="s">
        <v>33</v>
      </c>
      <c r="AD718" t="s">
        <v>34</v>
      </c>
      <c r="AE718">
        <f>ROUND((U718*V718)-(U718*V718*Y718),2)</f>
        <v>33940.080000000002</v>
      </c>
      <c r="AF718">
        <f>AE718-AA718</f>
        <v>10185.890000000003</v>
      </c>
      <c r="AG718" s="7">
        <f>ROUND((AF718/AE718),4)</f>
        <v>0.30009999999999998</v>
      </c>
      <c r="AH718">
        <f>IF(AND(C718&lt;&gt;"",E718&lt;&gt;""),E718 - C718,"")</f>
        <v>1</v>
      </c>
      <c r="AI718" t="str">
        <f>IF(C718="","",TEXT(C718, "mmmm"))</f>
        <v>September</v>
      </c>
      <c r="AJ718">
        <f>IF(C718="","",YEAR(C718))</f>
        <v>2025</v>
      </c>
      <c r="AM718" t="str">
        <f>IF(AN718="","clean","")</f>
        <v>clean</v>
      </c>
      <c r="AN718" t="s">
        <v>3595</v>
      </c>
    </row>
    <row r="719" spans="1:40">
      <c r="A719" t="s">
        <v>1935</v>
      </c>
      <c r="B719" t="s">
        <v>837</v>
      </c>
      <c r="C719" s="6">
        <v>45879</v>
      </c>
      <c r="D719" t="s">
        <v>1936</v>
      </c>
      <c r="E719" s="6">
        <v>45879</v>
      </c>
      <c r="F719" t="s">
        <v>1937</v>
      </c>
      <c r="G719" t="s">
        <v>169</v>
      </c>
      <c r="H719" t="s">
        <v>169</v>
      </c>
      <c r="I719" t="s">
        <v>110</v>
      </c>
      <c r="J719" t="s">
        <v>110</v>
      </c>
      <c r="K719" t="s">
        <v>60</v>
      </c>
      <c r="L719" t="str">
        <f>IF(TRIM(K719)="","Unknown",PROPER(TRIM(K719)))</f>
        <v>South</v>
      </c>
      <c r="M719" t="s">
        <v>61</v>
      </c>
      <c r="N719" t="s">
        <v>62</v>
      </c>
      <c r="O719" t="s">
        <v>44</v>
      </c>
      <c r="P719" t="str">
        <f>IF(TRIM(O719)="","Unknown",PROPER(TRIM(O719)))</f>
        <v>Furniture</v>
      </c>
      <c r="Q719" t="s">
        <v>190</v>
      </c>
      <c r="R719" t="s">
        <v>1938</v>
      </c>
      <c r="S719" t="s">
        <v>65</v>
      </c>
      <c r="T719" t="str">
        <f>IF(TRIM(S719)="","Unknown",PROPER(TRIM(S719)))</f>
        <v>Standard Class</v>
      </c>
      <c r="U719">
        <v>6</v>
      </c>
      <c r="V719">
        <v>4288.7</v>
      </c>
      <c r="W719">
        <v>0.15</v>
      </c>
      <c r="Y719">
        <v>0.15</v>
      </c>
      <c r="Z719">
        <v>21872.37</v>
      </c>
      <c r="AA719">
        <v>13829.5</v>
      </c>
      <c r="AB719">
        <v>8042.87</v>
      </c>
      <c r="AC719" t="s">
        <v>131</v>
      </c>
      <c r="AD719" t="s">
        <v>120</v>
      </c>
      <c r="AE719">
        <f>ROUND((U719*V719)-(U719*V719*Y719),2)</f>
        <v>21872.37</v>
      </c>
      <c r="AF719">
        <f>AE719-AA719</f>
        <v>8042.869999999999</v>
      </c>
      <c r="AG719" s="7">
        <f>ROUND((AF719/AE719),4)</f>
        <v>0.36770000000000003</v>
      </c>
      <c r="AH719">
        <f>IF(AND(C719&lt;&gt;"",E719&lt;&gt;""),E719 - C719,"")</f>
        <v>0</v>
      </c>
      <c r="AI719" t="str">
        <f>IF(C719="","",TEXT(C719, "mmmm"))</f>
        <v>August</v>
      </c>
      <c r="AJ719">
        <f>IF(C719="","",YEAR(C719))</f>
        <v>2025</v>
      </c>
      <c r="AM719" t="str">
        <f>IF(AN719="","clean","")</f>
        <v>clean</v>
      </c>
      <c r="AN719" t="s">
        <v>3595</v>
      </c>
    </row>
    <row r="720" spans="1:40">
      <c r="A720" t="s">
        <v>1945</v>
      </c>
      <c r="B720" t="s">
        <v>1946</v>
      </c>
      <c r="C720" s="6">
        <v>45820</v>
      </c>
      <c r="D720" t="s">
        <v>1389</v>
      </c>
      <c r="E720" s="6">
        <v>45827</v>
      </c>
      <c r="F720" t="s">
        <v>1947</v>
      </c>
      <c r="G720" t="s">
        <v>70</v>
      </c>
      <c r="H720" t="s">
        <v>70</v>
      </c>
      <c r="I720" t="s">
        <v>104</v>
      </c>
      <c r="J720" t="s">
        <v>104</v>
      </c>
      <c r="K720" t="s">
        <v>26</v>
      </c>
      <c r="L720" t="str">
        <f>IF(TRIM(K720)="","Unknown",PROPER(TRIM(K720)))</f>
        <v>North</v>
      </c>
      <c r="M720" t="s">
        <v>454</v>
      </c>
      <c r="N720" t="s">
        <v>455</v>
      </c>
      <c r="O720" t="s">
        <v>44</v>
      </c>
      <c r="P720" t="str">
        <f>IF(TRIM(O720)="","Unknown",PROPER(TRIM(O720)))</f>
        <v>Furniture</v>
      </c>
      <c r="Q720" t="s">
        <v>74</v>
      </c>
      <c r="R720" t="s">
        <v>1948</v>
      </c>
      <c r="S720" t="s">
        <v>65</v>
      </c>
      <c r="T720" t="str">
        <f>IF(TRIM(S720)="","Unknown",PROPER(TRIM(S720)))</f>
        <v>Standard Class</v>
      </c>
      <c r="U720">
        <v>9</v>
      </c>
      <c r="V720">
        <v>2278.5700000000002</v>
      </c>
      <c r="W720">
        <v>0.25</v>
      </c>
      <c r="Y720">
        <v>0.25</v>
      </c>
      <c r="Z720">
        <v>15380.35</v>
      </c>
      <c r="AA720">
        <v>9907.3700000000008</v>
      </c>
      <c r="AB720">
        <v>5472.98</v>
      </c>
      <c r="AC720" t="s">
        <v>33</v>
      </c>
      <c r="AD720" t="s">
        <v>34</v>
      </c>
      <c r="AE720">
        <f>ROUND((U720*V720)-(U720*V720*Y720),2)</f>
        <v>15380.35</v>
      </c>
      <c r="AF720">
        <f>AE720-AA720</f>
        <v>5472.98</v>
      </c>
      <c r="AG720" s="7">
        <f>ROUND((AF720/AE720),4)</f>
        <v>0.35580000000000001</v>
      </c>
      <c r="AH720">
        <f>IF(AND(C720&lt;&gt;"",E720&lt;&gt;""),E720 - C720,"")</f>
        <v>7</v>
      </c>
      <c r="AI720" t="str">
        <f>IF(C720="","",TEXT(C720, "mmmm"))</f>
        <v>June</v>
      </c>
      <c r="AJ720">
        <f>IF(C720="","",YEAR(C720))</f>
        <v>2025</v>
      </c>
      <c r="AM720" t="str">
        <f>IF(AN720="","clean","")</f>
        <v>clean</v>
      </c>
      <c r="AN720" t="s">
        <v>3595</v>
      </c>
    </row>
    <row r="721" spans="1:40">
      <c r="A721" t="s">
        <v>1956</v>
      </c>
      <c r="B721" t="s">
        <v>3872</v>
      </c>
      <c r="C721" s="6">
        <v>45780</v>
      </c>
      <c r="D721" t="s">
        <v>1957</v>
      </c>
      <c r="E721" s="6">
        <v>45788</v>
      </c>
      <c r="F721" t="s">
        <v>1958</v>
      </c>
      <c r="G721" t="s">
        <v>169</v>
      </c>
      <c r="H721" t="s">
        <v>169</v>
      </c>
      <c r="I721" t="s">
        <v>40</v>
      </c>
      <c r="J721" t="s">
        <v>40</v>
      </c>
      <c r="K721" t="s">
        <v>71</v>
      </c>
      <c r="L721" t="str">
        <f>IF(TRIM(K721)="","Unknown",PROPER(TRIM(K721)))</f>
        <v>West</v>
      </c>
      <c r="M721" t="s">
        <v>81</v>
      </c>
      <c r="N721" t="s">
        <v>82</v>
      </c>
      <c r="O721" t="s">
        <v>29</v>
      </c>
      <c r="P721" t="str">
        <f>IF(TRIM(O721)="","Unknown",PROPER(TRIM(O721)))</f>
        <v>Office Supplies</v>
      </c>
      <c r="Q721" t="s">
        <v>105</v>
      </c>
      <c r="R721" t="s">
        <v>1959</v>
      </c>
      <c r="S721" t="s">
        <v>47</v>
      </c>
      <c r="T721" t="str">
        <f>IF(TRIM(S721)="","Unknown",PROPER(TRIM(S721)))</f>
        <v>Same Day</v>
      </c>
      <c r="U721">
        <v>5</v>
      </c>
      <c r="V721">
        <v>1483.52</v>
      </c>
      <c r="W721">
        <v>0</v>
      </c>
      <c r="Y721">
        <v>0</v>
      </c>
      <c r="Z721">
        <v>7417.6</v>
      </c>
      <c r="AA721">
        <v>4955.8599999999997</v>
      </c>
      <c r="AB721">
        <v>2461.7399999999998</v>
      </c>
      <c r="AC721" t="s">
        <v>33</v>
      </c>
      <c r="AD721" t="s">
        <v>34</v>
      </c>
      <c r="AE721">
        <f>ROUND((U721*V721)-(U721*V721*Y721),2)</f>
        <v>7417.6</v>
      </c>
      <c r="AF721">
        <f>AE721-AA721</f>
        <v>2461.7400000000007</v>
      </c>
      <c r="AG721" s="7">
        <f>ROUND((AF721/AE721),4)</f>
        <v>0.33189999999999997</v>
      </c>
      <c r="AH721">
        <f>IF(AND(C721&lt;&gt;"",E721&lt;&gt;""),E721 - C721,"")</f>
        <v>8</v>
      </c>
      <c r="AI721" t="str">
        <f>IF(C721="","",TEXT(C721, "mmmm"))</f>
        <v>May</v>
      </c>
      <c r="AJ721">
        <f>IF(C721="","",YEAR(C721))</f>
        <v>2025</v>
      </c>
      <c r="AM721" t="str">
        <f>IF(AN721="","clean","")</f>
        <v>clean</v>
      </c>
      <c r="AN721" t="s">
        <v>3595</v>
      </c>
    </row>
    <row r="722" spans="1:40">
      <c r="A722" t="s">
        <v>1960</v>
      </c>
      <c r="B722" t="s">
        <v>1961</v>
      </c>
      <c r="C722" s="6">
        <v>45739</v>
      </c>
      <c r="D722" t="s">
        <v>1962</v>
      </c>
      <c r="F722" t="s">
        <v>1963</v>
      </c>
      <c r="G722" t="s">
        <v>80</v>
      </c>
      <c r="H722" t="s">
        <v>80</v>
      </c>
      <c r="I722" t="s">
        <v>40</v>
      </c>
      <c r="J722" t="s">
        <v>40</v>
      </c>
      <c r="K722" t="s">
        <v>26</v>
      </c>
      <c r="L722" t="str">
        <f>IF(TRIM(K722)="","Unknown",PROPER(TRIM(K722)))</f>
        <v>North</v>
      </c>
      <c r="M722" t="s">
        <v>27</v>
      </c>
      <c r="N722" t="s">
        <v>28</v>
      </c>
      <c r="O722" t="s">
        <v>44</v>
      </c>
      <c r="P722" t="str">
        <f>IF(TRIM(O722)="","Unknown",PROPER(TRIM(O722)))</f>
        <v>Furniture</v>
      </c>
      <c r="Q722" t="s">
        <v>63</v>
      </c>
      <c r="R722" t="s">
        <v>1964</v>
      </c>
      <c r="S722" t="s">
        <v>65</v>
      </c>
      <c r="T722" t="str">
        <f>IF(TRIM(S722)="","Unknown",PROPER(TRIM(S722)))</f>
        <v>Standard Class</v>
      </c>
      <c r="U722">
        <v>9</v>
      </c>
      <c r="V722">
        <v>3298</v>
      </c>
      <c r="W722">
        <v>0.15</v>
      </c>
      <c r="Y722">
        <v>0.15</v>
      </c>
      <c r="Z722">
        <v>25229.7</v>
      </c>
      <c r="AA722">
        <v>20170.43</v>
      </c>
      <c r="AB722">
        <v>5059.2700000000004</v>
      </c>
      <c r="AC722" t="s">
        <v>33</v>
      </c>
      <c r="AD722" t="s">
        <v>34</v>
      </c>
      <c r="AE722">
        <f>ROUND((U722*V722)-(U722*V722*Y722),2)</f>
        <v>25229.7</v>
      </c>
      <c r="AF722">
        <f>AE722-AA722</f>
        <v>5059.2700000000004</v>
      </c>
      <c r="AG722" s="7">
        <f>ROUND((AF722/AE722),4)</f>
        <v>0.20050000000000001</v>
      </c>
      <c r="AH722" t="str">
        <f>IF(AND(C722&lt;&gt;"",E722&lt;&gt;""),E722 - C722,"")</f>
        <v/>
      </c>
      <c r="AI722" t="str">
        <f>IF(C722="","",TEXT(C722, "mmmm"))</f>
        <v>March</v>
      </c>
      <c r="AJ722">
        <f>IF(C722="","",YEAR(C722))</f>
        <v>2025</v>
      </c>
      <c r="AM722" t="s">
        <v>4144</v>
      </c>
      <c r="AN722" t="s">
        <v>4136</v>
      </c>
    </row>
    <row r="723" spans="1:40">
      <c r="A723" t="s">
        <v>1982</v>
      </c>
      <c r="B723" t="s">
        <v>3877</v>
      </c>
      <c r="C723" s="6">
        <v>45930</v>
      </c>
      <c r="D723" t="s">
        <v>1983</v>
      </c>
      <c r="E723" s="6">
        <v>45936</v>
      </c>
      <c r="F723" t="s">
        <v>1984</v>
      </c>
      <c r="G723" t="s">
        <v>153</v>
      </c>
      <c r="H723" t="s">
        <v>153</v>
      </c>
      <c r="I723" t="s">
        <v>104</v>
      </c>
      <c r="J723" t="s">
        <v>104</v>
      </c>
      <c r="L723" t="str">
        <f>IF(TRIM(K723)="","Unknown",PROPER(TRIM(K723)))</f>
        <v>Unknown</v>
      </c>
      <c r="M723" t="s">
        <v>27</v>
      </c>
      <c r="N723" t="s">
        <v>28</v>
      </c>
      <c r="O723" t="s">
        <v>83</v>
      </c>
      <c r="P723" t="str">
        <f>IF(TRIM(O723)="","Unknown",PROPER(TRIM(O723)))</f>
        <v>Technology</v>
      </c>
      <c r="Q723" t="s">
        <v>91</v>
      </c>
      <c r="R723" t="s">
        <v>1985</v>
      </c>
      <c r="S723" t="s">
        <v>32</v>
      </c>
      <c r="T723" t="str">
        <f>IF(TRIM(S723)="","Unknown",PROPER(TRIM(S723)))</f>
        <v>Second Class</v>
      </c>
      <c r="U723">
        <v>9</v>
      </c>
      <c r="V723">
        <v>1359.88</v>
      </c>
      <c r="W723">
        <v>0.05</v>
      </c>
      <c r="Y723">
        <v>0.05</v>
      </c>
      <c r="Z723">
        <v>11626.97</v>
      </c>
      <c r="AA723">
        <v>7394.07</v>
      </c>
      <c r="AB723">
        <v>4232.8999999999996</v>
      </c>
      <c r="AC723" t="s">
        <v>33</v>
      </c>
      <c r="AD723" t="s">
        <v>34</v>
      </c>
      <c r="AE723">
        <f>ROUND((U723*V723)-(U723*V723*Y723),2)</f>
        <v>11626.97</v>
      </c>
      <c r="AF723">
        <f>AE723-AA723</f>
        <v>4232.8999999999996</v>
      </c>
      <c r="AG723" s="7">
        <f>ROUND((AF723/AE723),4)</f>
        <v>0.36409999999999998</v>
      </c>
      <c r="AH723">
        <f>IF(AND(C723&lt;&gt;"",E723&lt;&gt;""),E723 - C723,"")</f>
        <v>6</v>
      </c>
      <c r="AI723" t="str">
        <f>IF(C723="","",TEXT(C723, "mmmm"))</f>
        <v>September</v>
      </c>
      <c r="AJ723">
        <f>IF(C723="","",YEAR(C723))</f>
        <v>2025</v>
      </c>
      <c r="AM723" t="s">
        <v>4145</v>
      </c>
      <c r="AN723" t="s">
        <v>3597</v>
      </c>
    </row>
    <row r="724" spans="1:40">
      <c r="A724" t="s">
        <v>1986</v>
      </c>
      <c r="B724" t="s">
        <v>3878</v>
      </c>
      <c r="C724" s="6">
        <v>45802</v>
      </c>
      <c r="D724" t="s">
        <v>1341</v>
      </c>
      <c r="E724" s="6">
        <v>45803</v>
      </c>
      <c r="F724" t="s">
        <v>1987</v>
      </c>
      <c r="G724" t="s">
        <v>90</v>
      </c>
      <c r="H724" t="s">
        <v>90</v>
      </c>
      <c r="I724" t="s">
        <v>104</v>
      </c>
      <c r="J724" t="s">
        <v>104</v>
      </c>
      <c r="K724" t="s">
        <v>60</v>
      </c>
      <c r="L724" t="str">
        <f>IF(TRIM(K724)="","Unknown",PROPER(TRIM(K724)))</f>
        <v>South</v>
      </c>
      <c r="M724" t="s">
        <v>97</v>
      </c>
      <c r="N724" t="s">
        <v>98</v>
      </c>
      <c r="O724" t="s">
        <v>29</v>
      </c>
      <c r="P724" t="str">
        <f>IF(TRIM(O724)="","Unknown",PROPER(TRIM(O724)))</f>
        <v>Office Supplies</v>
      </c>
      <c r="Q724" t="s">
        <v>30</v>
      </c>
      <c r="R724" t="s">
        <v>1988</v>
      </c>
      <c r="S724" t="s">
        <v>65</v>
      </c>
      <c r="T724" t="str">
        <f>IF(TRIM(S724)="","Unknown",PROPER(TRIM(S724)))</f>
        <v>Standard Class</v>
      </c>
      <c r="U724">
        <v>3</v>
      </c>
      <c r="V724">
        <v>3378.15</v>
      </c>
      <c r="W724">
        <v>0.15</v>
      </c>
      <c r="Y724">
        <v>0.15</v>
      </c>
      <c r="Z724">
        <v>8614.2800000000007</v>
      </c>
      <c r="AA724">
        <v>7052.08</v>
      </c>
      <c r="AB724">
        <v>1562.2</v>
      </c>
      <c r="AC724" t="s">
        <v>33</v>
      </c>
      <c r="AD724" t="s">
        <v>34</v>
      </c>
      <c r="AE724">
        <f>ROUND((U724*V724)-(U724*V724*Y724),2)</f>
        <v>8614.2800000000007</v>
      </c>
      <c r="AF724">
        <f>AE724-AA724</f>
        <v>1562.2000000000007</v>
      </c>
      <c r="AG724" s="7">
        <f>ROUND((AF724/AE724),4)</f>
        <v>0.18140000000000001</v>
      </c>
      <c r="AH724">
        <f>IF(AND(C724&lt;&gt;"",E724&lt;&gt;""),E724 - C724,"")</f>
        <v>1</v>
      </c>
      <c r="AI724" t="str">
        <f>IF(C724="","",TEXT(C724, "mmmm"))</f>
        <v>May</v>
      </c>
      <c r="AJ724">
        <f>IF(C724="","",YEAR(C724))</f>
        <v>2025</v>
      </c>
      <c r="AM724" t="str">
        <f>IF(AN724="","clean","")</f>
        <v>clean</v>
      </c>
      <c r="AN724" t="s">
        <v>3595</v>
      </c>
    </row>
    <row r="725" spans="1:40">
      <c r="A725" t="s">
        <v>1993</v>
      </c>
      <c r="B725" t="s">
        <v>398</v>
      </c>
      <c r="C725" s="6">
        <v>45695</v>
      </c>
      <c r="D725" t="s">
        <v>1994</v>
      </c>
      <c r="E725" s="6">
        <v>45696</v>
      </c>
      <c r="F725" t="s">
        <v>1995</v>
      </c>
      <c r="G725" t="s">
        <v>59</v>
      </c>
      <c r="H725" t="s">
        <v>59</v>
      </c>
      <c r="I725" t="s">
        <v>104</v>
      </c>
      <c r="J725" t="s">
        <v>104</v>
      </c>
      <c r="K725" t="s">
        <v>71</v>
      </c>
      <c r="L725" t="str">
        <f>IF(TRIM(K725)="","Unknown",PROPER(TRIM(K725)))</f>
        <v>West</v>
      </c>
      <c r="M725" t="s">
        <v>81</v>
      </c>
      <c r="N725" t="s">
        <v>82</v>
      </c>
      <c r="O725" t="s">
        <v>83</v>
      </c>
      <c r="P725" t="str">
        <f>IF(TRIM(O725)="","Unknown",PROPER(TRIM(O725)))</f>
        <v>Technology</v>
      </c>
      <c r="Q725" t="s">
        <v>207</v>
      </c>
      <c r="R725" t="s">
        <v>1996</v>
      </c>
      <c r="S725" t="s">
        <v>65</v>
      </c>
      <c r="T725" t="str">
        <f>IF(TRIM(S725)="","Unknown",PROPER(TRIM(S725)))</f>
        <v>Standard Class</v>
      </c>
      <c r="U725">
        <v>4</v>
      </c>
      <c r="V725">
        <v>889.5</v>
      </c>
      <c r="W725">
        <v>0.2</v>
      </c>
      <c r="Y725">
        <v>0.2</v>
      </c>
      <c r="Z725">
        <v>2846.4</v>
      </c>
      <c r="AA725">
        <v>2132.37</v>
      </c>
      <c r="AB725">
        <v>714.03</v>
      </c>
      <c r="AC725" t="s">
        <v>33</v>
      </c>
      <c r="AD725" t="s">
        <v>34</v>
      </c>
      <c r="AE725">
        <f>ROUND((U725*V725)-(U725*V725*Y725),2)</f>
        <v>2846.4</v>
      </c>
      <c r="AF725">
        <f>AE725-AA725</f>
        <v>714.0300000000002</v>
      </c>
      <c r="AG725" s="7">
        <f>ROUND((AF725/AE725),4)</f>
        <v>0.25090000000000001</v>
      </c>
      <c r="AH725">
        <f>IF(AND(C725&lt;&gt;"",E725&lt;&gt;""),E725 - C725,"")</f>
        <v>1</v>
      </c>
      <c r="AI725" t="str">
        <f>IF(C725="","",TEXT(C725, "mmmm"))</f>
        <v>February</v>
      </c>
      <c r="AJ725">
        <f>IF(C725="","",YEAR(C725))</f>
        <v>2025</v>
      </c>
      <c r="AM725" t="str">
        <f>IF(AN725="","clean","")</f>
        <v>clean</v>
      </c>
      <c r="AN725" t="s">
        <v>3595</v>
      </c>
    </row>
    <row r="726" spans="1:40">
      <c r="A726" t="s">
        <v>1997</v>
      </c>
      <c r="B726" t="s">
        <v>3879</v>
      </c>
      <c r="C726" s="6">
        <v>45727</v>
      </c>
      <c r="D726" t="s">
        <v>1998</v>
      </c>
      <c r="E726" s="6">
        <v>45731</v>
      </c>
      <c r="F726" t="s">
        <v>1999</v>
      </c>
      <c r="G726" t="s">
        <v>59</v>
      </c>
      <c r="H726" t="s">
        <v>59</v>
      </c>
      <c r="I726" t="s">
        <v>104</v>
      </c>
      <c r="J726" t="s">
        <v>104</v>
      </c>
      <c r="K726" t="s">
        <v>41</v>
      </c>
      <c r="L726" t="str">
        <f>IF(TRIM(K726)="","Unknown",PROPER(TRIM(K726)))</f>
        <v>East</v>
      </c>
      <c r="M726" t="s">
        <v>174</v>
      </c>
      <c r="N726" t="s">
        <v>175</v>
      </c>
      <c r="O726" t="s">
        <v>29</v>
      </c>
      <c r="P726" t="str">
        <f>IF(TRIM(O726)="","Unknown",PROPER(TRIM(O726)))</f>
        <v>Office Supplies</v>
      </c>
      <c r="Q726" t="s">
        <v>30</v>
      </c>
      <c r="R726" t="s">
        <v>2000</v>
      </c>
      <c r="S726" t="s">
        <v>47</v>
      </c>
      <c r="T726" t="str">
        <f>IF(TRIM(S726)="","Unknown",PROPER(TRIM(S726)))</f>
        <v>Same Day</v>
      </c>
      <c r="U726">
        <v>3</v>
      </c>
      <c r="V726">
        <v>3625.08</v>
      </c>
      <c r="W726">
        <v>0.05</v>
      </c>
      <c r="Y726">
        <v>0.05</v>
      </c>
      <c r="Z726">
        <v>10331.48</v>
      </c>
      <c r="AA726">
        <v>7131.91</v>
      </c>
      <c r="AB726">
        <v>3199.57</v>
      </c>
      <c r="AC726" t="s">
        <v>131</v>
      </c>
      <c r="AD726" t="s">
        <v>76</v>
      </c>
      <c r="AE726">
        <f>ROUND((U726*V726)-(U726*V726*Y726),2)</f>
        <v>10331.48</v>
      </c>
      <c r="AF726">
        <f>AE726-AA726</f>
        <v>3199.5699999999997</v>
      </c>
      <c r="AG726" s="7">
        <f>ROUND((AF726/AE726),4)</f>
        <v>0.30969999999999998</v>
      </c>
      <c r="AH726">
        <f>IF(AND(C726&lt;&gt;"",E726&lt;&gt;""),E726 - C726,"")</f>
        <v>4</v>
      </c>
      <c r="AI726" t="str">
        <f>IF(C726="","",TEXT(C726, "mmmm"))</f>
        <v>March</v>
      </c>
      <c r="AJ726">
        <f>IF(C726="","",YEAR(C726))</f>
        <v>2025</v>
      </c>
      <c r="AM726" t="str">
        <f>IF(AN726="","clean","")</f>
        <v>clean</v>
      </c>
      <c r="AN726" t="s">
        <v>3595</v>
      </c>
    </row>
    <row r="727" spans="1:40">
      <c r="A727" t="s">
        <v>2012</v>
      </c>
      <c r="B727" t="s">
        <v>2013</v>
      </c>
      <c r="C727" s="6">
        <v>45666</v>
      </c>
      <c r="D727" t="s">
        <v>2014</v>
      </c>
      <c r="E727" s="6">
        <v>45664</v>
      </c>
      <c r="F727" t="s">
        <v>2015</v>
      </c>
      <c r="G727" t="s">
        <v>153</v>
      </c>
      <c r="H727" t="s">
        <v>153</v>
      </c>
      <c r="I727" t="s">
        <v>110</v>
      </c>
      <c r="J727" t="s">
        <v>110</v>
      </c>
      <c r="K727" t="s">
        <v>41</v>
      </c>
      <c r="L727" t="str">
        <f>IF(TRIM(K727)="","Unknown",PROPER(TRIM(K727)))</f>
        <v>East</v>
      </c>
      <c r="M727" t="s">
        <v>116</v>
      </c>
      <c r="N727" t="s">
        <v>117</v>
      </c>
      <c r="O727" t="s">
        <v>29</v>
      </c>
      <c r="P727" t="str">
        <f>IF(TRIM(O727)="","Unknown",PROPER(TRIM(O727)))</f>
        <v>Office Supplies</v>
      </c>
      <c r="Q727" t="s">
        <v>184</v>
      </c>
      <c r="R727" t="s">
        <v>2016</v>
      </c>
      <c r="S727" t="s">
        <v>32</v>
      </c>
      <c r="T727" t="str">
        <f>IF(TRIM(S727)="","Unknown",PROPER(TRIM(S727)))</f>
        <v>Second Class</v>
      </c>
      <c r="U727">
        <v>3</v>
      </c>
      <c r="V727">
        <v>2188.33</v>
      </c>
      <c r="W727">
        <v>0</v>
      </c>
      <c r="Y727">
        <v>0</v>
      </c>
      <c r="Z727">
        <v>6564.99</v>
      </c>
      <c r="AA727">
        <v>5407.24</v>
      </c>
      <c r="AB727">
        <v>1157.75</v>
      </c>
      <c r="AC727" t="s">
        <v>33</v>
      </c>
      <c r="AD727" t="s">
        <v>34</v>
      </c>
      <c r="AE727">
        <f>ROUND((U727*V727)-(U727*V727*Y727),2)</f>
        <v>6564.99</v>
      </c>
      <c r="AF727">
        <f>AE727-AA727</f>
        <v>1157.75</v>
      </c>
      <c r="AG727" s="7">
        <f>ROUND((AF727/AE727),4)</f>
        <v>0.1764</v>
      </c>
      <c r="AH727">
        <f>IF(AND(C727&lt;&gt;"",E727&lt;&gt;""),E727 - C727,"")</f>
        <v>-2</v>
      </c>
      <c r="AI727" t="str">
        <f>IF(C727="","",TEXT(C727, "mmmm"))</f>
        <v>January</v>
      </c>
      <c r="AJ727">
        <f>IF(C727="","",YEAR(C727))</f>
        <v>2025</v>
      </c>
      <c r="AM727" t="s">
        <v>4145</v>
      </c>
      <c r="AN727" t="s">
        <v>4140</v>
      </c>
    </row>
    <row r="728" spans="1:40">
      <c r="A728" t="s">
        <v>2037</v>
      </c>
      <c r="B728" t="s">
        <v>3888</v>
      </c>
      <c r="C728" s="6">
        <v>45717</v>
      </c>
      <c r="D728" t="s">
        <v>2038</v>
      </c>
      <c r="E728" s="6">
        <v>45724</v>
      </c>
      <c r="F728" t="s">
        <v>2039</v>
      </c>
      <c r="G728" t="s">
        <v>80</v>
      </c>
      <c r="H728" t="s">
        <v>80</v>
      </c>
      <c r="I728" t="s">
        <v>25</v>
      </c>
      <c r="J728" t="s">
        <v>25</v>
      </c>
      <c r="K728" t="s">
        <v>41</v>
      </c>
      <c r="L728" t="str">
        <f>IF(TRIM(K728)="","Unknown",PROPER(TRIM(K728)))</f>
        <v>East</v>
      </c>
      <c r="M728" t="s">
        <v>116</v>
      </c>
      <c r="N728" t="s">
        <v>117</v>
      </c>
      <c r="O728" t="s">
        <v>44</v>
      </c>
      <c r="P728" t="str">
        <f>IF(TRIM(O728)="","Unknown",PROPER(TRIM(O728)))</f>
        <v>Furniture</v>
      </c>
      <c r="Q728" t="s">
        <v>74</v>
      </c>
      <c r="R728" t="s">
        <v>2040</v>
      </c>
      <c r="S728" t="s">
        <v>47</v>
      </c>
      <c r="T728" t="str">
        <f>IF(TRIM(S728)="","Unknown",PROPER(TRIM(S728)))</f>
        <v>Same Day</v>
      </c>
      <c r="U728">
        <v>8</v>
      </c>
      <c r="V728">
        <v>3378.82</v>
      </c>
      <c r="W728">
        <v>0.25</v>
      </c>
      <c r="Y728">
        <v>0.25</v>
      </c>
      <c r="Z728">
        <v>20272.919999999998</v>
      </c>
      <c r="AA728">
        <v>15873.38</v>
      </c>
      <c r="AB728">
        <v>4399.54</v>
      </c>
      <c r="AC728" t="s">
        <v>131</v>
      </c>
      <c r="AD728" t="s">
        <v>120</v>
      </c>
      <c r="AE728">
        <f>ROUND((U728*V728)-(U728*V728*Y728),2)</f>
        <v>20272.919999999998</v>
      </c>
      <c r="AF728">
        <f>AE728-AA728</f>
        <v>4399.5399999999991</v>
      </c>
      <c r="AG728" s="7">
        <f>ROUND((AF728/AE728),4)</f>
        <v>0.217</v>
      </c>
      <c r="AH728">
        <f>IF(AND(C728&lt;&gt;"",E728&lt;&gt;""),E728 - C728,"")</f>
        <v>7</v>
      </c>
      <c r="AI728" t="str">
        <f>IF(C728="","",TEXT(C728, "mmmm"))</f>
        <v>March</v>
      </c>
      <c r="AJ728">
        <f>IF(C728="","",YEAR(C728))</f>
        <v>2025</v>
      </c>
      <c r="AM728" t="str">
        <f>IF(AN728="","clean","")</f>
        <v>clean</v>
      </c>
      <c r="AN728" t="s">
        <v>3595</v>
      </c>
    </row>
    <row r="729" spans="1:40">
      <c r="A729" t="s">
        <v>2045</v>
      </c>
      <c r="B729" t="s">
        <v>3890</v>
      </c>
      <c r="C729" s="6">
        <v>45892</v>
      </c>
      <c r="D729" t="s">
        <v>2046</v>
      </c>
      <c r="F729" t="s">
        <v>2047</v>
      </c>
      <c r="G729" t="s">
        <v>80</v>
      </c>
      <c r="H729" t="s">
        <v>80</v>
      </c>
      <c r="I729" t="s">
        <v>104</v>
      </c>
      <c r="J729" t="s">
        <v>104</v>
      </c>
      <c r="K729" t="s">
        <v>71</v>
      </c>
      <c r="L729" t="str">
        <f>IF(TRIM(K729)="","Unknown",PROPER(TRIM(K729)))</f>
        <v>West</v>
      </c>
      <c r="M729" t="s">
        <v>218</v>
      </c>
      <c r="N729" t="s">
        <v>219</v>
      </c>
      <c r="O729" t="s">
        <v>44</v>
      </c>
      <c r="P729" t="str">
        <f>IF(TRIM(O729)="","Unknown",PROPER(TRIM(O729)))</f>
        <v>Furniture</v>
      </c>
      <c r="Q729" t="s">
        <v>74</v>
      </c>
      <c r="R729" t="s">
        <v>2048</v>
      </c>
      <c r="S729" t="s">
        <v>65</v>
      </c>
      <c r="T729" t="str">
        <f>IF(TRIM(S729)="","Unknown",PROPER(TRIM(S729)))</f>
        <v>Standard Class</v>
      </c>
      <c r="U729">
        <v>6</v>
      </c>
      <c r="V729">
        <v>2193.23</v>
      </c>
      <c r="W729">
        <v>0.1</v>
      </c>
      <c r="Y729">
        <v>0.1</v>
      </c>
      <c r="Z729">
        <v>11843.44</v>
      </c>
      <c r="AA729">
        <v>9356.8799999999992</v>
      </c>
      <c r="AB729">
        <v>2486.56</v>
      </c>
      <c r="AC729" t="s">
        <v>33</v>
      </c>
      <c r="AD729" t="s">
        <v>76</v>
      </c>
      <c r="AE729">
        <f>ROUND((U729*V729)-(U729*V729*Y729),2)</f>
        <v>11843.44</v>
      </c>
      <c r="AF729">
        <f>AE729-AA729</f>
        <v>2486.5600000000013</v>
      </c>
      <c r="AG729" s="7">
        <f>ROUND((AF729/AE729),4)</f>
        <v>0.21</v>
      </c>
      <c r="AH729" t="str">
        <f>IF(AND(C729&lt;&gt;"",E729&lt;&gt;""),E729 - C729,"")</f>
        <v/>
      </c>
      <c r="AI729" t="str">
        <f>IF(C729="","",TEXT(C729, "mmmm"))</f>
        <v>August</v>
      </c>
      <c r="AJ729">
        <f>IF(C729="","",YEAR(C729))</f>
        <v>2025</v>
      </c>
      <c r="AM729" t="s">
        <v>4144</v>
      </c>
      <c r="AN729" t="s">
        <v>4136</v>
      </c>
    </row>
    <row r="730" spans="1:40">
      <c r="A730" t="s">
        <v>2057</v>
      </c>
      <c r="B730" t="s">
        <v>3638</v>
      </c>
      <c r="C730" s="6">
        <v>45662</v>
      </c>
      <c r="D730" t="s">
        <v>2013</v>
      </c>
      <c r="E730" s="6">
        <v>45666</v>
      </c>
      <c r="F730" t="s">
        <v>2058</v>
      </c>
      <c r="G730" t="s">
        <v>90</v>
      </c>
      <c r="H730" t="s">
        <v>90</v>
      </c>
      <c r="I730" t="s">
        <v>40</v>
      </c>
      <c r="J730" t="s">
        <v>40</v>
      </c>
      <c r="K730" t="s">
        <v>60</v>
      </c>
      <c r="L730" t="str">
        <f>IF(TRIM(K730)="","Unknown",PROPER(TRIM(K730)))</f>
        <v>South</v>
      </c>
      <c r="M730" t="s">
        <v>309</v>
      </c>
      <c r="N730" t="s">
        <v>310</v>
      </c>
      <c r="O730" t="s">
        <v>29</v>
      </c>
      <c r="P730" t="str">
        <f>IF(TRIM(O730)="","Unknown",PROPER(TRIM(O730)))</f>
        <v>Office Supplies</v>
      </c>
      <c r="Q730" t="s">
        <v>148</v>
      </c>
      <c r="R730" t="s">
        <v>2059</v>
      </c>
      <c r="T730" t="str">
        <f>IF(TRIM(S730)="","Unknown",PROPER(TRIM(S730)))</f>
        <v>Unknown</v>
      </c>
      <c r="U730">
        <v>5</v>
      </c>
      <c r="V730">
        <v>905.16</v>
      </c>
      <c r="W730">
        <v>0</v>
      </c>
      <c r="Y730">
        <v>0</v>
      </c>
      <c r="Z730">
        <v>4525.8</v>
      </c>
      <c r="AA730">
        <v>2714.51</v>
      </c>
      <c r="AB730">
        <v>1811.29</v>
      </c>
      <c r="AC730" t="s">
        <v>33</v>
      </c>
      <c r="AD730" t="s">
        <v>34</v>
      </c>
      <c r="AE730">
        <f>ROUND((U730*V730)-(U730*V730*Y730),2)</f>
        <v>4525.8</v>
      </c>
      <c r="AF730">
        <f>AE730-AA730</f>
        <v>1811.29</v>
      </c>
      <c r="AG730" s="7">
        <f>ROUND((AF730/AE730),4)</f>
        <v>0.4002</v>
      </c>
      <c r="AH730">
        <f>IF(AND(C730&lt;&gt;"",E730&lt;&gt;""),E730 - C730,"")</f>
        <v>4</v>
      </c>
      <c r="AI730" t="str">
        <f>IF(C730="","",TEXT(C730, "mmmm"))</f>
        <v>January</v>
      </c>
      <c r="AJ730">
        <f>IF(C730="","",YEAR(C730))</f>
        <v>2025</v>
      </c>
      <c r="AM730" t="s">
        <v>4145</v>
      </c>
      <c r="AN730" t="s">
        <v>3600</v>
      </c>
    </row>
    <row r="731" spans="1:40">
      <c r="A731" t="s">
        <v>2060</v>
      </c>
      <c r="B731" t="s">
        <v>3892</v>
      </c>
      <c r="C731" s="6">
        <v>45813</v>
      </c>
      <c r="D731" t="s">
        <v>2061</v>
      </c>
      <c r="E731" s="6">
        <v>45821</v>
      </c>
      <c r="F731" t="s">
        <v>2062</v>
      </c>
      <c r="G731" t="s">
        <v>52</v>
      </c>
      <c r="H731" t="s">
        <v>52</v>
      </c>
      <c r="I731" t="s">
        <v>25</v>
      </c>
      <c r="J731" t="s">
        <v>25</v>
      </c>
      <c r="K731" t="s">
        <v>26</v>
      </c>
      <c r="L731" t="str">
        <f>IF(TRIM(K731)="","Unknown",PROPER(TRIM(K731)))</f>
        <v>North</v>
      </c>
      <c r="M731" t="s">
        <v>163</v>
      </c>
      <c r="N731" t="s">
        <v>164</v>
      </c>
      <c r="O731" t="s">
        <v>83</v>
      </c>
      <c r="P731" t="str">
        <f>IF(TRIM(O731)="","Unknown",PROPER(TRIM(O731)))</f>
        <v>Technology</v>
      </c>
      <c r="Q731" t="s">
        <v>347</v>
      </c>
      <c r="R731" t="s">
        <v>2063</v>
      </c>
      <c r="S731" t="s">
        <v>47</v>
      </c>
      <c r="T731" t="str">
        <f>IF(TRIM(S731)="","Unknown",PROPER(TRIM(S731)))</f>
        <v>Same Day</v>
      </c>
      <c r="U731">
        <v>4</v>
      </c>
      <c r="V731">
        <v>2793.88</v>
      </c>
      <c r="W731" t="s">
        <v>1032</v>
      </c>
      <c r="Y731">
        <v>0.05</v>
      </c>
      <c r="Z731">
        <v>10616.74</v>
      </c>
      <c r="AA731">
        <v>6353.59</v>
      </c>
      <c r="AB731">
        <v>4263.1499999999996</v>
      </c>
      <c r="AC731" t="s">
        <v>33</v>
      </c>
      <c r="AD731" t="s">
        <v>34</v>
      </c>
      <c r="AE731">
        <f>ROUND((U731*V731)-(U731*V731*Y731),2)</f>
        <v>10616.74</v>
      </c>
      <c r="AF731">
        <f>AE731-AA731</f>
        <v>4263.1499999999996</v>
      </c>
      <c r="AG731" s="7">
        <f>ROUND((AF731/AE731),4)</f>
        <v>0.40150000000000002</v>
      </c>
      <c r="AH731">
        <f>IF(AND(C731&lt;&gt;"",E731&lt;&gt;""),E731 - C731,"")</f>
        <v>8</v>
      </c>
      <c r="AI731" t="str">
        <f>IF(C731="","",TEXT(C731, "mmmm"))</f>
        <v>June</v>
      </c>
      <c r="AJ731">
        <f>IF(C731="","",YEAR(C731))</f>
        <v>2025</v>
      </c>
      <c r="AM731" t="s">
        <v>4145</v>
      </c>
      <c r="AN731" t="s">
        <v>3596</v>
      </c>
    </row>
    <row r="732" spans="1:40">
      <c r="A732" t="s">
        <v>2075</v>
      </c>
      <c r="B732" t="s">
        <v>1615</v>
      </c>
      <c r="C732" s="6">
        <v>45679</v>
      </c>
      <c r="D732" t="s">
        <v>172</v>
      </c>
      <c r="E732" s="6">
        <v>45680</v>
      </c>
      <c r="F732" t="s">
        <v>2076</v>
      </c>
      <c r="G732" t="s">
        <v>141</v>
      </c>
      <c r="H732" t="s">
        <v>141</v>
      </c>
      <c r="I732" t="s">
        <v>104</v>
      </c>
      <c r="J732" t="s">
        <v>104</v>
      </c>
      <c r="K732" t="s">
        <v>71</v>
      </c>
      <c r="L732" t="str">
        <f>IF(TRIM(K732)="","Unknown",PROPER(TRIM(K732)))</f>
        <v>West</v>
      </c>
      <c r="M732" t="s">
        <v>230</v>
      </c>
      <c r="N732" t="s">
        <v>231</v>
      </c>
      <c r="O732" t="s">
        <v>44</v>
      </c>
      <c r="P732" t="str">
        <f>IF(TRIM(O732)="","Unknown",PROPER(TRIM(O732)))</f>
        <v>Furniture</v>
      </c>
      <c r="Q732" t="s">
        <v>190</v>
      </c>
      <c r="R732" t="s">
        <v>2077</v>
      </c>
      <c r="S732" t="s">
        <v>65</v>
      </c>
      <c r="T732" t="str">
        <f>IF(TRIM(S732)="","Unknown",PROPER(TRIM(S732)))</f>
        <v>Standard Class</v>
      </c>
      <c r="U732">
        <v>4</v>
      </c>
      <c r="V732">
        <v>2555.19</v>
      </c>
      <c r="W732">
        <v>0.25</v>
      </c>
      <c r="Y732">
        <v>0.25</v>
      </c>
      <c r="Z732">
        <v>7665.57</v>
      </c>
      <c r="AA732">
        <v>5595.6</v>
      </c>
      <c r="AB732">
        <v>2069.9699999999998</v>
      </c>
      <c r="AC732" t="s">
        <v>33</v>
      </c>
      <c r="AD732" t="s">
        <v>34</v>
      </c>
      <c r="AE732">
        <f>ROUND((U732*V732)-(U732*V732*Y732),2)</f>
        <v>7665.57</v>
      </c>
      <c r="AF732">
        <f>AE732-AA732</f>
        <v>2069.9699999999993</v>
      </c>
      <c r="AG732" s="7">
        <f>ROUND((AF732/AE732),4)</f>
        <v>0.27</v>
      </c>
      <c r="AH732">
        <f>IF(AND(C732&lt;&gt;"",E732&lt;&gt;""),E732 - C732,"")</f>
        <v>1</v>
      </c>
      <c r="AI732" t="str">
        <f>IF(C732="","",TEXT(C732, "mmmm"))</f>
        <v>January</v>
      </c>
      <c r="AJ732">
        <f>IF(C732="","",YEAR(C732))</f>
        <v>2025</v>
      </c>
      <c r="AM732" t="str">
        <f>IF(AN732="","clean","")</f>
        <v>clean</v>
      </c>
      <c r="AN732" t="s">
        <v>3595</v>
      </c>
    </row>
    <row r="733" spans="1:40">
      <c r="A733" t="s">
        <v>2078</v>
      </c>
      <c r="B733" t="s">
        <v>3894</v>
      </c>
      <c r="D733" t="s">
        <v>2079</v>
      </c>
      <c r="E733" s="6">
        <v>45834</v>
      </c>
      <c r="F733" t="s">
        <v>2080</v>
      </c>
      <c r="G733" t="s">
        <v>141</v>
      </c>
      <c r="H733" t="s">
        <v>141</v>
      </c>
      <c r="I733" t="s">
        <v>104</v>
      </c>
      <c r="J733" t="s">
        <v>104</v>
      </c>
      <c r="K733" t="s">
        <v>71</v>
      </c>
      <c r="L733" t="str">
        <f>IF(TRIM(K733)="","Unknown",PROPER(TRIM(K733)))</f>
        <v>West</v>
      </c>
      <c r="M733" t="s">
        <v>230</v>
      </c>
      <c r="N733" t="s">
        <v>231</v>
      </c>
      <c r="O733" t="s">
        <v>44</v>
      </c>
      <c r="P733" t="str">
        <f>IF(TRIM(O733)="","Unknown",PROPER(TRIM(O733)))</f>
        <v>Furniture</v>
      </c>
      <c r="Q733" t="s">
        <v>45</v>
      </c>
      <c r="R733" t="s">
        <v>2081</v>
      </c>
      <c r="S733" t="s">
        <v>65</v>
      </c>
      <c r="T733" t="str">
        <f>IF(TRIM(S733)="","Unknown",PROPER(TRIM(S733)))</f>
        <v>Standard Class</v>
      </c>
      <c r="U733">
        <v>3</v>
      </c>
      <c r="V733">
        <v>1946.18</v>
      </c>
      <c r="W733">
        <v>0.2</v>
      </c>
      <c r="Y733">
        <v>0.2</v>
      </c>
      <c r="Z733">
        <v>4670.83</v>
      </c>
      <c r="AA733">
        <v>3166.49</v>
      </c>
      <c r="AB733">
        <v>1504.34</v>
      </c>
      <c r="AC733" t="s">
        <v>33</v>
      </c>
      <c r="AD733" t="s">
        <v>34</v>
      </c>
      <c r="AE733">
        <f>ROUND((U733*V733)-(U733*V733*Y733),2)</f>
        <v>4670.83</v>
      </c>
      <c r="AF733">
        <f>AE733-AA733</f>
        <v>1504.3400000000001</v>
      </c>
      <c r="AG733" s="7">
        <f>ROUND((AF733/AE733),4)</f>
        <v>0.3221</v>
      </c>
      <c r="AH733" t="str">
        <f>IF(AND(C733&lt;&gt;"",E733&lt;&gt;""),E733 - C733,"")</f>
        <v/>
      </c>
      <c r="AI733" t="str">
        <f>IF(C733="","",TEXT(C733, "mmmm"))</f>
        <v/>
      </c>
      <c r="AJ733" t="str">
        <f>IF(C733="","",YEAR(C733))</f>
        <v/>
      </c>
      <c r="AM733" t="s">
        <v>4144</v>
      </c>
      <c r="AN733" t="s">
        <v>4127</v>
      </c>
    </row>
    <row r="734" spans="1:40">
      <c r="A734" t="s">
        <v>2082</v>
      </c>
      <c r="B734" t="s">
        <v>1733</v>
      </c>
      <c r="C734" s="6">
        <v>45818</v>
      </c>
      <c r="D734" t="s">
        <v>2083</v>
      </c>
      <c r="E734" s="6">
        <v>45825</v>
      </c>
      <c r="F734" t="s">
        <v>2084</v>
      </c>
      <c r="G734" t="s">
        <v>141</v>
      </c>
      <c r="H734" t="s">
        <v>141</v>
      </c>
      <c r="I734" t="s">
        <v>104</v>
      </c>
      <c r="J734" t="s">
        <v>104</v>
      </c>
      <c r="K734" t="s">
        <v>60</v>
      </c>
      <c r="L734" t="str">
        <f>IF(TRIM(K734)="","Unknown",PROPER(TRIM(K734)))</f>
        <v>South</v>
      </c>
      <c r="M734" t="s">
        <v>61</v>
      </c>
      <c r="N734" t="s">
        <v>62</v>
      </c>
      <c r="O734" t="s">
        <v>44</v>
      </c>
      <c r="P734" t="str">
        <f>IF(TRIM(O734)="","Unknown",PROPER(TRIM(O734)))</f>
        <v>Furniture</v>
      </c>
      <c r="Q734" t="s">
        <v>63</v>
      </c>
      <c r="R734" t="s">
        <v>2085</v>
      </c>
      <c r="S734" t="s">
        <v>65</v>
      </c>
      <c r="T734" t="str">
        <f>IF(TRIM(S734)="","Unknown",PROPER(TRIM(S734)))</f>
        <v>Standard Class</v>
      </c>
      <c r="U734">
        <v>5</v>
      </c>
      <c r="V734">
        <v>1231.0999999999999</v>
      </c>
      <c r="W734">
        <v>0</v>
      </c>
      <c r="Y734">
        <v>0</v>
      </c>
      <c r="Z734">
        <v>6155.5</v>
      </c>
      <c r="AA734">
        <v>4282.09</v>
      </c>
      <c r="AB734">
        <v>1873.41</v>
      </c>
      <c r="AC734" t="s">
        <v>119</v>
      </c>
      <c r="AD734" t="s">
        <v>120</v>
      </c>
      <c r="AE734">
        <f>ROUND((U734*V734)-(U734*V734*Y734),2)</f>
        <v>6155.5</v>
      </c>
      <c r="AF734">
        <f>AE734-AA734</f>
        <v>1873.4099999999999</v>
      </c>
      <c r="AG734" s="7">
        <f>ROUND((AF734/AE734),4)</f>
        <v>0.30430000000000001</v>
      </c>
      <c r="AH734">
        <f>IF(AND(C734&lt;&gt;"",E734&lt;&gt;""),E734 - C734,"")</f>
        <v>7</v>
      </c>
      <c r="AI734" t="str">
        <f>IF(C734="","",TEXT(C734, "mmmm"))</f>
        <v>June</v>
      </c>
      <c r="AJ734">
        <f>IF(C734="","",YEAR(C734))</f>
        <v>2025</v>
      </c>
      <c r="AM734" t="str">
        <f>IF(AN734="","clean","")</f>
        <v>clean</v>
      </c>
      <c r="AN734" t="s">
        <v>3595</v>
      </c>
    </row>
    <row r="735" spans="1:40">
      <c r="A735" t="s">
        <v>2097</v>
      </c>
      <c r="B735" t="s">
        <v>1741</v>
      </c>
      <c r="C735" s="6">
        <v>45776</v>
      </c>
      <c r="D735" t="s">
        <v>2098</v>
      </c>
      <c r="F735" t="s">
        <v>2099</v>
      </c>
      <c r="G735" t="s">
        <v>39</v>
      </c>
      <c r="H735" t="s">
        <v>39</v>
      </c>
      <c r="I735" t="s">
        <v>104</v>
      </c>
      <c r="J735" t="s">
        <v>104</v>
      </c>
      <c r="K735" t="s">
        <v>60</v>
      </c>
      <c r="L735" t="str">
        <f>IF(TRIM(K735)="","Unknown",PROPER(TRIM(K735)))</f>
        <v>South</v>
      </c>
      <c r="M735" t="s">
        <v>224</v>
      </c>
      <c r="N735" t="s">
        <v>225</v>
      </c>
      <c r="O735" t="s">
        <v>83</v>
      </c>
      <c r="P735" t="str">
        <f>IF(TRIM(O735)="","Unknown",PROPER(TRIM(O735)))</f>
        <v>Technology</v>
      </c>
      <c r="Q735" t="s">
        <v>84</v>
      </c>
      <c r="R735" t="s">
        <v>2100</v>
      </c>
      <c r="S735" t="s">
        <v>65</v>
      </c>
      <c r="T735" t="str">
        <f>IF(TRIM(S735)="","Unknown",PROPER(TRIM(S735)))</f>
        <v>Standard Class</v>
      </c>
      <c r="U735">
        <v>4</v>
      </c>
      <c r="V735">
        <v>606.58000000000004</v>
      </c>
      <c r="W735">
        <v>0.2</v>
      </c>
      <c r="Y735">
        <v>0.2</v>
      </c>
      <c r="Z735">
        <v>1941.06</v>
      </c>
      <c r="AA735">
        <v>1207.42</v>
      </c>
      <c r="AB735">
        <v>733.64</v>
      </c>
      <c r="AC735" t="s">
        <v>33</v>
      </c>
      <c r="AD735" t="s">
        <v>34</v>
      </c>
      <c r="AE735">
        <f>ROUND((U735*V735)-(U735*V735*Y735),2)</f>
        <v>1941.06</v>
      </c>
      <c r="AF735">
        <f>AE735-AA735</f>
        <v>733.63999999999987</v>
      </c>
      <c r="AG735" s="7">
        <f>ROUND((AF735/AE735),4)</f>
        <v>0.378</v>
      </c>
      <c r="AH735" t="str">
        <f>IF(AND(C735&lt;&gt;"",E735&lt;&gt;""),E735 - C735,"")</f>
        <v/>
      </c>
      <c r="AI735" t="str">
        <f>IF(C735="","",TEXT(C735, "mmmm"))</f>
        <v>April</v>
      </c>
      <c r="AJ735">
        <f>IF(C735="","",YEAR(C735))</f>
        <v>2025</v>
      </c>
      <c r="AM735" t="s">
        <v>4144</v>
      </c>
      <c r="AN735" t="s">
        <v>4136</v>
      </c>
    </row>
    <row r="736" spans="1:40">
      <c r="A736" t="s">
        <v>2101</v>
      </c>
      <c r="B736" t="s">
        <v>3897</v>
      </c>
      <c r="D736" t="s">
        <v>2102</v>
      </c>
      <c r="E736" s="6">
        <v>45840</v>
      </c>
      <c r="F736" t="s">
        <v>2103</v>
      </c>
      <c r="G736" t="s">
        <v>70</v>
      </c>
      <c r="H736" t="s">
        <v>70</v>
      </c>
      <c r="I736" t="s">
        <v>104</v>
      </c>
      <c r="J736" t="s">
        <v>104</v>
      </c>
      <c r="K736" t="s">
        <v>60</v>
      </c>
      <c r="L736" t="str">
        <f>IF(TRIM(K736)="","Unknown",PROPER(TRIM(K736)))</f>
        <v>South</v>
      </c>
      <c r="M736" t="s">
        <v>97</v>
      </c>
      <c r="N736" t="s">
        <v>98</v>
      </c>
      <c r="O736" t="s">
        <v>29</v>
      </c>
      <c r="P736" t="str">
        <f>IF(TRIM(O736)="","Unknown",PROPER(TRIM(O736)))</f>
        <v>Office Supplies</v>
      </c>
      <c r="Q736" t="s">
        <v>148</v>
      </c>
      <c r="R736" t="s">
        <v>2104</v>
      </c>
      <c r="S736" t="s">
        <v>32</v>
      </c>
      <c r="T736" t="str">
        <f>IF(TRIM(S736)="","Unknown",PROPER(TRIM(S736)))</f>
        <v>Second Class</v>
      </c>
      <c r="U736">
        <v>2</v>
      </c>
      <c r="V736">
        <v>2725.44</v>
      </c>
      <c r="W736">
        <v>0.25</v>
      </c>
      <c r="Y736">
        <v>0.25</v>
      </c>
      <c r="Z736">
        <v>4088.16</v>
      </c>
      <c r="AA736">
        <v>3205.68</v>
      </c>
      <c r="AB736">
        <v>882.48</v>
      </c>
      <c r="AC736" t="s">
        <v>33</v>
      </c>
      <c r="AD736" t="s">
        <v>34</v>
      </c>
      <c r="AE736">
        <f>ROUND((U736*V736)-(U736*V736*Y736),2)</f>
        <v>4088.16</v>
      </c>
      <c r="AF736">
        <f>AE736-AA736</f>
        <v>882.48</v>
      </c>
      <c r="AG736" s="7">
        <f>ROUND((AF736/AE736),4)</f>
        <v>0.21590000000000001</v>
      </c>
      <c r="AH736" t="str">
        <f>IF(AND(C736&lt;&gt;"",E736&lt;&gt;""),E736 - C736,"")</f>
        <v/>
      </c>
      <c r="AI736" t="str">
        <f>IF(C736="","",TEXT(C736, "mmmm"))</f>
        <v/>
      </c>
      <c r="AJ736" t="str">
        <f>IF(C736="","",YEAR(C736))</f>
        <v/>
      </c>
      <c r="AM736" t="s">
        <v>4144</v>
      </c>
      <c r="AN736" t="s">
        <v>4127</v>
      </c>
    </row>
    <row r="737" spans="1:40">
      <c r="A737" t="s">
        <v>2105</v>
      </c>
      <c r="B737" t="s">
        <v>1243</v>
      </c>
      <c r="C737" s="6">
        <v>45701</v>
      </c>
      <c r="D737" t="s">
        <v>2106</v>
      </c>
      <c r="E737" s="6">
        <v>45701</v>
      </c>
      <c r="F737" t="s">
        <v>2107</v>
      </c>
      <c r="G737" t="s">
        <v>334</v>
      </c>
      <c r="H737" t="s">
        <v>334</v>
      </c>
      <c r="I737" t="s">
        <v>104</v>
      </c>
      <c r="J737" t="s">
        <v>104</v>
      </c>
      <c r="K737" t="s">
        <v>41</v>
      </c>
      <c r="L737" t="str">
        <f>IF(TRIM(K737)="","Unknown",PROPER(TRIM(K737)))</f>
        <v>East</v>
      </c>
      <c r="M737" t="s">
        <v>42</v>
      </c>
      <c r="N737" t="s">
        <v>43</v>
      </c>
      <c r="O737" t="s">
        <v>29</v>
      </c>
      <c r="P737" t="str">
        <f>IF(TRIM(O737)="","Unknown",PROPER(TRIM(O737)))</f>
        <v>Office Supplies</v>
      </c>
      <c r="Q737" t="s">
        <v>30</v>
      </c>
      <c r="R737" t="s">
        <v>2108</v>
      </c>
      <c r="S737" t="s">
        <v>32</v>
      </c>
      <c r="T737" t="str">
        <f>IF(TRIM(S737)="","Unknown",PROPER(TRIM(S737)))</f>
        <v>Second Class</v>
      </c>
      <c r="U737">
        <v>7</v>
      </c>
      <c r="V737">
        <v>2296.6999999999998</v>
      </c>
      <c r="W737">
        <v>0.05</v>
      </c>
      <c r="Y737">
        <v>0.05</v>
      </c>
      <c r="Z737">
        <v>15273.05</v>
      </c>
      <c r="AA737">
        <v>11088.76</v>
      </c>
      <c r="AB737">
        <v>4184.29</v>
      </c>
      <c r="AC737" t="s">
        <v>33</v>
      </c>
      <c r="AD737" t="s">
        <v>2109</v>
      </c>
      <c r="AE737">
        <f>ROUND((U737*V737)-(U737*V737*Y737),2)</f>
        <v>15273.06</v>
      </c>
      <c r="AF737">
        <f>AE737-AA737</f>
        <v>4184.2999999999993</v>
      </c>
      <c r="AG737" s="7">
        <f>ROUND((AF737/AE737),4)</f>
        <v>0.27400000000000002</v>
      </c>
      <c r="AH737">
        <f>IF(AND(C737&lt;&gt;"",E737&lt;&gt;""),E737 - C737,"")</f>
        <v>0</v>
      </c>
      <c r="AI737" t="str">
        <f>IF(C737="","",TEXT(C737, "mmmm"))</f>
        <v>February</v>
      </c>
      <c r="AJ737">
        <f>IF(C737="","",YEAR(C737))</f>
        <v>2025</v>
      </c>
      <c r="AM737" t="str">
        <f>IF(AN737="","clean","")</f>
        <v>clean</v>
      </c>
    </row>
    <row r="738" spans="1:40">
      <c r="A738" t="s">
        <v>2118</v>
      </c>
      <c r="B738" t="s">
        <v>2119</v>
      </c>
      <c r="C738" s="6">
        <v>45842</v>
      </c>
      <c r="D738" t="s">
        <v>2120</v>
      </c>
      <c r="E738" s="6">
        <v>45844</v>
      </c>
      <c r="F738" t="s">
        <v>2121</v>
      </c>
      <c r="G738" t="s">
        <v>334</v>
      </c>
      <c r="H738" t="s">
        <v>334</v>
      </c>
      <c r="I738" t="s">
        <v>40</v>
      </c>
      <c r="J738" t="s">
        <v>40</v>
      </c>
      <c r="K738" t="s">
        <v>41</v>
      </c>
      <c r="L738" t="str">
        <f>IF(TRIM(K738)="","Unknown",PROPER(TRIM(K738)))</f>
        <v>East</v>
      </c>
      <c r="M738" t="s">
        <v>284</v>
      </c>
      <c r="N738" t="s">
        <v>285</v>
      </c>
      <c r="O738" t="s">
        <v>44</v>
      </c>
      <c r="P738" t="str">
        <f>IF(TRIM(O738)="","Unknown",PROPER(TRIM(O738)))</f>
        <v>Furniture</v>
      </c>
      <c r="Q738" t="s">
        <v>74</v>
      </c>
      <c r="R738" t="s">
        <v>2122</v>
      </c>
      <c r="S738" t="s">
        <v>32</v>
      </c>
      <c r="T738" t="str">
        <f>IF(TRIM(S738)="","Unknown",PROPER(TRIM(S738)))</f>
        <v>Second Class</v>
      </c>
      <c r="U738">
        <v>2</v>
      </c>
      <c r="V738">
        <v>3686.42</v>
      </c>
      <c r="W738">
        <v>0.1</v>
      </c>
      <c r="Y738">
        <v>0.1</v>
      </c>
      <c r="Z738">
        <v>6635.56</v>
      </c>
      <c r="AA738">
        <v>3652.91</v>
      </c>
      <c r="AB738">
        <v>2982.65</v>
      </c>
      <c r="AC738" t="s">
        <v>33</v>
      </c>
      <c r="AD738" t="s">
        <v>34</v>
      </c>
      <c r="AE738">
        <f>ROUND((U738*V738)-(U738*V738*Y738),2)</f>
        <v>6635.56</v>
      </c>
      <c r="AF738">
        <f>AE738-AA738</f>
        <v>2982.6500000000005</v>
      </c>
      <c r="AG738" s="7">
        <f>ROUND((AF738/AE738),4)</f>
        <v>0.44950000000000001</v>
      </c>
      <c r="AH738">
        <f>IF(AND(C738&lt;&gt;"",E738&lt;&gt;""),E738 - C738,"")</f>
        <v>2</v>
      </c>
      <c r="AI738" t="str">
        <f>IF(C738="","",TEXT(C738, "mmmm"))</f>
        <v>July</v>
      </c>
      <c r="AJ738">
        <f>IF(C738="","",YEAR(C738))</f>
        <v>2025</v>
      </c>
      <c r="AM738" t="str">
        <f>IF(AN738="","clean","")</f>
        <v>clean</v>
      </c>
      <c r="AN738" t="s">
        <v>3595</v>
      </c>
    </row>
    <row r="739" spans="1:40">
      <c r="A739" t="s">
        <v>2127</v>
      </c>
      <c r="B739" t="s">
        <v>3899</v>
      </c>
      <c r="C739" s="6">
        <v>45907</v>
      </c>
      <c r="D739" t="s">
        <v>2128</v>
      </c>
      <c r="E739" s="6">
        <v>45910</v>
      </c>
      <c r="F739" t="s">
        <v>2129</v>
      </c>
      <c r="G739" t="s">
        <v>24</v>
      </c>
      <c r="H739" t="s">
        <v>24</v>
      </c>
      <c r="I739" t="s">
        <v>25</v>
      </c>
      <c r="J739" t="s">
        <v>25</v>
      </c>
      <c r="K739" t="s">
        <v>26</v>
      </c>
      <c r="L739" t="str">
        <f>IF(TRIM(K739)="","Unknown",PROPER(TRIM(K739)))</f>
        <v>North</v>
      </c>
      <c r="M739" t="s">
        <v>146</v>
      </c>
      <c r="N739" t="s">
        <v>147</v>
      </c>
      <c r="O739" t="s">
        <v>44</v>
      </c>
      <c r="P739" t="str">
        <f>IF(TRIM(O739)="","Unknown",PROPER(TRIM(O739)))</f>
        <v>Furniture</v>
      </c>
      <c r="Q739" t="s">
        <v>74</v>
      </c>
      <c r="R739" t="s">
        <v>2130</v>
      </c>
      <c r="S739" t="s">
        <v>47</v>
      </c>
      <c r="T739" t="str">
        <f>IF(TRIM(S739)="","Unknown",PROPER(TRIM(S739)))</f>
        <v>Same Day</v>
      </c>
      <c r="U739">
        <v>2</v>
      </c>
      <c r="V739">
        <v>447.55</v>
      </c>
      <c r="W739">
        <v>0.05</v>
      </c>
      <c r="Y739">
        <v>0.05</v>
      </c>
      <c r="Z739">
        <v>850.35</v>
      </c>
      <c r="AA739">
        <v>600.98</v>
      </c>
      <c r="AB739">
        <v>249.37</v>
      </c>
      <c r="AC739" t="s">
        <v>119</v>
      </c>
      <c r="AD739" t="s">
        <v>2131</v>
      </c>
      <c r="AE739">
        <f>ROUND((U739*V739)-(U739*V739*Y739),2)</f>
        <v>850.35</v>
      </c>
      <c r="AF739">
        <f>AE739-AA739</f>
        <v>249.37</v>
      </c>
      <c r="AG739" s="7">
        <f>ROUND((AF739/AE739),4)</f>
        <v>0.29330000000000001</v>
      </c>
      <c r="AH739">
        <f>IF(AND(C739&lt;&gt;"",E739&lt;&gt;""),E739 - C739,"")</f>
        <v>3</v>
      </c>
      <c r="AI739" t="str">
        <f>IF(C739="","",TEXT(C739, "mmmm"))</f>
        <v>September</v>
      </c>
      <c r="AJ739">
        <f>IF(C739="","",YEAR(C739))</f>
        <v>2025</v>
      </c>
      <c r="AM739" t="str">
        <f>IF(AN739="","clean","")</f>
        <v>clean</v>
      </c>
      <c r="AN739" t="s">
        <v>3595</v>
      </c>
    </row>
    <row r="740" spans="1:40">
      <c r="A740" t="s">
        <v>2150</v>
      </c>
      <c r="B740" t="s">
        <v>3904</v>
      </c>
      <c r="C740" s="6">
        <v>45700</v>
      </c>
      <c r="D740" t="s">
        <v>2151</v>
      </c>
      <c r="E740" s="6">
        <v>45705</v>
      </c>
      <c r="F740" t="s">
        <v>2152</v>
      </c>
      <c r="G740" t="s">
        <v>59</v>
      </c>
      <c r="H740" t="s">
        <v>59</v>
      </c>
      <c r="I740" t="s">
        <v>104</v>
      </c>
      <c r="J740" t="s">
        <v>104</v>
      </c>
      <c r="K740" t="s">
        <v>71</v>
      </c>
      <c r="L740" t="str">
        <f>IF(TRIM(K740)="","Unknown",PROPER(TRIM(K740)))</f>
        <v>West</v>
      </c>
      <c r="M740" t="s">
        <v>218</v>
      </c>
      <c r="N740" t="s">
        <v>219</v>
      </c>
      <c r="O740" t="s">
        <v>29</v>
      </c>
      <c r="P740" t="str">
        <f>IF(TRIM(O740)="","Unknown",PROPER(TRIM(O740)))</f>
        <v>Office Supplies</v>
      </c>
      <c r="Q740" t="s">
        <v>53</v>
      </c>
      <c r="R740" t="s">
        <v>2153</v>
      </c>
      <c r="S740" t="s">
        <v>65</v>
      </c>
      <c r="T740" t="str">
        <f>IF(TRIM(S740)="","Unknown",PROPER(TRIM(S740)))</f>
        <v>Standard Class</v>
      </c>
      <c r="U740">
        <v>4</v>
      </c>
      <c r="V740">
        <v>4328.12</v>
      </c>
      <c r="W740">
        <v>0</v>
      </c>
      <c r="Y740">
        <v>0</v>
      </c>
      <c r="Z740">
        <v>17312.48</v>
      </c>
      <c r="AA740">
        <v>14424.22</v>
      </c>
      <c r="AB740">
        <v>2888.26</v>
      </c>
      <c r="AC740" t="s">
        <v>33</v>
      </c>
      <c r="AD740" t="s">
        <v>34</v>
      </c>
      <c r="AE740">
        <f>ROUND((U740*V740)-(U740*V740*Y740),2)</f>
        <v>17312.48</v>
      </c>
      <c r="AF740">
        <f>AE740-AA740</f>
        <v>2888.26</v>
      </c>
      <c r="AG740" s="7">
        <f>ROUND((AF740/AE740),4)</f>
        <v>0.1668</v>
      </c>
      <c r="AH740">
        <f>IF(AND(C740&lt;&gt;"",E740&lt;&gt;""),E740 - C740,"")</f>
        <v>5</v>
      </c>
      <c r="AI740" t="str">
        <f>IF(C740="","",TEXT(C740, "mmmm"))</f>
        <v>February</v>
      </c>
      <c r="AJ740">
        <f>IF(C740="","",YEAR(C740))</f>
        <v>2025</v>
      </c>
      <c r="AM740" t="str">
        <f>IF(AN740="","clean","")</f>
        <v>clean</v>
      </c>
      <c r="AN740" t="s">
        <v>3595</v>
      </c>
    </row>
    <row r="741" spans="1:40">
      <c r="A741" t="s">
        <v>2161</v>
      </c>
      <c r="B741" t="s">
        <v>1885</v>
      </c>
      <c r="C741" s="6">
        <v>45762</v>
      </c>
      <c r="D741" t="s">
        <v>1856</v>
      </c>
      <c r="E741" s="6">
        <v>45769</v>
      </c>
      <c r="F741" t="s">
        <v>2162</v>
      </c>
      <c r="G741" t="s">
        <v>52</v>
      </c>
      <c r="H741" t="s">
        <v>52</v>
      </c>
      <c r="I741" t="s">
        <v>40</v>
      </c>
      <c r="J741" t="s">
        <v>40</v>
      </c>
      <c r="K741" t="s">
        <v>26</v>
      </c>
      <c r="L741" t="str">
        <f>IF(TRIM(K741)="","Unknown",PROPER(TRIM(K741)))</f>
        <v>North</v>
      </c>
      <c r="M741" t="s">
        <v>294</v>
      </c>
      <c r="N741" t="s">
        <v>295</v>
      </c>
      <c r="O741" t="s">
        <v>29</v>
      </c>
      <c r="P741" t="str">
        <f>IF(TRIM(O741)="","Unknown",PROPER(TRIM(O741)))</f>
        <v>Office Supplies</v>
      </c>
      <c r="Q741" t="s">
        <v>184</v>
      </c>
      <c r="R741" t="s">
        <v>2163</v>
      </c>
      <c r="S741" t="s">
        <v>47</v>
      </c>
      <c r="T741" t="str">
        <f>IF(TRIM(S741)="","Unknown",PROPER(TRIM(S741)))</f>
        <v>Same Day</v>
      </c>
      <c r="U741">
        <v>4</v>
      </c>
      <c r="V741">
        <v>2990.42</v>
      </c>
      <c r="W741">
        <v>0.25</v>
      </c>
      <c r="Y741">
        <v>0.25</v>
      </c>
      <c r="Z741">
        <v>8971.26</v>
      </c>
      <c r="AA741">
        <v>6814.35</v>
      </c>
      <c r="AB741">
        <v>2156.91</v>
      </c>
      <c r="AC741" t="s">
        <v>33</v>
      </c>
      <c r="AD741" t="s">
        <v>34</v>
      </c>
      <c r="AE741">
        <f>ROUND((U741*V741)-(U741*V741*Y741),2)</f>
        <v>8971.26</v>
      </c>
      <c r="AF741">
        <f>AE741-AA741</f>
        <v>2156.91</v>
      </c>
      <c r="AG741" s="7">
        <f>ROUND((AF741/AE741),4)</f>
        <v>0.2404</v>
      </c>
      <c r="AH741">
        <f>IF(AND(C741&lt;&gt;"",E741&lt;&gt;""),E741 - C741,"")</f>
        <v>7</v>
      </c>
      <c r="AI741" t="str">
        <f>IF(C741="","",TEXT(C741, "mmmm"))</f>
        <v>April</v>
      </c>
      <c r="AJ741">
        <f>IF(C741="","",YEAR(C741))</f>
        <v>2025</v>
      </c>
      <c r="AM741" t="str">
        <f>IF(AN741="","clean","")</f>
        <v>clean</v>
      </c>
      <c r="AN741" t="s">
        <v>3595</v>
      </c>
    </row>
    <row r="742" spans="1:40">
      <c r="A742" t="s">
        <v>2167</v>
      </c>
      <c r="B742" t="s">
        <v>3908</v>
      </c>
      <c r="C742" s="6">
        <v>45789</v>
      </c>
      <c r="D742" t="s">
        <v>2168</v>
      </c>
      <c r="E742" s="6">
        <v>45791</v>
      </c>
      <c r="F742" t="s">
        <v>2169</v>
      </c>
      <c r="G742" t="s">
        <v>90</v>
      </c>
      <c r="H742" t="s">
        <v>90</v>
      </c>
      <c r="I742" t="s">
        <v>25</v>
      </c>
      <c r="J742" t="s">
        <v>25</v>
      </c>
      <c r="K742" t="s">
        <v>71</v>
      </c>
      <c r="L742" t="str">
        <f>IF(TRIM(K742)="","Unknown",PROPER(TRIM(K742)))</f>
        <v>West</v>
      </c>
      <c r="M742" t="s">
        <v>218</v>
      </c>
      <c r="N742" t="s">
        <v>219</v>
      </c>
      <c r="O742" t="s">
        <v>83</v>
      </c>
      <c r="P742" t="str">
        <f>IF(TRIM(O742)="","Unknown",PROPER(TRIM(O742)))</f>
        <v>Technology</v>
      </c>
      <c r="Q742" t="s">
        <v>347</v>
      </c>
      <c r="R742" t="s">
        <v>2170</v>
      </c>
      <c r="S742" t="s">
        <v>47</v>
      </c>
      <c r="T742" t="str">
        <f>IF(TRIM(S742)="","Unknown",PROPER(TRIM(S742)))</f>
        <v>Same Day</v>
      </c>
      <c r="U742">
        <v>8</v>
      </c>
      <c r="V742">
        <v>3631.44</v>
      </c>
      <c r="W742">
        <v>0.2</v>
      </c>
      <c r="Y742">
        <v>0.2</v>
      </c>
      <c r="Z742">
        <v>23241.22</v>
      </c>
      <c r="AA742">
        <v>17220.900000000001</v>
      </c>
      <c r="AB742">
        <v>6020.32</v>
      </c>
      <c r="AC742" t="s">
        <v>33</v>
      </c>
      <c r="AD742" t="s">
        <v>34</v>
      </c>
      <c r="AE742">
        <f>ROUND((U742*V742)-(U742*V742*Y742),2)</f>
        <v>23241.22</v>
      </c>
      <c r="AF742">
        <f>AE742-AA742</f>
        <v>6020.32</v>
      </c>
      <c r="AG742" s="7">
        <f>ROUND((AF742/AE742),4)</f>
        <v>0.25900000000000001</v>
      </c>
      <c r="AH742">
        <f>IF(AND(C742&lt;&gt;"",E742&lt;&gt;""),E742 - C742,"")</f>
        <v>2</v>
      </c>
      <c r="AI742" t="str">
        <f>IF(C742="","",TEXT(C742, "mmmm"))</f>
        <v>May</v>
      </c>
      <c r="AJ742">
        <f>IF(C742="","",YEAR(C742))</f>
        <v>2025</v>
      </c>
      <c r="AM742" t="str">
        <f>IF(AN742="","clean","")</f>
        <v>clean</v>
      </c>
      <c r="AN742" t="s">
        <v>3595</v>
      </c>
    </row>
    <row r="743" spans="1:40">
      <c r="A743" t="s">
        <v>2180</v>
      </c>
      <c r="B743" t="s">
        <v>3688</v>
      </c>
      <c r="C743" s="6">
        <v>45718</v>
      </c>
      <c r="D743" t="s">
        <v>2181</v>
      </c>
      <c r="E743" s="6">
        <v>45719</v>
      </c>
      <c r="F743" t="s">
        <v>1674</v>
      </c>
      <c r="G743" t="s">
        <v>52</v>
      </c>
      <c r="H743" t="s">
        <v>52</v>
      </c>
      <c r="I743" t="s">
        <v>104</v>
      </c>
      <c r="J743" t="s">
        <v>104</v>
      </c>
      <c r="K743" t="s">
        <v>60</v>
      </c>
      <c r="L743" t="str">
        <f>IF(TRIM(K743)="","Unknown",PROPER(TRIM(K743)))</f>
        <v>South</v>
      </c>
      <c r="M743" t="s">
        <v>224</v>
      </c>
      <c r="N743" t="s">
        <v>225</v>
      </c>
      <c r="O743" t="s">
        <v>29</v>
      </c>
      <c r="P743" t="str">
        <f>IF(TRIM(O743)="","Unknown",PROPER(TRIM(O743)))</f>
        <v>Office Supplies</v>
      </c>
      <c r="Q743" t="s">
        <v>105</v>
      </c>
      <c r="R743" t="s">
        <v>2182</v>
      </c>
      <c r="S743" t="s">
        <v>32</v>
      </c>
      <c r="T743" t="str">
        <f>IF(TRIM(S743)="","Unknown",PROPER(TRIM(S743)))</f>
        <v>Second Class</v>
      </c>
      <c r="U743">
        <v>2</v>
      </c>
      <c r="V743">
        <v>4031.45</v>
      </c>
      <c r="W743">
        <v>0.25</v>
      </c>
      <c r="Y743">
        <v>0.25</v>
      </c>
      <c r="Z743">
        <v>6047.17</v>
      </c>
      <c r="AA743">
        <v>3368.79</v>
      </c>
      <c r="AB743">
        <v>2678.38</v>
      </c>
      <c r="AC743" t="s">
        <v>33</v>
      </c>
      <c r="AD743" t="s">
        <v>34</v>
      </c>
      <c r="AE743">
        <f>ROUND((U743*V743)-(U743*V743*Y743),2)</f>
        <v>6047.18</v>
      </c>
      <c r="AF743">
        <f>AE743-AA743</f>
        <v>2678.3900000000003</v>
      </c>
      <c r="AG743" s="7">
        <f>ROUND((AF743/AE743),4)</f>
        <v>0.44290000000000002</v>
      </c>
      <c r="AH743">
        <f>IF(AND(C743&lt;&gt;"",E743&lt;&gt;""),E743 - C743,"")</f>
        <v>1</v>
      </c>
      <c r="AI743" t="str">
        <f>IF(C743="","",TEXT(C743, "mmmm"))</f>
        <v>March</v>
      </c>
      <c r="AJ743">
        <f>IF(C743="","",YEAR(C743))</f>
        <v>2025</v>
      </c>
      <c r="AM743" t="str">
        <f>IF(AN743="","clean","")</f>
        <v>clean</v>
      </c>
    </row>
    <row r="744" spans="1:40">
      <c r="A744" t="s">
        <v>2183</v>
      </c>
      <c r="B744" t="s">
        <v>883</v>
      </c>
      <c r="D744" t="s">
        <v>2102</v>
      </c>
      <c r="E744" s="6">
        <v>45840</v>
      </c>
      <c r="F744" t="s">
        <v>2184</v>
      </c>
      <c r="G744" t="s">
        <v>153</v>
      </c>
      <c r="H744" t="s">
        <v>153</v>
      </c>
      <c r="I744" t="s">
        <v>104</v>
      </c>
      <c r="J744" t="s">
        <v>104</v>
      </c>
      <c r="K744" t="s">
        <v>60</v>
      </c>
      <c r="L744" t="str">
        <f>IF(TRIM(K744)="","Unknown",PROPER(TRIM(K744)))</f>
        <v>South</v>
      </c>
      <c r="M744" t="s">
        <v>224</v>
      </c>
      <c r="N744" t="s">
        <v>225</v>
      </c>
      <c r="O744" t="s">
        <v>83</v>
      </c>
      <c r="P744" t="str">
        <f>IF(TRIM(O744)="","Unknown",PROPER(TRIM(O744)))</f>
        <v>Technology</v>
      </c>
      <c r="Q744" t="s">
        <v>84</v>
      </c>
      <c r="R744" t="s">
        <v>2185</v>
      </c>
      <c r="S744" t="s">
        <v>55</v>
      </c>
      <c r="T744" t="str">
        <f>IF(TRIM(S744)="","Unknown",PROPER(TRIM(S744)))</f>
        <v>First Class</v>
      </c>
      <c r="U744">
        <v>6</v>
      </c>
      <c r="V744">
        <v>1099.49</v>
      </c>
      <c r="W744">
        <v>0.1</v>
      </c>
      <c r="Y744">
        <v>0.06</v>
      </c>
      <c r="Z744">
        <v>6212.38</v>
      </c>
      <c r="AA744">
        <v>4088.46</v>
      </c>
      <c r="AB744">
        <v>1848.79</v>
      </c>
      <c r="AC744" t="s">
        <v>33</v>
      </c>
      <c r="AD744" t="s">
        <v>34</v>
      </c>
      <c r="AE744">
        <f>ROUND((U744*V744)-(U744*V744*Y744),2)</f>
        <v>6201.12</v>
      </c>
      <c r="AF744">
        <f>AE744-AA744</f>
        <v>2112.66</v>
      </c>
      <c r="AG744" s="7">
        <f>ROUND((AF744/AE744),4)</f>
        <v>0.3407</v>
      </c>
      <c r="AH744" t="str">
        <f>IF(AND(C744&lt;&gt;"",E744&lt;&gt;""),E744 - C744,"")</f>
        <v/>
      </c>
      <c r="AI744" t="str">
        <f>IF(C744="","",TEXT(C744, "mmmm"))</f>
        <v/>
      </c>
      <c r="AJ744" t="str">
        <f>IF(C744="","",YEAR(C744))</f>
        <v/>
      </c>
      <c r="AM744" t="s">
        <v>4144</v>
      </c>
      <c r="AN744" t="s">
        <v>4126</v>
      </c>
    </row>
    <row r="745" spans="1:40">
      <c r="A745" t="s">
        <v>2189</v>
      </c>
      <c r="B745" t="s">
        <v>3860</v>
      </c>
      <c r="C745" s="6">
        <v>45758</v>
      </c>
      <c r="D745" t="s">
        <v>2190</v>
      </c>
      <c r="E745" s="6">
        <v>45758</v>
      </c>
      <c r="F745" t="s">
        <v>2191</v>
      </c>
      <c r="G745" t="s">
        <v>141</v>
      </c>
      <c r="H745" t="s">
        <v>141</v>
      </c>
      <c r="I745" t="s">
        <v>104</v>
      </c>
      <c r="J745" t="s">
        <v>104</v>
      </c>
      <c r="K745" t="s">
        <v>26</v>
      </c>
      <c r="L745" t="str">
        <f>IF(TRIM(K745)="","Unknown",PROPER(TRIM(K745)))</f>
        <v>North</v>
      </c>
      <c r="M745" t="s">
        <v>454</v>
      </c>
      <c r="N745" t="s">
        <v>455</v>
      </c>
      <c r="O745" t="s">
        <v>29</v>
      </c>
      <c r="P745" t="str">
        <f>IF(TRIM(O745)="","Unknown",PROPER(TRIM(O745)))</f>
        <v>Office Supplies</v>
      </c>
      <c r="Q745" t="s">
        <v>30</v>
      </c>
      <c r="R745" t="s">
        <v>2192</v>
      </c>
      <c r="S745" t="s">
        <v>65</v>
      </c>
      <c r="T745" t="str">
        <f>IF(TRIM(S745)="","Unknown",PROPER(TRIM(S745)))</f>
        <v>Standard Class</v>
      </c>
      <c r="U745">
        <v>1</v>
      </c>
      <c r="V745">
        <v>4458.49</v>
      </c>
      <c r="W745">
        <v>-7.0000000000000007E-2</v>
      </c>
      <c r="Y745">
        <v>0.2</v>
      </c>
      <c r="Z745">
        <v>3566.79</v>
      </c>
      <c r="AA745">
        <v>2083.41</v>
      </c>
      <c r="AB745">
        <v>1483.38</v>
      </c>
      <c r="AC745" t="s">
        <v>33</v>
      </c>
      <c r="AD745" t="s">
        <v>34</v>
      </c>
      <c r="AE745">
        <f>ROUND((U745*V745)-(U745*V745*Y745),2)</f>
        <v>3566.79</v>
      </c>
      <c r="AF745">
        <f>AE745-AA745</f>
        <v>1483.38</v>
      </c>
      <c r="AG745" s="7">
        <f>ROUND((AF745/AE745),4)</f>
        <v>0.41589999999999999</v>
      </c>
      <c r="AH745">
        <f>IF(AND(C745&lt;&gt;"",E745&lt;&gt;""),E745 - C745,"")</f>
        <v>0</v>
      </c>
      <c r="AI745" t="str">
        <f>IF(C745="","",TEXT(C745, "mmmm"))</f>
        <v>April</v>
      </c>
      <c r="AJ745">
        <f>IF(C745="","",YEAR(C745))</f>
        <v>2025</v>
      </c>
      <c r="AM745" t="s">
        <v>4145</v>
      </c>
      <c r="AN745" t="s">
        <v>3596</v>
      </c>
    </row>
    <row r="746" spans="1:40">
      <c r="A746" t="s">
        <v>2197</v>
      </c>
      <c r="B746" t="s">
        <v>3912</v>
      </c>
      <c r="C746" s="6">
        <v>45802</v>
      </c>
      <c r="D746" t="s">
        <v>1479</v>
      </c>
      <c r="E746" s="6">
        <v>45804</v>
      </c>
      <c r="F746" t="s">
        <v>2198</v>
      </c>
      <c r="G746" t="s">
        <v>141</v>
      </c>
      <c r="H746" t="s">
        <v>141</v>
      </c>
      <c r="I746" t="s">
        <v>25</v>
      </c>
      <c r="J746" t="s">
        <v>25</v>
      </c>
      <c r="K746" t="s">
        <v>41</v>
      </c>
      <c r="L746" t="str">
        <f>IF(TRIM(K746)="","Unknown",PROPER(TRIM(K746)))</f>
        <v>East</v>
      </c>
      <c r="M746" t="s">
        <v>42</v>
      </c>
      <c r="N746" t="s">
        <v>43</v>
      </c>
      <c r="O746" t="s">
        <v>44</v>
      </c>
      <c r="P746" t="str">
        <f>IF(TRIM(O746)="","Unknown",PROPER(TRIM(O746)))</f>
        <v>Furniture</v>
      </c>
      <c r="Q746" t="s">
        <v>63</v>
      </c>
      <c r="R746" t="s">
        <v>2199</v>
      </c>
      <c r="S746" t="s">
        <v>32</v>
      </c>
      <c r="T746" t="str">
        <f>IF(TRIM(S746)="","Unknown",PROPER(TRIM(S746)))</f>
        <v>Second Class</v>
      </c>
      <c r="U746">
        <v>7</v>
      </c>
      <c r="V746">
        <v>2123.2800000000002</v>
      </c>
      <c r="W746">
        <v>0.2</v>
      </c>
      <c r="Y746">
        <v>0.2</v>
      </c>
      <c r="Z746">
        <v>11890.37</v>
      </c>
      <c r="AA746">
        <v>9234.5300000000007</v>
      </c>
      <c r="AB746">
        <v>2655.84</v>
      </c>
      <c r="AC746" t="s">
        <v>119</v>
      </c>
      <c r="AD746" t="s">
        <v>120</v>
      </c>
      <c r="AE746">
        <f>ROUND((U746*V746)-(U746*V746*Y746),2)</f>
        <v>11890.37</v>
      </c>
      <c r="AF746">
        <f>AE746-AA746</f>
        <v>2655.84</v>
      </c>
      <c r="AG746" s="7">
        <f>ROUND((AF746/AE746),4)</f>
        <v>0.22339999999999999</v>
      </c>
      <c r="AH746">
        <f>IF(AND(C746&lt;&gt;"",E746&lt;&gt;""),E746 - C746,"")</f>
        <v>2</v>
      </c>
      <c r="AI746" t="str">
        <f>IF(C746="","",TEXT(C746, "mmmm"))</f>
        <v>May</v>
      </c>
      <c r="AJ746">
        <f>IF(C746="","",YEAR(C746))</f>
        <v>2025</v>
      </c>
      <c r="AM746" t="str">
        <f>IF(AN746="","clean","")</f>
        <v>clean</v>
      </c>
      <c r="AN746" t="s">
        <v>3595</v>
      </c>
    </row>
    <row r="747" spans="1:40">
      <c r="A747" t="s">
        <v>2200</v>
      </c>
      <c r="B747" t="s">
        <v>2098</v>
      </c>
      <c r="D747" t="s">
        <v>2201</v>
      </c>
      <c r="E747" s="6">
        <v>45773</v>
      </c>
      <c r="F747" t="s">
        <v>2202</v>
      </c>
      <c r="G747" t="s">
        <v>196</v>
      </c>
      <c r="H747" t="s">
        <v>196</v>
      </c>
      <c r="I747" t="s">
        <v>104</v>
      </c>
      <c r="J747" t="s">
        <v>104</v>
      </c>
      <c r="K747" t="s">
        <v>41</v>
      </c>
      <c r="L747" t="str">
        <f>IF(TRIM(K747)="","Unknown",PROPER(TRIM(K747)))</f>
        <v>East</v>
      </c>
      <c r="M747" t="s">
        <v>42</v>
      </c>
      <c r="N747" t="s">
        <v>43</v>
      </c>
      <c r="O747" t="s">
        <v>44</v>
      </c>
      <c r="P747" t="str">
        <f>IF(TRIM(O747)="","Unknown",PROPER(TRIM(O747)))</f>
        <v>Furniture</v>
      </c>
      <c r="Q747" t="s">
        <v>45</v>
      </c>
      <c r="R747" t="s">
        <v>2203</v>
      </c>
      <c r="S747" t="s">
        <v>55</v>
      </c>
      <c r="T747" t="str">
        <f>IF(TRIM(S747)="","Unknown",PROPER(TRIM(S747)))</f>
        <v>First Class</v>
      </c>
      <c r="U747">
        <v>7</v>
      </c>
      <c r="V747">
        <v>1604.13</v>
      </c>
      <c r="W747">
        <v>0.25</v>
      </c>
      <c r="Y747">
        <v>0.25</v>
      </c>
      <c r="Z747">
        <v>8421.68</v>
      </c>
      <c r="AA747">
        <v>6534.47</v>
      </c>
      <c r="AB747">
        <v>1887.21</v>
      </c>
      <c r="AC747" t="s">
        <v>33</v>
      </c>
      <c r="AD747" t="s">
        <v>76</v>
      </c>
      <c r="AE747">
        <f>ROUND((U747*V747)-(U747*V747*Y747),2)</f>
        <v>8421.68</v>
      </c>
      <c r="AF747">
        <f>AE747-AA747</f>
        <v>1887.21</v>
      </c>
      <c r="AG747" s="7">
        <f>ROUND((AF747/AE747),4)</f>
        <v>0.22409999999999999</v>
      </c>
      <c r="AH747" t="str">
        <f>IF(AND(C747&lt;&gt;"",E747&lt;&gt;""),E747 - C747,"")</f>
        <v/>
      </c>
      <c r="AI747" t="str">
        <f>IF(C747="","",TEXT(C747, "mmmm"))</f>
        <v/>
      </c>
      <c r="AJ747" t="str">
        <f>IF(C747="","",YEAR(C747))</f>
        <v/>
      </c>
      <c r="AM747" t="s">
        <v>4144</v>
      </c>
      <c r="AN747" t="s">
        <v>4127</v>
      </c>
    </row>
    <row r="748" spans="1:40">
      <c r="A748" t="s">
        <v>2204</v>
      </c>
      <c r="B748" t="s">
        <v>345</v>
      </c>
      <c r="C748" s="6">
        <v>45841</v>
      </c>
      <c r="D748" t="s">
        <v>2205</v>
      </c>
      <c r="E748" s="6">
        <v>45845</v>
      </c>
      <c r="F748" t="s">
        <v>2206</v>
      </c>
      <c r="G748" t="s">
        <v>136</v>
      </c>
      <c r="H748" t="s">
        <v>136</v>
      </c>
      <c r="I748" t="s">
        <v>25</v>
      </c>
      <c r="J748" t="s">
        <v>25</v>
      </c>
      <c r="K748" t="s">
        <v>26</v>
      </c>
      <c r="L748" t="str">
        <f>IF(TRIM(K748)="","Unknown",PROPER(TRIM(K748)))</f>
        <v>North</v>
      </c>
      <c r="M748" t="s">
        <v>163</v>
      </c>
      <c r="N748" t="s">
        <v>164</v>
      </c>
      <c r="O748" t="s">
        <v>44</v>
      </c>
      <c r="P748" t="str">
        <f>IF(TRIM(O748)="","Unknown",PROPER(TRIM(O748)))</f>
        <v>Furniture</v>
      </c>
      <c r="Q748" t="s">
        <v>45</v>
      </c>
      <c r="R748" t="s">
        <v>2207</v>
      </c>
      <c r="S748" t="s">
        <v>65</v>
      </c>
      <c r="T748" t="str">
        <f>IF(TRIM(S748)="","Unknown",PROPER(TRIM(S748)))</f>
        <v>Standard Class</v>
      </c>
      <c r="U748">
        <v>4</v>
      </c>
      <c r="V748">
        <v>4365.21</v>
      </c>
      <c r="W748">
        <v>0.2</v>
      </c>
      <c r="Y748">
        <v>0.2</v>
      </c>
      <c r="Z748">
        <v>13968.67</v>
      </c>
      <c r="AA748">
        <v>8857.58</v>
      </c>
      <c r="AB748">
        <v>5111.09</v>
      </c>
      <c r="AC748" t="s">
        <v>131</v>
      </c>
      <c r="AD748" t="s">
        <v>76</v>
      </c>
      <c r="AE748">
        <f>ROUND((U748*V748)-(U748*V748*Y748),2)</f>
        <v>13968.67</v>
      </c>
      <c r="AF748">
        <f>AE748-AA748</f>
        <v>5111.09</v>
      </c>
      <c r="AG748" s="7">
        <f>ROUND((AF748/AE748),4)</f>
        <v>0.3659</v>
      </c>
      <c r="AH748">
        <f>IF(AND(C748&lt;&gt;"",E748&lt;&gt;""),E748 - C748,"")</f>
        <v>4</v>
      </c>
      <c r="AI748" t="str">
        <f>IF(C748="","",TEXT(C748, "mmmm"))</f>
        <v>July</v>
      </c>
      <c r="AJ748">
        <f>IF(C748="","",YEAR(C748))</f>
        <v>2025</v>
      </c>
      <c r="AM748" t="str">
        <f>IF(AN748="","clean","")</f>
        <v>clean</v>
      </c>
      <c r="AN748" t="s">
        <v>3595</v>
      </c>
    </row>
    <row r="749" spans="1:40">
      <c r="A749" t="s">
        <v>2212</v>
      </c>
      <c r="B749" t="s">
        <v>3913</v>
      </c>
      <c r="C749" s="6">
        <v>45741</v>
      </c>
      <c r="D749" t="s">
        <v>2213</v>
      </c>
      <c r="E749" s="6">
        <v>45748</v>
      </c>
      <c r="F749" t="s">
        <v>2214</v>
      </c>
      <c r="G749" t="s">
        <v>196</v>
      </c>
      <c r="H749" t="s">
        <v>196</v>
      </c>
      <c r="I749" t="s">
        <v>25</v>
      </c>
      <c r="J749" t="s">
        <v>25</v>
      </c>
      <c r="K749" t="s">
        <v>26</v>
      </c>
      <c r="L749" t="str">
        <f>IF(TRIM(K749)="","Unknown",PROPER(TRIM(K749)))</f>
        <v>North</v>
      </c>
      <c r="M749" t="s">
        <v>146</v>
      </c>
      <c r="N749" t="s">
        <v>147</v>
      </c>
      <c r="O749" t="s">
        <v>29</v>
      </c>
      <c r="P749" t="str">
        <f>IF(TRIM(O749)="","Unknown",PROPER(TRIM(O749)))</f>
        <v>Office Supplies</v>
      </c>
      <c r="Q749" t="s">
        <v>105</v>
      </c>
      <c r="R749" t="s">
        <v>2215</v>
      </c>
      <c r="S749" t="s">
        <v>32</v>
      </c>
      <c r="T749" t="str">
        <f>IF(TRIM(S749)="","Unknown",PROPER(TRIM(S749)))</f>
        <v>Second Class</v>
      </c>
      <c r="U749">
        <v>6</v>
      </c>
      <c r="V749">
        <v>2192.11</v>
      </c>
      <c r="W749">
        <v>0.05</v>
      </c>
      <c r="Y749">
        <v>0.05</v>
      </c>
      <c r="Z749">
        <v>12495.03</v>
      </c>
      <c r="AA749">
        <v>9184.52</v>
      </c>
      <c r="AB749">
        <v>3310.51</v>
      </c>
      <c r="AC749" t="s">
        <v>33</v>
      </c>
      <c r="AD749" t="s">
        <v>34</v>
      </c>
      <c r="AE749">
        <f>ROUND((U749*V749)-(U749*V749*Y749),2)</f>
        <v>12495.03</v>
      </c>
      <c r="AF749">
        <f>AE749-AA749</f>
        <v>3310.51</v>
      </c>
      <c r="AG749" s="7">
        <f>ROUND((AF749/AE749),4)</f>
        <v>0.26490000000000002</v>
      </c>
      <c r="AH749">
        <f>IF(AND(C749&lt;&gt;"",E749&lt;&gt;""),E749 - C749,"")</f>
        <v>7</v>
      </c>
      <c r="AI749" t="str">
        <f>IF(C749="","",TEXT(C749, "mmmm"))</f>
        <v>March</v>
      </c>
      <c r="AJ749">
        <f>IF(C749="","",YEAR(C749))</f>
        <v>2025</v>
      </c>
      <c r="AM749" t="str">
        <f>IF(AN749="","clean","")</f>
        <v>clean</v>
      </c>
      <c r="AN749" t="s">
        <v>3595</v>
      </c>
    </row>
    <row r="750" spans="1:40">
      <c r="A750" t="s">
        <v>2216</v>
      </c>
      <c r="B750" t="s">
        <v>2217</v>
      </c>
      <c r="C750" s="6">
        <v>45716</v>
      </c>
      <c r="D750" t="s">
        <v>2038</v>
      </c>
      <c r="E750" s="6">
        <v>45724</v>
      </c>
      <c r="F750" t="s">
        <v>2218</v>
      </c>
      <c r="G750" t="s">
        <v>90</v>
      </c>
      <c r="H750" t="s">
        <v>90</v>
      </c>
      <c r="I750" t="s">
        <v>40</v>
      </c>
      <c r="J750" t="s">
        <v>40</v>
      </c>
      <c r="K750" t="s">
        <v>41</v>
      </c>
      <c r="L750" t="str">
        <f>IF(TRIM(K750)="","Unknown",PROPER(TRIM(K750)))</f>
        <v>East</v>
      </c>
      <c r="M750" t="s">
        <v>284</v>
      </c>
      <c r="N750" t="s">
        <v>285</v>
      </c>
      <c r="O750" t="s">
        <v>83</v>
      </c>
      <c r="P750" t="str">
        <f>IF(TRIM(O750)="","Unknown",PROPER(TRIM(O750)))</f>
        <v>Technology</v>
      </c>
      <c r="Q750" t="s">
        <v>207</v>
      </c>
      <c r="R750" t="s">
        <v>2219</v>
      </c>
      <c r="S750" t="s">
        <v>55</v>
      </c>
      <c r="T750" t="str">
        <f>IF(TRIM(S750)="","Unknown",PROPER(TRIM(S750)))</f>
        <v>First Class</v>
      </c>
      <c r="U750">
        <v>9</v>
      </c>
      <c r="V750">
        <v>3670.54</v>
      </c>
      <c r="W750">
        <v>0</v>
      </c>
      <c r="Y750">
        <v>0</v>
      </c>
      <c r="Z750">
        <v>33034.86</v>
      </c>
      <c r="AA750">
        <v>24539.83</v>
      </c>
      <c r="AB750">
        <v>8495.0300000000007</v>
      </c>
      <c r="AC750" t="s">
        <v>33</v>
      </c>
      <c r="AD750" t="s">
        <v>34</v>
      </c>
      <c r="AE750">
        <f>ROUND((U750*V750)-(U750*V750*Y750),2)</f>
        <v>33034.86</v>
      </c>
      <c r="AF750">
        <f>AE750-AA750</f>
        <v>8495.0299999999988</v>
      </c>
      <c r="AG750" s="7">
        <f>ROUND((AF750/AE750),4)</f>
        <v>0.25719999999999998</v>
      </c>
      <c r="AH750">
        <f>IF(AND(C750&lt;&gt;"",E750&lt;&gt;""),E750 - C750,"")</f>
        <v>8</v>
      </c>
      <c r="AI750" t="str">
        <f>IF(C750="","",TEXT(C750, "mmmm"))</f>
        <v>February</v>
      </c>
      <c r="AJ750">
        <f>IF(C750="","",YEAR(C750))</f>
        <v>2025</v>
      </c>
      <c r="AM750" t="str">
        <f>IF(AN750="","clean","")</f>
        <v>clean</v>
      </c>
      <c r="AN750" t="s">
        <v>3595</v>
      </c>
    </row>
    <row r="751" spans="1:40">
      <c r="A751" t="s">
        <v>2232</v>
      </c>
      <c r="B751" t="s">
        <v>3917</v>
      </c>
      <c r="C751" s="6">
        <v>45856</v>
      </c>
      <c r="D751" t="s">
        <v>2233</v>
      </c>
      <c r="E751" s="6">
        <v>45859</v>
      </c>
      <c r="F751" t="s">
        <v>2234</v>
      </c>
      <c r="G751" t="s">
        <v>136</v>
      </c>
      <c r="H751" t="s">
        <v>136</v>
      </c>
      <c r="I751" t="s">
        <v>25</v>
      </c>
      <c r="J751" t="s">
        <v>25</v>
      </c>
      <c r="K751" t="s">
        <v>41</v>
      </c>
      <c r="L751" t="str">
        <f>IF(TRIM(K751)="","Unknown",PROPER(TRIM(K751)))</f>
        <v>East</v>
      </c>
      <c r="M751" t="s">
        <v>42</v>
      </c>
      <c r="N751" t="s">
        <v>43</v>
      </c>
      <c r="O751" t="s">
        <v>44</v>
      </c>
      <c r="P751" t="str">
        <f>IF(TRIM(O751)="","Unknown",PROPER(TRIM(O751)))</f>
        <v>Furniture</v>
      </c>
      <c r="Q751" t="s">
        <v>45</v>
      </c>
      <c r="R751" t="s">
        <v>2235</v>
      </c>
      <c r="S751" t="s">
        <v>32</v>
      </c>
      <c r="T751" t="str">
        <f>IF(TRIM(S751)="","Unknown",PROPER(TRIM(S751)))</f>
        <v>Second Class</v>
      </c>
      <c r="U751">
        <v>4</v>
      </c>
      <c r="V751">
        <v>284.04000000000002</v>
      </c>
      <c r="Y751">
        <v>0.2</v>
      </c>
      <c r="Z751">
        <v>908.93</v>
      </c>
      <c r="AA751">
        <v>572.08000000000004</v>
      </c>
      <c r="AB751">
        <v>336.85</v>
      </c>
      <c r="AC751" t="s">
        <v>33</v>
      </c>
      <c r="AD751" t="s">
        <v>34</v>
      </c>
      <c r="AE751">
        <f>ROUND((U751*V751)-(U751*V751*Y751),2)</f>
        <v>908.93</v>
      </c>
      <c r="AF751">
        <f>AE751-AA751</f>
        <v>336.84999999999991</v>
      </c>
      <c r="AG751" s="7">
        <f>ROUND((AF751/AE751),4)</f>
        <v>0.37059999999999998</v>
      </c>
      <c r="AH751">
        <f>IF(AND(C751&lt;&gt;"",E751&lt;&gt;""),E751 - C751,"")</f>
        <v>3</v>
      </c>
      <c r="AI751" t="str">
        <f>IF(C751="","",TEXT(C751, "mmmm"))</f>
        <v>July</v>
      </c>
      <c r="AJ751">
        <f>IF(C751="","",YEAR(C751))</f>
        <v>2025</v>
      </c>
      <c r="AM751" t="s">
        <v>4145</v>
      </c>
      <c r="AN751" t="s">
        <v>3596</v>
      </c>
    </row>
    <row r="752" spans="1:40">
      <c r="A752" t="s">
        <v>2236</v>
      </c>
      <c r="B752" t="s">
        <v>3918</v>
      </c>
      <c r="C752" s="6">
        <v>45931</v>
      </c>
      <c r="D752" t="s">
        <v>2237</v>
      </c>
      <c r="E752" s="6">
        <v>45935</v>
      </c>
      <c r="F752" t="s">
        <v>2238</v>
      </c>
      <c r="G752" t="s">
        <v>103</v>
      </c>
      <c r="H752" t="s">
        <v>103</v>
      </c>
      <c r="I752" t="s">
        <v>110</v>
      </c>
      <c r="J752" t="s">
        <v>110</v>
      </c>
      <c r="K752" t="s">
        <v>26</v>
      </c>
      <c r="L752" t="str">
        <f>IF(TRIM(K752)="","Unknown",PROPER(TRIM(K752)))</f>
        <v>North</v>
      </c>
      <c r="M752" t="s">
        <v>294</v>
      </c>
      <c r="N752" t="s">
        <v>295</v>
      </c>
      <c r="O752" t="s">
        <v>29</v>
      </c>
      <c r="P752" t="str">
        <f>IF(TRIM(O752)="","Unknown",PROPER(TRIM(O752)))</f>
        <v>Office Supplies</v>
      </c>
      <c r="Q752" t="s">
        <v>30</v>
      </c>
      <c r="R752" t="s">
        <v>2239</v>
      </c>
      <c r="S752" t="s">
        <v>55</v>
      </c>
      <c r="T752" t="str">
        <f>IF(TRIM(S752)="","Unknown",PROPER(TRIM(S752)))</f>
        <v>First Class</v>
      </c>
      <c r="U752">
        <v>5</v>
      </c>
      <c r="V752">
        <v>3247.56</v>
      </c>
      <c r="W752">
        <v>0.15</v>
      </c>
      <c r="Y752">
        <v>0.15</v>
      </c>
      <c r="Z752">
        <v>13802.13</v>
      </c>
      <c r="AA752">
        <v>10075.93</v>
      </c>
      <c r="AB752">
        <v>3726.2</v>
      </c>
      <c r="AC752" t="s">
        <v>33</v>
      </c>
      <c r="AD752" t="s">
        <v>34</v>
      </c>
      <c r="AE752">
        <f>ROUND((U752*V752)-(U752*V752*Y752),2)</f>
        <v>13802.13</v>
      </c>
      <c r="AF752">
        <f>AE752-AA752</f>
        <v>3726.1999999999989</v>
      </c>
      <c r="AG752" s="7">
        <f>ROUND((AF752/AE752),4)</f>
        <v>0.27</v>
      </c>
      <c r="AH752">
        <f>IF(AND(C752&lt;&gt;"",E752&lt;&gt;""),E752 - C752,"")</f>
        <v>4</v>
      </c>
      <c r="AI752" t="str">
        <f>IF(C752="","",TEXT(C752, "mmmm"))</f>
        <v>October</v>
      </c>
      <c r="AJ752">
        <f>IF(C752="","",YEAR(C752))</f>
        <v>2025</v>
      </c>
      <c r="AM752" t="str">
        <f>IF(AN752="","clean","")</f>
        <v>clean</v>
      </c>
      <c r="AN752" t="s">
        <v>3595</v>
      </c>
    </row>
    <row r="753" spans="1:40">
      <c r="A753" t="s">
        <v>2247</v>
      </c>
      <c r="B753" t="s">
        <v>3920</v>
      </c>
      <c r="C753" s="6">
        <v>45807</v>
      </c>
      <c r="D753" t="s">
        <v>2248</v>
      </c>
      <c r="E753" s="6">
        <v>45809</v>
      </c>
      <c r="F753" t="s">
        <v>2249</v>
      </c>
      <c r="G753" t="s">
        <v>141</v>
      </c>
      <c r="H753" t="s">
        <v>141</v>
      </c>
      <c r="I753" t="s">
        <v>110</v>
      </c>
      <c r="J753" t="s">
        <v>110</v>
      </c>
      <c r="K753" t="s">
        <v>60</v>
      </c>
      <c r="L753" t="str">
        <f>IF(TRIM(K753)="","Unknown",PROPER(TRIM(K753)))</f>
        <v>South</v>
      </c>
      <c r="M753" t="s">
        <v>309</v>
      </c>
      <c r="N753" t="s">
        <v>310</v>
      </c>
      <c r="O753" t="s">
        <v>29</v>
      </c>
      <c r="P753" t="str">
        <f>IF(TRIM(O753)="","Unknown",PROPER(TRIM(O753)))</f>
        <v>Office Supplies</v>
      </c>
      <c r="Q753" t="s">
        <v>184</v>
      </c>
      <c r="R753" t="s">
        <v>2250</v>
      </c>
      <c r="S753" t="s">
        <v>65</v>
      </c>
      <c r="T753" t="str">
        <f>IF(TRIM(S753)="","Unknown",PROPER(TRIM(S753)))</f>
        <v>Standard Class</v>
      </c>
      <c r="U753">
        <v>9</v>
      </c>
      <c r="V753">
        <v>1994.51</v>
      </c>
      <c r="W753">
        <v>0.05</v>
      </c>
      <c r="Y753">
        <v>0.05</v>
      </c>
      <c r="Z753">
        <v>17053.060000000001</v>
      </c>
      <c r="AA753">
        <v>10742.38</v>
      </c>
      <c r="AB753">
        <v>6310.68</v>
      </c>
      <c r="AC753" t="s">
        <v>33</v>
      </c>
      <c r="AD753" t="s">
        <v>34</v>
      </c>
      <c r="AE753">
        <f>ROUND((U753*V753)-(U753*V753*Y753),2)</f>
        <v>17053.060000000001</v>
      </c>
      <c r="AF753">
        <f>AE753-AA753</f>
        <v>6310.6800000000021</v>
      </c>
      <c r="AG753" s="7">
        <f>ROUND((AF753/AE753),4)</f>
        <v>0.37009999999999998</v>
      </c>
      <c r="AH753">
        <f>IF(AND(C753&lt;&gt;"",E753&lt;&gt;""),E753 - C753,"")</f>
        <v>2</v>
      </c>
      <c r="AI753" t="str">
        <f>IF(C753="","",TEXT(C753, "mmmm"))</f>
        <v>May</v>
      </c>
      <c r="AJ753">
        <f>IF(C753="","",YEAR(C753))</f>
        <v>2025</v>
      </c>
      <c r="AM753" t="str">
        <f>IF(AN753="","clean","")</f>
        <v>clean</v>
      </c>
      <c r="AN753" t="s">
        <v>3595</v>
      </c>
    </row>
    <row r="754" spans="1:40">
      <c r="A754" t="s">
        <v>2255</v>
      </c>
      <c r="B754" t="s">
        <v>2237</v>
      </c>
      <c r="C754" s="6">
        <v>45935</v>
      </c>
      <c r="D754" t="s">
        <v>281</v>
      </c>
      <c r="E754" s="6">
        <v>45940</v>
      </c>
      <c r="F754" t="s">
        <v>2256</v>
      </c>
      <c r="G754" t="s">
        <v>136</v>
      </c>
      <c r="H754" t="s">
        <v>136</v>
      </c>
      <c r="I754" t="s">
        <v>104</v>
      </c>
      <c r="J754" t="s">
        <v>104</v>
      </c>
      <c r="K754" t="s">
        <v>41</v>
      </c>
      <c r="L754" t="str">
        <f>IF(TRIM(K754)="","Unknown",PROPER(TRIM(K754)))</f>
        <v>East</v>
      </c>
      <c r="M754" t="s">
        <v>201</v>
      </c>
      <c r="N754" t="s">
        <v>202</v>
      </c>
      <c r="O754" t="s">
        <v>44</v>
      </c>
      <c r="P754" t="str">
        <f>IF(TRIM(O754)="","Unknown",PROPER(TRIM(O754)))</f>
        <v>Furniture</v>
      </c>
      <c r="Q754" t="s">
        <v>45</v>
      </c>
      <c r="R754" t="s">
        <v>2257</v>
      </c>
      <c r="S754" t="s">
        <v>32</v>
      </c>
      <c r="T754" t="str">
        <f>IF(TRIM(S754)="","Unknown",PROPER(TRIM(S754)))</f>
        <v>Second Class</v>
      </c>
      <c r="U754">
        <v>9</v>
      </c>
      <c r="V754">
        <v>2089.14</v>
      </c>
      <c r="W754">
        <v>0.05</v>
      </c>
      <c r="Y754">
        <v>0.05</v>
      </c>
      <c r="Z754">
        <v>17862.150000000001</v>
      </c>
      <c r="AA754">
        <v>9892.2099999999991</v>
      </c>
      <c r="AB754">
        <v>7969.94</v>
      </c>
      <c r="AC754" t="s">
        <v>186</v>
      </c>
      <c r="AD754" t="s">
        <v>76</v>
      </c>
      <c r="AE754">
        <f>ROUND((U754*V754)-(U754*V754*Y754),2)</f>
        <v>17862.150000000001</v>
      </c>
      <c r="AF754">
        <f>AE754-AA754</f>
        <v>7969.9400000000023</v>
      </c>
      <c r="AG754" s="7">
        <f>ROUND((AF754/AE754),4)</f>
        <v>0.44619999999999999</v>
      </c>
      <c r="AH754">
        <f>IF(AND(C754&lt;&gt;"",E754&lt;&gt;""),E754 - C754,"")</f>
        <v>5</v>
      </c>
      <c r="AI754" t="str">
        <f>IF(C754="","",TEXT(C754, "mmmm"))</f>
        <v>October</v>
      </c>
      <c r="AJ754">
        <f>IF(C754="","",YEAR(C754))</f>
        <v>2025</v>
      </c>
      <c r="AM754" t="str">
        <f>IF(AN754="","clean","")</f>
        <v>clean</v>
      </c>
      <c r="AN754" t="s">
        <v>3595</v>
      </c>
    </row>
    <row r="755" spans="1:40">
      <c r="A755" t="s">
        <v>2261</v>
      </c>
      <c r="B755" t="s">
        <v>3922</v>
      </c>
      <c r="C755" s="6">
        <v>45774</v>
      </c>
      <c r="D755" t="s">
        <v>2262</v>
      </c>
      <c r="E755" s="6">
        <v>45782</v>
      </c>
      <c r="F755" t="s">
        <v>2263</v>
      </c>
      <c r="G755" t="s">
        <v>169</v>
      </c>
      <c r="H755" t="s">
        <v>169</v>
      </c>
      <c r="I755" t="s">
        <v>110</v>
      </c>
      <c r="J755" t="s">
        <v>110</v>
      </c>
      <c r="K755" t="s">
        <v>41</v>
      </c>
      <c r="L755" t="str">
        <f>IF(TRIM(K755)="","Unknown",PROPER(TRIM(K755)))</f>
        <v>East</v>
      </c>
      <c r="M755" t="s">
        <v>174</v>
      </c>
      <c r="N755" t="s">
        <v>175</v>
      </c>
      <c r="O755" t="s">
        <v>83</v>
      </c>
      <c r="P755" t="str">
        <f>IF(TRIM(O755)="","Unknown",PROPER(TRIM(O755)))</f>
        <v>Technology</v>
      </c>
      <c r="Q755" t="s">
        <v>84</v>
      </c>
      <c r="R755" t="s">
        <v>2264</v>
      </c>
      <c r="S755" t="s">
        <v>32</v>
      </c>
      <c r="T755" t="str">
        <f>IF(TRIM(S755)="","Unknown",PROPER(TRIM(S755)))</f>
        <v>Second Class</v>
      </c>
      <c r="U755">
        <v>4</v>
      </c>
      <c r="V755">
        <v>3963.39</v>
      </c>
      <c r="W755">
        <v>0.1</v>
      </c>
      <c r="Y755">
        <v>0.1</v>
      </c>
      <c r="Z755">
        <v>14268.2</v>
      </c>
      <c r="AA755">
        <v>11705.3</v>
      </c>
      <c r="AB755">
        <v>2562.9</v>
      </c>
      <c r="AC755" t="s">
        <v>131</v>
      </c>
      <c r="AD755" t="s">
        <v>120</v>
      </c>
      <c r="AE755">
        <f>ROUND((U755*V755)-(U755*V755*Y755),2)</f>
        <v>14268.2</v>
      </c>
      <c r="AF755">
        <f>AE755-AA755</f>
        <v>2562.9000000000015</v>
      </c>
      <c r="AG755" s="7">
        <f>ROUND((AF755/AE755),4)</f>
        <v>0.17960000000000001</v>
      </c>
      <c r="AH755">
        <f>IF(AND(C755&lt;&gt;"",E755&lt;&gt;""),E755 - C755,"")</f>
        <v>8</v>
      </c>
      <c r="AI755" t="str">
        <f>IF(C755="","",TEXT(C755, "mmmm"))</f>
        <v>April</v>
      </c>
      <c r="AJ755">
        <f>IF(C755="","",YEAR(C755))</f>
        <v>2025</v>
      </c>
      <c r="AM755" t="str">
        <f>IF(AN755="","clean","")</f>
        <v>clean</v>
      </c>
      <c r="AN755" t="s">
        <v>3595</v>
      </c>
    </row>
    <row r="756" spans="1:40">
      <c r="A756" t="s">
        <v>2269</v>
      </c>
      <c r="B756" t="s">
        <v>3924</v>
      </c>
      <c r="C756" s="6">
        <v>45757</v>
      </c>
      <c r="D756" t="s">
        <v>2270</v>
      </c>
      <c r="E756" s="6">
        <v>45764</v>
      </c>
      <c r="F756" t="s">
        <v>2271</v>
      </c>
      <c r="G756" t="s">
        <v>70</v>
      </c>
      <c r="H756" t="s">
        <v>70</v>
      </c>
      <c r="I756" t="s">
        <v>40</v>
      </c>
      <c r="J756" t="s">
        <v>40</v>
      </c>
      <c r="K756" t="s">
        <v>71</v>
      </c>
      <c r="L756" t="str">
        <f>IF(TRIM(K756)="","Unknown",PROPER(TRIM(K756)))</f>
        <v>West</v>
      </c>
      <c r="M756" t="s">
        <v>27</v>
      </c>
      <c r="N756" t="s">
        <v>129</v>
      </c>
      <c r="O756" t="s">
        <v>44</v>
      </c>
      <c r="P756" t="str">
        <f>IF(TRIM(O756)="","Unknown",PROPER(TRIM(O756)))</f>
        <v>Furniture</v>
      </c>
      <c r="Q756" t="s">
        <v>74</v>
      </c>
      <c r="R756" t="s">
        <v>2272</v>
      </c>
      <c r="S756" t="s">
        <v>55</v>
      </c>
      <c r="T756" t="str">
        <f>IF(TRIM(S756)="","Unknown",PROPER(TRIM(S756)))</f>
        <v>First Class</v>
      </c>
      <c r="U756">
        <v>7</v>
      </c>
      <c r="V756">
        <v>3788.9</v>
      </c>
      <c r="W756">
        <v>0.25</v>
      </c>
      <c r="Y756">
        <v>0.25</v>
      </c>
      <c r="Z756">
        <v>19891.72</v>
      </c>
      <c r="AA756">
        <v>12295.76</v>
      </c>
      <c r="AB756">
        <v>7595.96</v>
      </c>
      <c r="AC756" t="s">
        <v>186</v>
      </c>
      <c r="AD756" t="s">
        <v>76</v>
      </c>
      <c r="AE756">
        <f>ROUND((U756*V756)-(U756*V756*Y756),2)</f>
        <v>19891.73</v>
      </c>
      <c r="AF756">
        <f>AE756-AA756</f>
        <v>7595.9699999999993</v>
      </c>
      <c r="AG756" s="7">
        <f>ROUND((AF756/AE756),4)</f>
        <v>0.38190000000000002</v>
      </c>
      <c r="AH756">
        <f>IF(AND(C756&lt;&gt;"",E756&lt;&gt;""),E756 - C756,"")</f>
        <v>7</v>
      </c>
      <c r="AI756" t="str">
        <f>IF(C756="","",TEXT(C756, "mmmm"))</f>
        <v>April</v>
      </c>
      <c r="AJ756">
        <f>IF(C756="","",YEAR(C756))</f>
        <v>2025</v>
      </c>
      <c r="AM756" t="str">
        <f>IF(AN756="","clean","")</f>
        <v>clean</v>
      </c>
    </row>
    <row r="757" spans="1:40">
      <c r="A757" t="s">
        <v>2281</v>
      </c>
      <c r="B757" t="s">
        <v>1072</v>
      </c>
      <c r="C757" s="6">
        <v>45842</v>
      </c>
      <c r="D757" t="s">
        <v>2119</v>
      </c>
      <c r="E757" s="6">
        <v>45842</v>
      </c>
      <c r="F757" t="s">
        <v>2282</v>
      </c>
      <c r="G757" t="s">
        <v>2283</v>
      </c>
      <c r="H757" t="s">
        <v>2283</v>
      </c>
      <c r="I757" t="s">
        <v>40</v>
      </c>
      <c r="J757" t="s">
        <v>40</v>
      </c>
      <c r="K757" t="s">
        <v>60</v>
      </c>
      <c r="L757" t="str">
        <f>IF(TRIM(K757)="","Unknown",PROPER(TRIM(K757)))</f>
        <v>South</v>
      </c>
      <c r="M757" t="s">
        <v>309</v>
      </c>
      <c r="N757" t="s">
        <v>310</v>
      </c>
      <c r="O757" t="s">
        <v>44</v>
      </c>
      <c r="P757" t="str">
        <f>IF(TRIM(O757)="","Unknown",PROPER(TRIM(O757)))</f>
        <v>Furniture</v>
      </c>
      <c r="Q757" t="s">
        <v>74</v>
      </c>
      <c r="R757" t="s">
        <v>2284</v>
      </c>
      <c r="S757" t="s">
        <v>65</v>
      </c>
      <c r="T757" t="str">
        <f>IF(TRIM(S757)="","Unknown",PROPER(TRIM(S757)))</f>
        <v>Standard Class</v>
      </c>
      <c r="U757">
        <v>3</v>
      </c>
      <c r="V757">
        <v>705.35</v>
      </c>
      <c r="W757">
        <v>0.1</v>
      </c>
      <c r="Y757">
        <v>0.1</v>
      </c>
      <c r="Z757">
        <v>1904.45</v>
      </c>
      <c r="AA757">
        <v>1316.54</v>
      </c>
      <c r="AB757">
        <v>587.91</v>
      </c>
      <c r="AC757" t="s">
        <v>33</v>
      </c>
      <c r="AD757" t="s">
        <v>76</v>
      </c>
      <c r="AE757">
        <f>ROUND((U757*V757)-(U757*V757*Y757),2)</f>
        <v>1904.45</v>
      </c>
      <c r="AF757">
        <f>AE757-AA757</f>
        <v>587.91000000000008</v>
      </c>
      <c r="AG757" s="7">
        <f>ROUND((AF757/AE757),4)</f>
        <v>0.30869999999999997</v>
      </c>
      <c r="AH757">
        <f>IF(AND(C757&lt;&gt;"",E757&lt;&gt;""),E757 - C757,"")</f>
        <v>0</v>
      </c>
      <c r="AI757" t="str">
        <f>IF(C757="","",TEXT(C757, "mmmm"))</f>
        <v>July</v>
      </c>
      <c r="AJ757">
        <f>IF(C757="","",YEAR(C757))</f>
        <v>2025</v>
      </c>
      <c r="AM757" t="str">
        <f>IF(AN757="","clean","")</f>
        <v>clean</v>
      </c>
      <c r="AN757" t="s">
        <v>3595</v>
      </c>
    </row>
    <row r="758" spans="1:40">
      <c r="A758" t="s">
        <v>2288</v>
      </c>
      <c r="B758" t="s">
        <v>3926</v>
      </c>
      <c r="C758" s="6">
        <v>45846</v>
      </c>
      <c r="D758" t="s">
        <v>2289</v>
      </c>
      <c r="E758" s="6">
        <v>45847</v>
      </c>
      <c r="F758" t="s">
        <v>2290</v>
      </c>
      <c r="G758" t="s">
        <v>158</v>
      </c>
      <c r="H758" t="s">
        <v>158</v>
      </c>
      <c r="I758" t="s">
        <v>25</v>
      </c>
      <c r="J758" t="s">
        <v>25</v>
      </c>
      <c r="K758" t="s">
        <v>71</v>
      </c>
      <c r="L758" t="str">
        <f>IF(TRIM(K758)="","Unknown",PROPER(TRIM(K758)))</f>
        <v>West</v>
      </c>
      <c r="M758" t="s">
        <v>72</v>
      </c>
      <c r="N758" t="s">
        <v>73</v>
      </c>
      <c r="O758" t="s">
        <v>83</v>
      </c>
      <c r="P758" t="str">
        <f>IF(TRIM(O758)="","Unknown",PROPER(TRIM(O758)))</f>
        <v>Technology</v>
      </c>
      <c r="Q758" t="s">
        <v>91</v>
      </c>
      <c r="R758" t="s">
        <v>2291</v>
      </c>
      <c r="S758" t="s">
        <v>47</v>
      </c>
      <c r="T758" t="str">
        <f>IF(TRIM(S758)="","Unknown",PROPER(TRIM(S758)))</f>
        <v>Same Day</v>
      </c>
      <c r="U758">
        <v>3</v>
      </c>
      <c r="V758">
        <v>2880.56</v>
      </c>
      <c r="W758">
        <v>0</v>
      </c>
      <c r="Y758">
        <v>0</v>
      </c>
      <c r="Z758">
        <v>8641.68</v>
      </c>
      <c r="AA758">
        <v>5747.09</v>
      </c>
      <c r="AB758">
        <v>2894.59</v>
      </c>
      <c r="AC758" t="s">
        <v>33</v>
      </c>
      <c r="AD758" t="s">
        <v>120</v>
      </c>
      <c r="AE758">
        <f>ROUND((U758*V758)-(U758*V758*Y758),2)</f>
        <v>8641.68</v>
      </c>
      <c r="AF758">
        <f>AE758-AA758</f>
        <v>2894.59</v>
      </c>
      <c r="AG758" s="7">
        <f>ROUND((AF758/AE758),4)</f>
        <v>0.33500000000000002</v>
      </c>
      <c r="AH758">
        <f>IF(AND(C758&lt;&gt;"",E758&lt;&gt;""),E758 - C758,"")</f>
        <v>1</v>
      </c>
      <c r="AI758" t="str">
        <f>IF(C758="","",TEXT(C758, "mmmm"))</f>
        <v>July</v>
      </c>
      <c r="AJ758">
        <f>IF(C758="","",YEAR(C758))</f>
        <v>2025</v>
      </c>
      <c r="AM758" t="str">
        <f>IF(AN758="","clean","")</f>
        <v>clean</v>
      </c>
      <c r="AN758" t="s">
        <v>3595</v>
      </c>
    </row>
    <row r="759" spans="1:40">
      <c r="A759" t="s">
        <v>2301</v>
      </c>
      <c r="B759" t="s">
        <v>3928</v>
      </c>
      <c r="C759" s="6">
        <v>45686</v>
      </c>
      <c r="D759" t="s">
        <v>1813</v>
      </c>
      <c r="E759" s="6">
        <v>45693</v>
      </c>
      <c r="F759" t="s">
        <v>2302</v>
      </c>
      <c r="G759" t="s">
        <v>70</v>
      </c>
      <c r="H759" t="s">
        <v>70</v>
      </c>
      <c r="I759" t="s">
        <v>25</v>
      </c>
      <c r="J759" t="s">
        <v>25</v>
      </c>
      <c r="K759" t="s">
        <v>60</v>
      </c>
      <c r="L759" t="str">
        <f>IF(TRIM(K759)="","Unknown",PROPER(TRIM(K759)))</f>
        <v>South</v>
      </c>
      <c r="M759" t="s">
        <v>224</v>
      </c>
      <c r="N759" t="s">
        <v>225</v>
      </c>
      <c r="O759" t="s">
        <v>29</v>
      </c>
      <c r="P759" t="str">
        <f>IF(TRIM(O759)="","Unknown",PROPER(TRIM(O759)))</f>
        <v>Office Supplies</v>
      </c>
      <c r="Q759" t="s">
        <v>53</v>
      </c>
      <c r="R759" t="s">
        <v>2303</v>
      </c>
      <c r="S759" t="s">
        <v>47</v>
      </c>
      <c r="T759" t="str">
        <f>IF(TRIM(S759)="","Unknown",PROPER(TRIM(S759)))</f>
        <v>Same Day</v>
      </c>
      <c r="U759">
        <v>8</v>
      </c>
      <c r="V759">
        <v>3643.62</v>
      </c>
      <c r="W759">
        <v>0.25</v>
      </c>
      <c r="Y759">
        <v>0.25</v>
      </c>
      <c r="Z759">
        <v>21861.72</v>
      </c>
      <c r="AA759">
        <v>18464.34</v>
      </c>
      <c r="AB759">
        <v>3397.38</v>
      </c>
      <c r="AC759" t="s">
        <v>33</v>
      </c>
      <c r="AD759" t="s">
        <v>76</v>
      </c>
      <c r="AE759">
        <f>ROUND((U759*V759)-(U759*V759*Y759),2)</f>
        <v>21861.72</v>
      </c>
      <c r="AF759">
        <f>AE759-AA759</f>
        <v>3397.380000000001</v>
      </c>
      <c r="AG759" s="7">
        <f>ROUND((AF759/AE759),4)</f>
        <v>0.15540000000000001</v>
      </c>
      <c r="AH759">
        <f>IF(AND(C759&lt;&gt;"",E759&lt;&gt;""),E759 - C759,"")</f>
        <v>7</v>
      </c>
      <c r="AI759" t="str">
        <f>IF(C759="","",TEXT(C759, "mmmm"))</f>
        <v>January</v>
      </c>
      <c r="AJ759">
        <f>IF(C759="","",YEAR(C759))</f>
        <v>2025</v>
      </c>
      <c r="AM759" t="str">
        <f>IF(AN759="","clean","")</f>
        <v>clean</v>
      </c>
      <c r="AN759" t="s">
        <v>3595</v>
      </c>
    </row>
    <row r="760" spans="1:40">
      <c r="A760" t="s">
        <v>2308</v>
      </c>
      <c r="B760" t="s">
        <v>3930</v>
      </c>
      <c r="C760" s="6">
        <v>45883</v>
      </c>
      <c r="D760" t="s">
        <v>1313</v>
      </c>
      <c r="E760" s="6">
        <v>45891</v>
      </c>
      <c r="F760" t="s">
        <v>2309</v>
      </c>
      <c r="G760" t="s">
        <v>59</v>
      </c>
      <c r="H760" t="s">
        <v>59</v>
      </c>
      <c r="I760" t="s">
        <v>104</v>
      </c>
      <c r="J760" t="s">
        <v>104</v>
      </c>
      <c r="K760" t="s">
        <v>71</v>
      </c>
      <c r="L760" t="str">
        <f>IF(TRIM(K760)="","Unknown",PROPER(TRIM(K760)))</f>
        <v>West</v>
      </c>
      <c r="M760" t="s">
        <v>218</v>
      </c>
      <c r="N760" t="s">
        <v>219</v>
      </c>
      <c r="O760" t="s">
        <v>2310</v>
      </c>
      <c r="P760" t="str">
        <f>IF(TRIM(O760)="","Unknown",PROPER(TRIM(O760)))</f>
        <v>Office Supplies</v>
      </c>
      <c r="Q760" t="s">
        <v>30</v>
      </c>
      <c r="R760" t="s">
        <v>2311</v>
      </c>
      <c r="S760" t="s">
        <v>55</v>
      </c>
      <c r="T760" t="str">
        <f>IF(TRIM(S760)="","Unknown",PROPER(TRIM(S760)))</f>
        <v>First Class</v>
      </c>
      <c r="U760">
        <v>5</v>
      </c>
      <c r="V760">
        <v>2567.37</v>
      </c>
      <c r="W760">
        <v>0.15</v>
      </c>
      <c r="Y760">
        <v>0.15</v>
      </c>
      <c r="Z760">
        <v>10911.32</v>
      </c>
      <c r="AA760">
        <v>6966.44</v>
      </c>
      <c r="AB760">
        <v>4395.17</v>
      </c>
      <c r="AC760" t="s">
        <v>33</v>
      </c>
      <c r="AD760" t="s">
        <v>34</v>
      </c>
      <c r="AE760">
        <f>ROUND((U760*V760)-(U760*V760*Y760),2)</f>
        <v>10911.32</v>
      </c>
      <c r="AF760">
        <f>AE760-AA760</f>
        <v>3944.88</v>
      </c>
      <c r="AG760" s="7">
        <f>ROUND((AF760/AE760),4)</f>
        <v>0.36149999999999999</v>
      </c>
      <c r="AH760">
        <f>IF(AND(C760&lt;&gt;"",E760&lt;&gt;""),E760 - C760,"")</f>
        <v>8</v>
      </c>
      <c r="AI760" t="str">
        <f>IF(C760="","",TEXT(C760, "mmmm"))</f>
        <v>August</v>
      </c>
      <c r="AJ760">
        <f>IF(C760="","",YEAR(C760))</f>
        <v>2025</v>
      </c>
      <c r="AM760" t="str">
        <f>IF(AN760="","clean","")</f>
        <v>clean</v>
      </c>
      <c r="AN760" t="s">
        <v>3595</v>
      </c>
    </row>
    <row r="761" spans="1:40">
      <c r="A761" t="s">
        <v>2320</v>
      </c>
      <c r="B761" t="s">
        <v>3931</v>
      </c>
      <c r="C761" s="6">
        <v>45941</v>
      </c>
      <c r="D761" t="s">
        <v>2321</v>
      </c>
      <c r="E761" s="6">
        <v>45943</v>
      </c>
      <c r="F761" t="s">
        <v>2322</v>
      </c>
      <c r="G761" t="s">
        <v>39</v>
      </c>
      <c r="H761" t="s">
        <v>39</v>
      </c>
      <c r="I761" t="s">
        <v>104</v>
      </c>
      <c r="J761" t="s">
        <v>104</v>
      </c>
      <c r="K761" t="s">
        <v>60</v>
      </c>
      <c r="L761" t="str">
        <f>IF(TRIM(K761)="","Unknown",PROPER(TRIM(K761)))</f>
        <v>South</v>
      </c>
      <c r="M761" t="s">
        <v>61</v>
      </c>
      <c r="N761" t="s">
        <v>62</v>
      </c>
      <c r="O761" t="s">
        <v>29</v>
      </c>
      <c r="P761" t="str">
        <f>IF(TRIM(O761)="","Unknown",PROPER(TRIM(O761)))</f>
        <v>Office Supplies</v>
      </c>
      <c r="Q761" t="s">
        <v>53</v>
      </c>
      <c r="R761" t="s">
        <v>2323</v>
      </c>
      <c r="S761" t="s">
        <v>32</v>
      </c>
      <c r="T761" t="str">
        <f>IF(TRIM(S761)="","Unknown",PROPER(TRIM(S761)))</f>
        <v>Second Class</v>
      </c>
      <c r="U761">
        <v>3</v>
      </c>
      <c r="V761">
        <v>3804.27</v>
      </c>
      <c r="W761">
        <v>0.1</v>
      </c>
      <c r="Y761">
        <v>0.1</v>
      </c>
      <c r="Z761">
        <v>10271.530000000001</v>
      </c>
      <c r="AA761">
        <v>8272.24</v>
      </c>
      <c r="AB761">
        <v>1999.29</v>
      </c>
      <c r="AC761" t="s">
        <v>33</v>
      </c>
      <c r="AD761" t="s">
        <v>34</v>
      </c>
      <c r="AE761">
        <f>ROUND((U761*V761)-(U761*V761*Y761),2)</f>
        <v>10271.530000000001</v>
      </c>
      <c r="AF761">
        <f>AE761-AA761</f>
        <v>1999.2900000000009</v>
      </c>
      <c r="AG761" s="7">
        <f>ROUND((AF761/AE761),4)</f>
        <v>0.1946</v>
      </c>
      <c r="AH761">
        <f>IF(AND(C761&lt;&gt;"",E761&lt;&gt;""),E761 - C761,"")</f>
        <v>2</v>
      </c>
      <c r="AI761" t="str">
        <f>IF(C761="","",TEXT(C761, "mmmm"))</f>
        <v>October</v>
      </c>
      <c r="AJ761">
        <f>IF(C761="","",YEAR(C761))</f>
        <v>2025</v>
      </c>
      <c r="AM761" t="str">
        <f>IF(AN761="","clean","")</f>
        <v>clean</v>
      </c>
      <c r="AN761" t="s">
        <v>3595</v>
      </c>
    </row>
    <row r="762" spans="1:40">
      <c r="A762" t="s">
        <v>2320</v>
      </c>
      <c r="B762" t="s">
        <v>3931</v>
      </c>
      <c r="C762" s="6">
        <v>45941</v>
      </c>
      <c r="D762" t="s">
        <v>2321</v>
      </c>
      <c r="E762" s="6">
        <v>45943</v>
      </c>
      <c r="F762" t="s">
        <v>2322</v>
      </c>
      <c r="G762" t="s">
        <v>39</v>
      </c>
      <c r="H762" t="s">
        <v>39</v>
      </c>
      <c r="I762" t="s">
        <v>104</v>
      </c>
      <c r="J762" t="s">
        <v>104</v>
      </c>
      <c r="K762" t="s">
        <v>60</v>
      </c>
      <c r="L762" t="str">
        <f>IF(TRIM(K762)="","Unknown",PROPER(TRIM(K762)))</f>
        <v>South</v>
      </c>
      <c r="M762" t="s">
        <v>61</v>
      </c>
      <c r="N762" t="s">
        <v>62</v>
      </c>
      <c r="O762" t="s">
        <v>29</v>
      </c>
      <c r="P762" t="str">
        <f>IF(TRIM(O762)="","Unknown",PROPER(TRIM(O762)))</f>
        <v>Office Supplies</v>
      </c>
      <c r="Q762" t="s">
        <v>53</v>
      </c>
      <c r="R762" t="s">
        <v>2323</v>
      </c>
      <c r="S762" t="s">
        <v>32</v>
      </c>
      <c r="T762" t="str">
        <f>IF(TRIM(S762)="","Unknown",PROPER(TRIM(S762)))</f>
        <v>Second Class</v>
      </c>
      <c r="U762">
        <v>3</v>
      </c>
      <c r="V762">
        <v>3804.27</v>
      </c>
      <c r="W762">
        <v>0.1</v>
      </c>
      <c r="Y762">
        <v>0.1</v>
      </c>
      <c r="Z762">
        <v>10271.530000000001</v>
      </c>
      <c r="AA762">
        <v>8272.24</v>
      </c>
      <c r="AB762">
        <v>1999.29</v>
      </c>
      <c r="AC762" t="s">
        <v>33</v>
      </c>
      <c r="AD762" t="s">
        <v>34</v>
      </c>
      <c r="AE762">
        <f>ROUND((U762*V762)-(U762*V762*Y762),2)</f>
        <v>10271.530000000001</v>
      </c>
      <c r="AF762">
        <f>AE762-AA762</f>
        <v>1999.2900000000009</v>
      </c>
      <c r="AG762" s="7">
        <f>ROUND((AF762/AE762),4)</f>
        <v>0.1946</v>
      </c>
      <c r="AH762">
        <f>IF(AND(C762&lt;&gt;"",E762&lt;&gt;""),E762 - C762,"")</f>
        <v>2</v>
      </c>
      <c r="AI762" t="str">
        <f>IF(C762="","",TEXT(C762, "mmmm"))</f>
        <v>October</v>
      </c>
      <c r="AJ762">
        <f>IF(C762="","",YEAR(C762))</f>
        <v>2025</v>
      </c>
      <c r="AL762" t="s">
        <v>4152</v>
      </c>
      <c r="AM762" t="s">
        <v>4144</v>
      </c>
      <c r="AN762" t="s">
        <v>4149</v>
      </c>
    </row>
    <row r="763" spans="1:40">
      <c r="A763" t="s">
        <v>2332</v>
      </c>
      <c r="B763" t="s">
        <v>3615</v>
      </c>
      <c r="D763" t="s">
        <v>313</v>
      </c>
      <c r="E763" s="6">
        <v>45687</v>
      </c>
      <c r="F763" t="s">
        <v>2333</v>
      </c>
      <c r="G763" t="s">
        <v>70</v>
      </c>
      <c r="H763" t="s">
        <v>70</v>
      </c>
      <c r="I763" t="s">
        <v>104</v>
      </c>
      <c r="J763" t="s">
        <v>104</v>
      </c>
      <c r="K763" t="s">
        <v>41</v>
      </c>
      <c r="L763" t="str">
        <f>IF(TRIM(K763)="","Unknown",PROPER(TRIM(K763)))</f>
        <v>East</v>
      </c>
      <c r="M763" t="s">
        <v>116</v>
      </c>
      <c r="N763" t="s">
        <v>117</v>
      </c>
      <c r="O763" t="s">
        <v>83</v>
      </c>
      <c r="P763" t="str">
        <f>IF(TRIM(O763)="","Unknown",PROPER(TRIM(O763)))</f>
        <v>Technology</v>
      </c>
      <c r="Q763" t="s">
        <v>91</v>
      </c>
      <c r="R763" t="s">
        <v>2334</v>
      </c>
      <c r="S763" t="s">
        <v>65</v>
      </c>
      <c r="T763" t="str">
        <f>IF(TRIM(S763)="","Unknown",PROPER(TRIM(S763)))</f>
        <v>Standard Class</v>
      </c>
      <c r="U763">
        <v>8</v>
      </c>
      <c r="V763">
        <v>312.52999999999997</v>
      </c>
      <c r="W763" t="s">
        <v>607</v>
      </c>
      <c r="Y763">
        <v>0.25</v>
      </c>
      <c r="Z763">
        <v>1875.18</v>
      </c>
      <c r="AA763">
        <v>1579.17</v>
      </c>
      <c r="AB763">
        <v>296.01</v>
      </c>
      <c r="AC763" t="s">
        <v>33</v>
      </c>
      <c r="AD763" t="s">
        <v>34</v>
      </c>
      <c r="AE763">
        <f>ROUND((U763*V763)-(U763*V763*Y763),2)</f>
        <v>1875.18</v>
      </c>
      <c r="AF763">
        <f>AE763-AA763</f>
        <v>296.01</v>
      </c>
      <c r="AG763" s="7">
        <f>ROUND((AF763/AE763),4)</f>
        <v>0.15790000000000001</v>
      </c>
      <c r="AH763" t="str">
        <f>IF(AND(C763&lt;&gt;"",E763&lt;&gt;""),E763 - C763,"")</f>
        <v/>
      </c>
      <c r="AI763" t="str">
        <f>IF(C763="","",TEXT(C763, "mmmm"))</f>
        <v/>
      </c>
      <c r="AJ763" t="str">
        <f>IF(C763="","",YEAR(C763))</f>
        <v/>
      </c>
      <c r="AM763" t="s">
        <v>4144</v>
      </c>
      <c r="AN763" t="s">
        <v>4126</v>
      </c>
    </row>
    <row r="764" spans="1:40">
      <c r="A764" t="s">
        <v>2335</v>
      </c>
      <c r="B764" t="s">
        <v>3932</v>
      </c>
      <c r="C764" s="6">
        <v>45772</v>
      </c>
      <c r="D764" t="s">
        <v>2336</v>
      </c>
      <c r="E764" s="6">
        <v>45775</v>
      </c>
      <c r="F764" t="s">
        <v>2337</v>
      </c>
      <c r="G764" t="s">
        <v>153</v>
      </c>
      <c r="H764" t="s">
        <v>153</v>
      </c>
      <c r="I764" t="s">
        <v>40</v>
      </c>
      <c r="J764" t="s">
        <v>40</v>
      </c>
      <c r="K764" t="s">
        <v>71</v>
      </c>
      <c r="L764" t="str">
        <f>IF(TRIM(K764)="","Unknown",PROPER(TRIM(K764)))</f>
        <v>West</v>
      </c>
      <c r="M764" t="s">
        <v>218</v>
      </c>
      <c r="N764" t="s">
        <v>219</v>
      </c>
      <c r="O764" t="s">
        <v>29</v>
      </c>
      <c r="P764" t="str">
        <f>IF(TRIM(O764)="","Unknown",PROPER(TRIM(O764)))</f>
        <v>Office Supplies</v>
      </c>
      <c r="Q764" t="s">
        <v>148</v>
      </c>
      <c r="R764" t="s">
        <v>2338</v>
      </c>
      <c r="S764" t="s">
        <v>55</v>
      </c>
      <c r="T764" t="str">
        <f>IF(TRIM(S764)="","Unknown",PROPER(TRIM(S764)))</f>
        <v>First Class</v>
      </c>
      <c r="U764">
        <v>9</v>
      </c>
      <c r="V764">
        <v>1294.1099999999999</v>
      </c>
      <c r="W764">
        <v>0.25</v>
      </c>
      <c r="Y764">
        <v>0.25</v>
      </c>
      <c r="Z764">
        <v>8735.24</v>
      </c>
      <c r="AA764">
        <v>6620.07</v>
      </c>
      <c r="AB764">
        <v>2115.17</v>
      </c>
      <c r="AC764" t="s">
        <v>33</v>
      </c>
      <c r="AD764" t="s">
        <v>34</v>
      </c>
      <c r="AE764">
        <f>ROUND((U764*V764)-(U764*V764*Y764),2)</f>
        <v>8735.24</v>
      </c>
      <c r="AF764">
        <f>AE764-AA764</f>
        <v>2115.17</v>
      </c>
      <c r="AG764" s="7">
        <f>ROUND((AF764/AE764),4)</f>
        <v>0.24210000000000001</v>
      </c>
      <c r="AH764">
        <f>IF(AND(C764&lt;&gt;"",E764&lt;&gt;""),E764 - C764,"")</f>
        <v>3</v>
      </c>
      <c r="AI764" t="str">
        <f>IF(C764="","",TEXT(C764, "mmmm"))</f>
        <v>April</v>
      </c>
      <c r="AJ764">
        <f>IF(C764="","",YEAR(C764))</f>
        <v>2025</v>
      </c>
      <c r="AM764" t="str">
        <f>IF(AN764="","clean","")</f>
        <v>clean</v>
      </c>
      <c r="AN764" t="s">
        <v>3595</v>
      </c>
    </row>
    <row r="765" spans="1:40">
      <c r="A765" t="s">
        <v>2343</v>
      </c>
      <c r="B765" t="s">
        <v>782</v>
      </c>
      <c r="C765" s="6">
        <v>45692</v>
      </c>
      <c r="D765" t="s">
        <v>2344</v>
      </c>
      <c r="E765" s="6">
        <v>45698</v>
      </c>
      <c r="F765" t="s">
        <v>2345</v>
      </c>
      <c r="G765" t="s">
        <v>70</v>
      </c>
      <c r="H765" t="s">
        <v>70</v>
      </c>
      <c r="I765" t="s">
        <v>40</v>
      </c>
      <c r="J765" t="s">
        <v>40</v>
      </c>
      <c r="K765" t="s">
        <v>60</v>
      </c>
      <c r="L765" t="str">
        <f>IF(TRIM(K765)="","Unknown",PROPER(TRIM(K765)))</f>
        <v>South</v>
      </c>
      <c r="M765" t="s">
        <v>61</v>
      </c>
      <c r="N765" t="s">
        <v>62</v>
      </c>
      <c r="O765" t="s">
        <v>29</v>
      </c>
      <c r="P765" t="str">
        <f>IF(TRIM(O765)="","Unknown",PROPER(TRIM(O765)))</f>
        <v>Office Supplies</v>
      </c>
      <c r="Q765" t="s">
        <v>148</v>
      </c>
      <c r="R765" t="s">
        <v>2346</v>
      </c>
      <c r="S765" t="s">
        <v>65</v>
      </c>
      <c r="T765" t="str">
        <f>IF(TRIM(S765)="","Unknown",PROPER(TRIM(S765)))</f>
        <v>Standard Class</v>
      </c>
      <c r="U765">
        <v>6</v>
      </c>
      <c r="V765">
        <v>1042.8</v>
      </c>
      <c r="W765">
        <v>0.05</v>
      </c>
      <c r="Y765">
        <v>0.05</v>
      </c>
      <c r="Z765">
        <v>5943.96</v>
      </c>
      <c r="AA765">
        <v>3604.14</v>
      </c>
      <c r="AB765">
        <v>2339.8200000000002</v>
      </c>
      <c r="AC765" t="s">
        <v>33</v>
      </c>
      <c r="AD765" t="s">
        <v>34</v>
      </c>
      <c r="AE765">
        <f>ROUND((U765*V765)-(U765*V765*Y765),2)</f>
        <v>5943.96</v>
      </c>
      <c r="AF765">
        <f>AE765-AA765</f>
        <v>2339.8200000000002</v>
      </c>
      <c r="AG765" s="7">
        <f>ROUND((AF765/AE765),4)</f>
        <v>0.39360000000000001</v>
      </c>
      <c r="AH765">
        <f>IF(AND(C765&lt;&gt;"",E765&lt;&gt;""),E765 - C765,"")</f>
        <v>6</v>
      </c>
      <c r="AI765" t="str">
        <f>IF(C765="","",TEXT(C765, "mmmm"))</f>
        <v>February</v>
      </c>
      <c r="AJ765">
        <f>IF(C765="","",YEAR(C765))</f>
        <v>2025</v>
      </c>
      <c r="AM765" t="str">
        <f>IF(AN765="","clean","")</f>
        <v>clean</v>
      </c>
      <c r="AN765" t="s">
        <v>3595</v>
      </c>
    </row>
    <row r="766" spans="1:40">
      <c r="A766" t="s">
        <v>2355</v>
      </c>
      <c r="B766" t="s">
        <v>3934</v>
      </c>
      <c r="C766" s="6">
        <v>45904</v>
      </c>
      <c r="D766" t="s">
        <v>2356</v>
      </c>
      <c r="E766" s="6">
        <v>45904</v>
      </c>
      <c r="F766" t="s">
        <v>2357</v>
      </c>
      <c r="G766" t="s">
        <v>103</v>
      </c>
      <c r="H766" t="s">
        <v>103</v>
      </c>
      <c r="I766" t="s">
        <v>104</v>
      </c>
      <c r="J766" t="s">
        <v>104</v>
      </c>
      <c r="K766" t="s">
        <v>26</v>
      </c>
      <c r="L766" t="str">
        <f>IF(TRIM(K766)="","Unknown",PROPER(TRIM(K766)))</f>
        <v>North</v>
      </c>
      <c r="M766" t="s">
        <v>146</v>
      </c>
      <c r="N766" t="s">
        <v>147</v>
      </c>
      <c r="O766" t="s">
        <v>83</v>
      </c>
      <c r="P766" t="str">
        <f>IF(TRIM(O766)="","Unknown",PROPER(TRIM(O766)))</f>
        <v>Technology</v>
      </c>
      <c r="Q766" t="s">
        <v>347</v>
      </c>
      <c r="R766" t="s">
        <v>2358</v>
      </c>
      <c r="S766" t="s">
        <v>55</v>
      </c>
      <c r="T766" t="str">
        <f>IF(TRIM(S766)="","Unknown",PROPER(TRIM(S766)))</f>
        <v>First Class</v>
      </c>
      <c r="U766">
        <v>8</v>
      </c>
      <c r="V766">
        <v>3079.95</v>
      </c>
      <c r="W766">
        <v>0.2</v>
      </c>
      <c r="Y766">
        <v>0.2</v>
      </c>
      <c r="Z766">
        <v>19711.68</v>
      </c>
      <c r="AA766">
        <v>14461.8</v>
      </c>
      <c r="AB766">
        <v>5249.88</v>
      </c>
      <c r="AC766" t="s">
        <v>33</v>
      </c>
      <c r="AD766" t="s">
        <v>34</v>
      </c>
      <c r="AE766">
        <f>ROUND((U766*V766)-(U766*V766*Y766),2)</f>
        <v>19711.68</v>
      </c>
      <c r="AF766">
        <f>AE766-AA766</f>
        <v>5249.880000000001</v>
      </c>
      <c r="AG766" s="7">
        <f>ROUND((AF766/AE766),4)</f>
        <v>0.26629999999999998</v>
      </c>
      <c r="AH766">
        <f>IF(AND(C766&lt;&gt;"",E766&lt;&gt;""),E766 - C766,"")</f>
        <v>0</v>
      </c>
      <c r="AI766" t="str">
        <f>IF(C766="","",TEXT(C766, "mmmm"))</f>
        <v>September</v>
      </c>
      <c r="AJ766">
        <f>IF(C766="","",YEAR(C766))</f>
        <v>2025</v>
      </c>
      <c r="AM766" t="str">
        <f>IF(AN766="","clean","")</f>
        <v>clean</v>
      </c>
      <c r="AN766" t="s">
        <v>3595</v>
      </c>
    </row>
    <row r="767" spans="1:40">
      <c r="A767" t="s">
        <v>2359</v>
      </c>
      <c r="B767" t="s">
        <v>3877</v>
      </c>
      <c r="C767" s="6">
        <v>45930</v>
      </c>
      <c r="D767" t="s">
        <v>2360</v>
      </c>
      <c r="E767" s="6">
        <v>45937</v>
      </c>
      <c r="F767" t="s">
        <v>2361</v>
      </c>
      <c r="G767" t="s">
        <v>196</v>
      </c>
      <c r="H767" t="s">
        <v>196</v>
      </c>
      <c r="I767" t="s">
        <v>104</v>
      </c>
      <c r="J767" t="s">
        <v>104</v>
      </c>
      <c r="K767" t="s">
        <v>41</v>
      </c>
      <c r="L767" t="str">
        <f>IF(TRIM(K767)="","Unknown",PROPER(TRIM(K767)))</f>
        <v>East</v>
      </c>
      <c r="M767" t="s">
        <v>174</v>
      </c>
      <c r="N767" t="s">
        <v>175</v>
      </c>
      <c r="O767" t="s">
        <v>83</v>
      </c>
      <c r="P767" t="str">
        <f>IF(TRIM(O767)="","Unknown",PROPER(TRIM(O767)))</f>
        <v>Technology</v>
      </c>
      <c r="Q767" t="s">
        <v>91</v>
      </c>
      <c r="R767" t="s">
        <v>2362</v>
      </c>
      <c r="S767" t="s">
        <v>32</v>
      </c>
      <c r="T767" t="str">
        <f>IF(TRIM(S767)="","Unknown",PROPER(TRIM(S767)))</f>
        <v>Second Class</v>
      </c>
      <c r="U767">
        <v>5</v>
      </c>
      <c r="V767">
        <v>3277.82</v>
      </c>
      <c r="W767">
        <v>0.1</v>
      </c>
      <c r="Y767">
        <v>0.1</v>
      </c>
      <c r="Z767">
        <v>14750.19</v>
      </c>
      <c r="AA767">
        <v>9482.58</v>
      </c>
      <c r="AB767">
        <v>5267.61</v>
      </c>
      <c r="AC767" t="s">
        <v>33</v>
      </c>
      <c r="AD767" t="s">
        <v>120</v>
      </c>
      <c r="AE767">
        <f>ROUND((U767*V767)-(U767*V767*Y767),2)</f>
        <v>14750.19</v>
      </c>
      <c r="AF767">
        <f>AE767-AA767</f>
        <v>5267.6100000000006</v>
      </c>
      <c r="AG767" s="7">
        <f>ROUND((AF767/AE767),4)</f>
        <v>0.35709999999999997</v>
      </c>
      <c r="AH767">
        <f>IF(AND(C767&lt;&gt;"",E767&lt;&gt;""),E767 - C767,"")</f>
        <v>7</v>
      </c>
      <c r="AI767" t="str">
        <f>IF(C767="","",TEXT(C767, "mmmm"))</f>
        <v>September</v>
      </c>
      <c r="AJ767">
        <f>IF(C767="","",YEAR(C767))</f>
        <v>2025</v>
      </c>
      <c r="AM767" t="str">
        <f>IF(AN767="","clean","")</f>
        <v>clean</v>
      </c>
      <c r="AN767" t="s">
        <v>3595</v>
      </c>
    </row>
    <row r="768" spans="1:40">
      <c r="A768" t="s">
        <v>2366</v>
      </c>
      <c r="B768" t="s">
        <v>680</v>
      </c>
      <c r="C768" s="6">
        <v>45852</v>
      </c>
      <c r="D768" t="s">
        <v>2367</v>
      </c>
      <c r="E768" s="6">
        <v>45856</v>
      </c>
      <c r="F768" t="s">
        <v>2368</v>
      </c>
      <c r="G768" t="s">
        <v>103</v>
      </c>
      <c r="H768" t="s">
        <v>103</v>
      </c>
      <c r="I768" t="s">
        <v>25</v>
      </c>
      <c r="J768" t="s">
        <v>25</v>
      </c>
      <c r="K768" t="s">
        <v>26</v>
      </c>
      <c r="L768" t="str">
        <f>IF(TRIM(K768)="","Unknown",PROPER(TRIM(K768)))</f>
        <v>North</v>
      </c>
      <c r="M768" t="s">
        <v>146</v>
      </c>
      <c r="N768" t="s">
        <v>147</v>
      </c>
      <c r="O768" t="s">
        <v>83</v>
      </c>
      <c r="P768" t="str">
        <f>IF(TRIM(O768)="","Unknown",PROPER(TRIM(O768)))</f>
        <v>Technology</v>
      </c>
      <c r="Q768" t="s">
        <v>91</v>
      </c>
      <c r="R768" t="s">
        <v>2369</v>
      </c>
      <c r="S768" t="s">
        <v>55</v>
      </c>
      <c r="T768" t="str">
        <f>IF(TRIM(S768)="","Unknown",PROPER(TRIM(S768)))</f>
        <v>First Class</v>
      </c>
      <c r="U768">
        <v>4</v>
      </c>
      <c r="V768">
        <v>725.22</v>
      </c>
      <c r="W768">
        <v>0</v>
      </c>
      <c r="Y768">
        <v>0</v>
      </c>
      <c r="Z768">
        <v>2900.88</v>
      </c>
      <c r="AA768">
        <v>2391.85</v>
      </c>
      <c r="AB768">
        <v>509.03</v>
      </c>
      <c r="AC768" t="s">
        <v>131</v>
      </c>
      <c r="AD768" t="s">
        <v>120</v>
      </c>
      <c r="AE768">
        <f>ROUND((U768*V768)-(U768*V768*Y768),2)</f>
        <v>2900.88</v>
      </c>
      <c r="AF768">
        <f>AE768-AA768</f>
        <v>509.0300000000002</v>
      </c>
      <c r="AG768" s="7">
        <f>ROUND((AF768/AE768),4)</f>
        <v>0.17549999999999999</v>
      </c>
      <c r="AH768">
        <f>IF(AND(C768&lt;&gt;"",E768&lt;&gt;""),E768 - C768,"")</f>
        <v>4</v>
      </c>
      <c r="AI768" t="str">
        <f>IF(C768="","",TEXT(C768, "mmmm"))</f>
        <v>July</v>
      </c>
      <c r="AJ768">
        <f>IF(C768="","",YEAR(C768))</f>
        <v>2025</v>
      </c>
      <c r="AM768" t="str">
        <f>IF(AN768="","clean","")</f>
        <v>clean</v>
      </c>
      <c r="AN768" t="s">
        <v>3595</v>
      </c>
    </row>
    <row r="769" spans="1:40">
      <c r="A769" t="s">
        <v>2382</v>
      </c>
      <c r="B769" t="s">
        <v>3936</v>
      </c>
      <c r="C769" s="6">
        <v>45876</v>
      </c>
      <c r="D769" t="s">
        <v>222</v>
      </c>
      <c r="E769" s="6">
        <v>45882</v>
      </c>
      <c r="F769" t="s">
        <v>2383</v>
      </c>
      <c r="G769" t="s">
        <v>39</v>
      </c>
      <c r="H769" t="s">
        <v>39</v>
      </c>
      <c r="I769" t="s">
        <v>104</v>
      </c>
      <c r="J769" t="s">
        <v>104</v>
      </c>
      <c r="K769" t="s">
        <v>26</v>
      </c>
      <c r="L769" t="str">
        <f>IF(TRIM(K769)="","Unknown",PROPER(TRIM(K769)))</f>
        <v>North</v>
      </c>
      <c r="M769" t="s">
        <v>454</v>
      </c>
      <c r="N769" t="s">
        <v>455</v>
      </c>
      <c r="O769" t="s">
        <v>83</v>
      </c>
      <c r="P769" t="str">
        <f>IF(TRIM(O769)="","Unknown",PROPER(TRIM(O769)))</f>
        <v>Technology</v>
      </c>
      <c r="Q769" t="s">
        <v>207</v>
      </c>
      <c r="R769" t="s">
        <v>2384</v>
      </c>
      <c r="S769" t="s">
        <v>65</v>
      </c>
      <c r="T769" t="str">
        <f>IF(TRIM(S769)="","Unknown",PROPER(TRIM(S769)))</f>
        <v>Standard Class</v>
      </c>
      <c r="U769">
        <v>6</v>
      </c>
      <c r="V769">
        <v>1921.86</v>
      </c>
      <c r="W769">
        <v>0.2</v>
      </c>
      <c r="Y769">
        <v>0.2</v>
      </c>
      <c r="Z769">
        <v>9224.93</v>
      </c>
      <c r="AA769">
        <v>7005.2</v>
      </c>
      <c r="AB769">
        <v>2219.73</v>
      </c>
      <c r="AC769" t="s">
        <v>119</v>
      </c>
      <c r="AD769" t="s">
        <v>76</v>
      </c>
      <c r="AE769">
        <f>ROUND((U769*V769)-(U769*V769*Y769),2)</f>
        <v>9224.93</v>
      </c>
      <c r="AF769">
        <f>AE769-AA769</f>
        <v>2219.7300000000005</v>
      </c>
      <c r="AG769" s="7">
        <f>ROUND((AF769/AE769),4)</f>
        <v>0.24060000000000001</v>
      </c>
      <c r="AH769">
        <f>IF(AND(C769&lt;&gt;"",E769&lt;&gt;""),E769 - C769,"")</f>
        <v>6</v>
      </c>
      <c r="AI769" t="str">
        <f>IF(C769="","",TEXT(C769, "mmmm"))</f>
        <v>August</v>
      </c>
      <c r="AJ769">
        <f>IF(C769="","",YEAR(C769))</f>
        <v>2025</v>
      </c>
      <c r="AM769" t="str">
        <f>IF(AN769="","clean","")</f>
        <v>clean</v>
      </c>
      <c r="AN769" t="s">
        <v>3595</v>
      </c>
    </row>
    <row r="770" spans="1:40">
      <c r="A770" t="s">
        <v>2396</v>
      </c>
      <c r="B770" t="s">
        <v>2397</v>
      </c>
      <c r="C770" s="6">
        <v>45908</v>
      </c>
      <c r="D770" t="s">
        <v>2398</v>
      </c>
      <c r="E770" s="6">
        <v>45910</v>
      </c>
      <c r="F770" t="s">
        <v>2399</v>
      </c>
      <c r="G770" t="s">
        <v>141</v>
      </c>
      <c r="H770" t="s">
        <v>141</v>
      </c>
      <c r="I770" t="s">
        <v>110</v>
      </c>
      <c r="J770" t="s">
        <v>110</v>
      </c>
      <c r="K770" t="s">
        <v>71</v>
      </c>
      <c r="L770" t="str">
        <f>IF(TRIM(K770)="","Unknown",PROPER(TRIM(K770)))</f>
        <v>West</v>
      </c>
      <c r="M770" t="s">
        <v>72</v>
      </c>
      <c r="N770" t="s">
        <v>73</v>
      </c>
      <c r="O770" t="s">
        <v>44</v>
      </c>
      <c r="P770" t="str">
        <f>IF(TRIM(O770)="","Unknown",PROPER(TRIM(O770)))</f>
        <v>Furniture</v>
      </c>
      <c r="Q770" t="s">
        <v>63</v>
      </c>
      <c r="R770" t="s">
        <v>2400</v>
      </c>
      <c r="S770" t="s">
        <v>65</v>
      </c>
      <c r="T770" t="str">
        <f>IF(TRIM(S770)="","Unknown",PROPER(TRIM(S770)))</f>
        <v>Standard Class</v>
      </c>
      <c r="U770">
        <v>6</v>
      </c>
      <c r="V770">
        <v>3251.17</v>
      </c>
      <c r="W770">
        <v>0.25</v>
      </c>
      <c r="Y770">
        <v>0.25</v>
      </c>
      <c r="Z770">
        <v>14630.26</v>
      </c>
      <c r="AA770">
        <v>11906.36</v>
      </c>
      <c r="AB770">
        <v>2723.9</v>
      </c>
      <c r="AC770" t="s">
        <v>119</v>
      </c>
      <c r="AD770" t="s">
        <v>120</v>
      </c>
      <c r="AE770">
        <f>ROUND((U770*V770)-(U770*V770*Y770),2)</f>
        <v>14630.27</v>
      </c>
      <c r="AF770">
        <f>AE770-AA770</f>
        <v>2723.91</v>
      </c>
      <c r="AG770" s="7">
        <f>ROUND((AF770/AE770),4)</f>
        <v>0.1862</v>
      </c>
      <c r="AH770">
        <f>IF(AND(C770&lt;&gt;"",E770&lt;&gt;""),E770 - C770,"")</f>
        <v>2</v>
      </c>
      <c r="AI770" t="str">
        <f>IF(C770="","",TEXT(C770, "mmmm"))</f>
        <v>September</v>
      </c>
      <c r="AJ770">
        <f>IF(C770="","",YEAR(C770))</f>
        <v>2025</v>
      </c>
      <c r="AM770" t="str">
        <f>IF(AN770="","clean","")</f>
        <v>clean</v>
      </c>
    </row>
    <row r="771" spans="1:40">
      <c r="A771" t="s">
        <v>2401</v>
      </c>
      <c r="B771" t="s">
        <v>816</v>
      </c>
      <c r="C771" s="6">
        <v>45887</v>
      </c>
      <c r="D771" t="s">
        <v>622</v>
      </c>
      <c r="E771" s="6">
        <v>45891</v>
      </c>
      <c r="F771" t="s">
        <v>2402</v>
      </c>
      <c r="G771" t="s">
        <v>59</v>
      </c>
      <c r="H771" t="s">
        <v>59</v>
      </c>
      <c r="I771" t="s">
        <v>25</v>
      </c>
      <c r="J771" t="s">
        <v>25</v>
      </c>
      <c r="K771" t="s">
        <v>41</v>
      </c>
      <c r="L771" t="str">
        <f>IF(TRIM(K771)="","Unknown",PROPER(TRIM(K771)))</f>
        <v>East</v>
      </c>
      <c r="M771" t="s">
        <v>284</v>
      </c>
      <c r="N771" t="s">
        <v>285</v>
      </c>
      <c r="O771" t="s">
        <v>44</v>
      </c>
      <c r="P771" t="str">
        <f>IF(TRIM(O771)="","Unknown",PROPER(TRIM(O771)))</f>
        <v>Furniture</v>
      </c>
      <c r="Q771" t="s">
        <v>63</v>
      </c>
      <c r="R771" t="s">
        <v>2403</v>
      </c>
      <c r="S771" t="s">
        <v>32</v>
      </c>
      <c r="T771" t="str">
        <f>IF(TRIM(S771)="","Unknown",PROPER(TRIM(S771)))</f>
        <v>Second Class</v>
      </c>
      <c r="U771">
        <v>3</v>
      </c>
      <c r="V771">
        <v>3946.44</v>
      </c>
      <c r="W771">
        <v>0.25</v>
      </c>
      <c r="Y771">
        <v>0.25</v>
      </c>
      <c r="Z771">
        <v>8879.49</v>
      </c>
      <c r="AA771">
        <v>6344.57</v>
      </c>
      <c r="AB771">
        <v>2534.92</v>
      </c>
      <c r="AC771" t="s">
        <v>186</v>
      </c>
      <c r="AD771" t="s">
        <v>120</v>
      </c>
      <c r="AE771">
        <f>ROUND((U771*V771)-(U771*V771*Y771),2)</f>
        <v>8879.49</v>
      </c>
      <c r="AF771">
        <f>AE771-AA771</f>
        <v>2534.92</v>
      </c>
      <c r="AG771" s="7">
        <f>ROUND((AF771/AE771),4)</f>
        <v>0.28549999999999998</v>
      </c>
      <c r="AH771">
        <f>IF(AND(C771&lt;&gt;"",E771&lt;&gt;""),E771 - C771,"")</f>
        <v>4</v>
      </c>
      <c r="AI771" t="str">
        <f>IF(C771="","",TEXT(C771, "mmmm"))</f>
        <v>August</v>
      </c>
      <c r="AJ771">
        <f>IF(C771="","",YEAR(C771))</f>
        <v>2025</v>
      </c>
      <c r="AM771" t="str">
        <f>IF(AN771="","clean","")</f>
        <v>clean</v>
      </c>
      <c r="AN771" t="s">
        <v>3595</v>
      </c>
    </row>
    <row r="772" spans="1:40">
      <c r="A772" t="s">
        <v>2404</v>
      </c>
      <c r="B772" t="s">
        <v>2344</v>
      </c>
      <c r="C772" s="6">
        <v>45698</v>
      </c>
      <c r="D772" t="s">
        <v>2405</v>
      </c>
      <c r="E772" s="6">
        <v>45702</v>
      </c>
      <c r="F772" t="s">
        <v>2406</v>
      </c>
      <c r="G772" t="s">
        <v>136</v>
      </c>
      <c r="H772" t="s">
        <v>136</v>
      </c>
      <c r="I772" t="s">
        <v>40</v>
      </c>
      <c r="J772" t="s">
        <v>40</v>
      </c>
      <c r="K772" t="s">
        <v>26</v>
      </c>
      <c r="L772" t="str">
        <f>IF(TRIM(K772)="","Unknown",PROPER(TRIM(K772)))</f>
        <v>North</v>
      </c>
      <c r="M772" t="s">
        <v>163</v>
      </c>
      <c r="N772" t="s">
        <v>164</v>
      </c>
      <c r="O772" t="s">
        <v>83</v>
      </c>
      <c r="P772" t="str">
        <f>IF(TRIM(O772)="","Unknown",PROPER(TRIM(O772)))</f>
        <v>Technology</v>
      </c>
      <c r="Q772" t="s">
        <v>207</v>
      </c>
      <c r="R772" t="s">
        <v>2407</v>
      </c>
      <c r="T772" t="str">
        <f>IF(TRIM(S772)="","Unknown",PROPER(TRIM(S772)))</f>
        <v>Unknown</v>
      </c>
      <c r="U772">
        <v>5</v>
      </c>
      <c r="V772">
        <v>4276.29</v>
      </c>
      <c r="W772">
        <v>0</v>
      </c>
      <c r="Y772">
        <v>0</v>
      </c>
      <c r="Z772">
        <v>21381.45</v>
      </c>
      <c r="AA772">
        <v>13240.21</v>
      </c>
      <c r="AB772">
        <v>8141.24</v>
      </c>
      <c r="AC772" t="s">
        <v>186</v>
      </c>
      <c r="AD772" t="s">
        <v>120</v>
      </c>
      <c r="AE772">
        <f>ROUND((U772*V772)-(U772*V772*Y772),2)</f>
        <v>21381.45</v>
      </c>
      <c r="AF772">
        <f>AE772-AA772</f>
        <v>8141.2400000000016</v>
      </c>
      <c r="AG772" s="7">
        <f>ROUND((AF772/AE772),4)</f>
        <v>0.38080000000000003</v>
      </c>
      <c r="AH772">
        <f>IF(AND(C772&lt;&gt;"",E772&lt;&gt;""),E772 - C772,"")</f>
        <v>4</v>
      </c>
      <c r="AI772" t="str">
        <f>IF(C772="","",TEXT(C772, "mmmm"))</f>
        <v>February</v>
      </c>
      <c r="AJ772">
        <f>IF(C772="","",YEAR(C772))</f>
        <v>2025</v>
      </c>
      <c r="AK772" t="s">
        <v>4152</v>
      </c>
      <c r="AM772" t="s">
        <v>4145</v>
      </c>
      <c r="AN772" t="s">
        <v>4158</v>
      </c>
    </row>
    <row r="773" spans="1:40">
      <c r="A773" t="s">
        <v>2404</v>
      </c>
      <c r="B773" t="s">
        <v>2344</v>
      </c>
      <c r="C773" s="6">
        <v>45698</v>
      </c>
      <c r="D773" t="s">
        <v>2405</v>
      </c>
      <c r="E773" s="6">
        <v>45702</v>
      </c>
      <c r="F773" t="s">
        <v>2406</v>
      </c>
      <c r="G773" t="s">
        <v>136</v>
      </c>
      <c r="H773" t="s">
        <v>136</v>
      </c>
      <c r="I773" t="s">
        <v>40</v>
      </c>
      <c r="J773" t="s">
        <v>40</v>
      </c>
      <c r="K773" t="s">
        <v>26</v>
      </c>
      <c r="L773" t="str">
        <f>IF(TRIM(K773)="","Unknown",PROPER(TRIM(K773)))</f>
        <v>North</v>
      </c>
      <c r="M773" t="s">
        <v>163</v>
      </c>
      <c r="N773" t="s">
        <v>164</v>
      </c>
      <c r="O773" t="s">
        <v>83</v>
      </c>
      <c r="P773" t="str">
        <f>IF(TRIM(O773)="","Unknown",PROPER(TRIM(O773)))</f>
        <v>Technology</v>
      </c>
      <c r="Q773" t="s">
        <v>207</v>
      </c>
      <c r="R773" t="s">
        <v>2407</v>
      </c>
      <c r="T773" t="str">
        <f>IF(TRIM(S773)="","Unknown",PROPER(TRIM(S773)))</f>
        <v>Unknown</v>
      </c>
      <c r="U773">
        <v>5</v>
      </c>
      <c r="V773">
        <v>4276.29</v>
      </c>
      <c r="W773">
        <v>0</v>
      </c>
      <c r="Y773">
        <v>0</v>
      </c>
      <c r="Z773">
        <v>21443.63</v>
      </c>
      <c r="AA773">
        <v>13240.21</v>
      </c>
      <c r="AB773">
        <v>8141.24</v>
      </c>
      <c r="AC773" t="s">
        <v>186</v>
      </c>
      <c r="AD773" t="s">
        <v>34</v>
      </c>
      <c r="AE773">
        <f>ROUND((U773*V773)-(U773*V773*Y773),2)</f>
        <v>21381.45</v>
      </c>
      <c r="AF773">
        <f>AE773-AA773</f>
        <v>8141.2400000000016</v>
      </c>
      <c r="AG773" s="7">
        <f>ROUND((AF773/AE773),4)</f>
        <v>0.38080000000000003</v>
      </c>
      <c r="AH773">
        <f>IF(AND(C773&lt;&gt;"",E773&lt;&gt;""),E773 - C773,"")</f>
        <v>4</v>
      </c>
      <c r="AI773" t="str">
        <f>IF(C773="","",TEXT(C773, "mmmm"))</f>
        <v>February</v>
      </c>
      <c r="AJ773">
        <f>IF(C773="","",YEAR(C773))</f>
        <v>2025</v>
      </c>
      <c r="AM773" t="s">
        <v>4145</v>
      </c>
      <c r="AN773" t="s">
        <v>3600</v>
      </c>
    </row>
    <row r="774" spans="1:40">
      <c r="A774" t="s">
        <v>2412</v>
      </c>
      <c r="B774" t="s">
        <v>3939</v>
      </c>
      <c r="C774" s="6">
        <v>45922</v>
      </c>
      <c r="D774" t="s">
        <v>2413</v>
      </c>
      <c r="E774" s="6">
        <v>45926</v>
      </c>
      <c r="F774" t="s">
        <v>2414</v>
      </c>
      <c r="G774" t="s">
        <v>52</v>
      </c>
      <c r="H774" t="s">
        <v>52</v>
      </c>
      <c r="I774" t="s">
        <v>25</v>
      </c>
      <c r="J774" t="s">
        <v>25</v>
      </c>
      <c r="K774" t="s">
        <v>60</v>
      </c>
      <c r="L774" t="str">
        <f>IF(TRIM(K774)="","Unknown",PROPER(TRIM(K774)))</f>
        <v>South</v>
      </c>
      <c r="M774" t="s">
        <v>97</v>
      </c>
      <c r="N774" t="s">
        <v>98</v>
      </c>
      <c r="O774" t="s">
        <v>83</v>
      </c>
      <c r="P774" t="str">
        <f>IF(TRIM(O774)="","Unknown",PROPER(TRIM(O774)))</f>
        <v>Technology</v>
      </c>
      <c r="Q774" t="s">
        <v>207</v>
      </c>
      <c r="R774" t="s">
        <v>2415</v>
      </c>
      <c r="S774" t="s">
        <v>65</v>
      </c>
      <c r="T774" t="str">
        <f>IF(TRIM(S774)="","Unknown",PROPER(TRIM(S774)))</f>
        <v>Standard Class</v>
      </c>
      <c r="U774">
        <v>1</v>
      </c>
      <c r="V774">
        <v>573.65</v>
      </c>
      <c r="W774">
        <v>0</v>
      </c>
      <c r="Y774">
        <v>0</v>
      </c>
      <c r="Z774">
        <v>573.65</v>
      </c>
      <c r="AA774">
        <v>322.67</v>
      </c>
      <c r="AB774">
        <v>250.98</v>
      </c>
      <c r="AC774" t="s">
        <v>33</v>
      </c>
      <c r="AD774" t="s">
        <v>34</v>
      </c>
      <c r="AE774">
        <f>ROUND((U774*V774)-(U774*V774*Y774),2)</f>
        <v>573.65</v>
      </c>
      <c r="AF774">
        <f>AE774-AA774</f>
        <v>250.97999999999996</v>
      </c>
      <c r="AG774" s="7">
        <f>ROUND((AF774/AE774),4)</f>
        <v>0.4375</v>
      </c>
      <c r="AH774">
        <f>IF(AND(C774&lt;&gt;"",E774&lt;&gt;""),E774 - C774,"")</f>
        <v>4</v>
      </c>
      <c r="AI774" t="str">
        <f>IF(C774="","",TEXT(C774, "mmmm"))</f>
        <v>September</v>
      </c>
      <c r="AJ774">
        <f>IF(C774="","",YEAR(C774))</f>
        <v>2025</v>
      </c>
      <c r="AM774" t="str">
        <f>IF(AN774="","clean","")</f>
        <v>clean</v>
      </c>
      <c r="AN774" t="s">
        <v>3595</v>
      </c>
    </row>
    <row r="775" spans="1:40">
      <c r="A775" t="s">
        <v>2418</v>
      </c>
      <c r="B775" t="s">
        <v>3941</v>
      </c>
      <c r="C775" s="6">
        <v>45727</v>
      </c>
      <c r="D775" t="s">
        <v>2419</v>
      </c>
      <c r="E775" s="6">
        <v>45730</v>
      </c>
      <c r="F775" t="s">
        <v>2420</v>
      </c>
      <c r="G775" t="s">
        <v>158</v>
      </c>
      <c r="H775" t="s">
        <v>158</v>
      </c>
      <c r="I775" t="s">
        <v>110</v>
      </c>
      <c r="J775" t="s">
        <v>110</v>
      </c>
      <c r="K775" t="s">
        <v>60</v>
      </c>
      <c r="L775" t="str">
        <f>IF(TRIM(K775)="","Unknown",PROPER(TRIM(K775)))</f>
        <v>South</v>
      </c>
      <c r="M775" t="s">
        <v>224</v>
      </c>
      <c r="N775" t="s">
        <v>225</v>
      </c>
      <c r="O775" t="s">
        <v>44</v>
      </c>
      <c r="P775" t="str">
        <f>IF(TRIM(O775)="","Unknown",PROPER(TRIM(O775)))</f>
        <v>Furniture</v>
      </c>
      <c r="Q775" t="s">
        <v>63</v>
      </c>
      <c r="R775" t="s">
        <v>2421</v>
      </c>
      <c r="S775" t="s">
        <v>47</v>
      </c>
      <c r="T775" t="str">
        <f>IF(TRIM(S775)="","Unknown",PROPER(TRIM(S775)))</f>
        <v>Same Day</v>
      </c>
      <c r="U775">
        <v>4</v>
      </c>
      <c r="V775">
        <v>1244.82</v>
      </c>
      <c r="W775">
        <v>0.2</v>
      </c>
      <c r="Y775">
        <v>0.2</v>
      </c>
      <c r="Z775">
        <v>3983.42</v>
      </c>
      <c r="AA775">
        <v>3174.91</v>
      </c>
      <c r="AB775">
        <v>808.51</v>
      </c>
      <c r="AC775" t="s">
        <v>186</v>
      </c>
      <c r="AD775" t="s">
        <v>120</v>
      </c>
      <c r="AE775">
        <f>ROUND((U775*V775)-(U775*V775*Y775),2)</f>
        <v>3983.42</v>
      </c>
      <c r="AF775">
        <f>AE775-AA775</f>
        <v>808.51000000000022</v>
      </c>
      <c r="AG775" s="7">
        <f>ROUND((AF775/AE775),4)</f>
        <v>0.20300000000000001</v>
      </c>
      <c r="AH775">
        <f>IF(AND(C775&lt;&gt;"",E775&lt;&gt;""),E775 - C775,"")</f>
        <v>3</v>
      </c>
      <c r="AI775" t="str">
        <f>IF(C775="","",TEXT(C775, "mmmm"))</f>
        <v>March</v>
      </c>
      <c r="AJ775">
        <f>IF(C775="","",YEAR(C775))</f>
        <v>2025</v>
      </c>
      <c r="AM775" t="str">
        <f>IF(AN775="","clean","")</f>
        <v>clean</v>
      </c>
      <c r="AN775" t="s">
        <v>3595</v>
      </c>
    </row>
    <row r="776" spans="1:40">
      <c r="A776" t="s">
        <v>2427</v>
      </c>
      <c r="B776" t="s">
        <v>392</v>
      </c>
      <c r="C776" s="6">
        <v>45897</v>
      </c>
      <c r="D776" t="s">
        <v>2428</v>
      </c>
      <c r="E776" s="6">
        <v>45903</v>
      </c>
      <c r="F776" t="s">
        <v>2429</v>
      </c>
      <c r="G776" t="s">
        <v>136</v>
      </c>
      <c r="H776" t="s">
        <v>136</v>
      </c>
      <c r="I776" t="s">
        <v>104</v>
      </c>
      <c r="J776" t="s">
        <v>104</v>
      </c>
      <c r="K776" t="s">
        <v>71</v>
      </c>
      <c r="L776" t="str">
        <f>IF(TRIM(K776)="","Unknown",PROPER(TRIM(K776)))</f>
        <v>West</v>
      </c>
      <c r="M776" t="s">
        <v>81</v>
      </c>
      <c r="N776" t="s">
        <v>82</v>
      </c>
      <c r="O776" t="s">
        <v>44</v>
      </c>
      <c r="P776" t="str">
        <f>IF(TRIM(O776)="","Unknown",PROPER(TRIM(O776)))</f>
        <v>Furniture</v>
      </c>
      <c r="Q776" t="s">
        <v>63</v>
      </c>
      <c r="R776" t="s">
        <v>2430</v>
      </c>
      <c r="S776" t="s">
        <v>65</v>
      </c>
      <c r="T776" t="str">
        <f>IF(TRIM(S776)="","Unknown",PROPER(TRIM(S776)))</f>
        <v>Standard Class</v>
      </c>
      <c r="U776">
        <v>7</v>
      </c>
      <c r="V776">
        <v>268.45</v>
      </c>
      <c r="W776">
        <v>0</v>
      </c>
      <c r="Y776">
        <v>0</v>
      </c>
      <c r="Z776">
        <v>1879.15</v>
      </c>
      <c r="AA776">
        <v>1134.9000000000001</v>
      </c>
      <c r="AB776">
        <v>744.25</v>
      </c>
      <c r="AC776" t="s">
        <v>33</v>
      </c>
      <c r="AD776" t="s">
        <v>34</v>
      </c>
      <c r="AE776">
        <f>ROUND((U776*V776)-(U776*V776*Y776),2)</f>
        <v>1879.15</v>
      </c>
      <c r="AF776">
        <f>AE776-AA776</f>
        <v>744.25</v>
      </c>
      <c r="AG776" s="7">
        <f>ROUND((AF776/AE776),4)</f>
        <v>0.39610000000000001</v>
      </c>
      <c r="AH776">
        <f>IF(AND(C776&lt;&gt;"",E776&lt;&gt;""),E776 - C776,"")</f>
        <v>6</v>
      </c>
      <c r="AI776" t="str">
        <f>IF(C776="","",TEXT(C776, "mmmm"))</f>
        <v>August</v>
      </c>
      <c r="AJ776">
        <f>IF(C776="","",YEAR(C776))</f>
        <v>2025</v>
      </c>
      <c r="AM776" t="str">
        <f>IF(AN776="","clean","")</f>
        <v>clean</v>
      </c>
      <c r="AN776" t="s">
        <v>3595</v>
      </c>
    </row>
    <row r="777" spans="1:40">
      <c r="A777" t="s">
        <v>2438</v>
      </c>
      <c r="B777" t="s">
        <v>3944</v>
      </c>
      <c r="C777" s="6">
        <v>45722</v>
      </c>
      <c r="D777" t="s">
        <v>1283</v>
      </c>
      <c r="E777" s="6">
        <v>45729</v>
      </c>
      <c r="F777" t="s">
        <v>2439</v>
      </c>
      <c r="G777" t="s">
        <v>334</v>
      </c>
      <c r="H777" t="s">
        <v>334</v>
      </c>
      <c r="I777" t="s">
        <v>25</v>
      </c>
      <c r="J777" t="s">
        <v>25</v>
      </c>
      <c r="K777" t="s">
        <v>60</v>
      </c>
      <c r="L777" t="str">
        <f>IF(TRIM(K777)="","Unknown",PROPER(TRIM(K777)))</f>
        <v>South</v>
      </c>
      <c r="M777" t="s">
        <v>224</v>
      </c>
      <c r="N777" t="s">
        <v>225</v>
      </c>
      <c r="O777" t="s">
        <v>44</v>
      </c>
      <c r="P777" t="str">
        <f>IF(TRIM(O777)="","Unknown",PROPER(TRIM(O777)))</f>
        <v>Furniture</v>
      </c>
      <c r="Q777" t="s">
        <v>74</v>
      </c>
      <c r="R777" t="s">
        <v>2440</v>
      </c>
      <c r="S777" t="s">
        <v>65</v>
      </c>
      <c r="T777" t="str">
        <f>IF(TRIM(S777)="","Unknown",PROPER(TRIM(S777)))</f>
        <v>Standard Class</v>
      </c>
      <c r="U777">
        <v>3</v>
      </c>
      <c r="V777">
        <v>163.72</v>
      </c>
      <c r="W777">
        <v>0.15</v>
      </c>
      <c r="Y777">
        <v>0.15</v>
      </c>
      <c r="Z777">
        <v>417.49</v>
      </c>
      <c r="AA777">
        <v>261.67</v>
      </c>
      <c r="AB777">
        <v>155.82</v>
      </c>
      <c r="AC777" t="s">
        <v>186</v>
      </c>
      <c r="AD777" t="s">
        <v>120</v>
      </c>
      <c r="AE777">
        <f>ROUND((U777*V777)-(U777*V777*Y777),2)</f>
        <v>417.49</v>
      </c>
      <c r="AF777">
        <f>AE777-AA777</f>
        <v>155.82</v>
      </c>
      <c r="AG777" s="7">
        <f>ROUND((AF777/AE777),4)</f>
        <v>0.37319999999999998</v>
      </c>
      <c r="AH777">
        <f>IF(AND(C777&lt;&gt;"",E777&lt;&gt;""),E777 - C777,"")</f>
        <v>7</v>
      </c>
      <c r="AI777" t="str">
        <f>IF(C777="","",TEXT(C777, "mmmm"))</f>
        <v>March</v>
      </c>
      <c r="AJ777">
        <f>IF(C777="","",YEAR(C777))</f>
        <v>2025</v>
      </c>
      <c r="AM777" t="str">
        <f>IF(AN777="","clean","")</f>
        <v>clean</v>
      </c>
      <c r="AN777" t="s">
        <v>3595</v>
      </c>
    </row>
    <row r="778" spans="1:40">
      <c r="A778" t="s">
        <v>2441</v>
      </c>
      <c r="B778" t="s">
        <v>3766</v>
      </c>
      <c r="C778" s="6">
        <v>45878</v>
      </c>
      <c r="D778" t="s">
        <v>2442</v>
      </c>
      <c r="E778" s="6">
        <v>45879</v>
      </c>
      <c r="F778" t="s">
        <v>2443</v>
      </c>
      <c r="G778" t="s">
        <v>90</v>
      </c>
      <c r="H778" t="s">
        <v>90</v>
      </c>
      <c r="I778" t="s">
        <v>25</v>
      </c>
      <c r="J778" t="s">
        <v>25</v>
      </c>
      <c r="K778" t="s">
        <v>26</v>
      </c>
      <c r="L778" t="str">
        <f>IF(TRIM(K778)="","Unknown",PROPER(TRIM(K778)))</f>
        <v>North</v>
      </c>
      <c r="M778" t="s">
        <v>454</v>
      </c>
      <c r="N778" t="s">
        <v>455</v>
      </c>
      <c r="O778" t="s">
        <v>29</v>
      </c>
      <c r="P778" t="str">
        <f>IF(TRIM(O778)="","Unknown",PROPER(TRIM(O778)))</f>
        <v>Office Supplies</v>
      </c>
      <c r="Q778" t="s">
        <v>53</v>
      </c>
      <c r="R778" t="s">
        <v>2444</v>
      </c>
      <c r="S778" t="s">
        <v>32</v>
      </c>
      <c r="T778" t="str">
        <f>IF(TRIM(S778)="","Unknown",PROPER(TRIM(S778)))</f>
        <v>Second Class</v>
      </c>
      <c r="U778">
        <v>4</v>
      </c>
      <c r="V778">
        <v>4080.95</v>
      </c>
      <c r="W778">
        <v>0</v>
      </c>
      <c r="Y778">
        <v>0</v>
      </c>
      <c r="Z778">
        <v>16323.8</v>
      </c>
      <c r="AA778">
        <v>9965.7900000000009</v>
      </c>
      <c r="AB778">
        <v>6358.01</v>
      </c>
      <c r="AC778" t="s">
        <v>119</v>
      </c>
      <c r="AD778" t="s">
        <v>120</v>
      </c>
      <c r="AE778">
        <f>ROUND((U778*V778)-(U778*V778*Y778),2)</f>
        <v>16323.8</v>
      </c>
      <c r="AF778">
        <f>AE778-AA778</f>
        <v>6358.0099999999984</v>
      </c>
      <c r="AG778" s="7">
        <f>ROUND((AF778/AE778),4)</f>
        <v>0.38950000000000001</v>
      </c>
      <c r="AH778">
        <f>IF(AND(C778&lt;&gt;"",E778&lt;&gt;""),E778 - C778,"")</f>
        <v>1</v>
      </c>
      <c r="AI778" t="str">
        <f>IF(C778="","",TEXT(C778, "mmmm"))</f>
        <v>August</v>
      </c>
      <c r="AJ778">
        <f>IF(C778="","",YEAR(C778))</f>
        <v>2025</v>
      </c>
      <c r="AM778" t="str">
        <f>IF(AN778="","clean","")</f>
        <v>clean</v>
      </c>
      <c r="AN778" t="s">
        <v>3595</v>
      </c>
    </row>
    <row r="779" spans="1:40">
      <c r="A779" t="s">
        <v>2457</v>
      </c>
      <c r="B779" t="s">
        <v>3806</v>
      </c>
      <c r="C779" s="6">
        <v>45830</v>
      </c>
      <c r="D779" t="s">
        <v>2458</v>
      </c>
      <c r="E779" s="6">
        <v>45833</v>
      </c>
      <c r="F779" t="s">
        <v>2459</v>
      </c>
      <c r="G779" t="s">
        <v>196</v>
      </c>
      <c r="H779" t="s">
        <v>196</v>
      </c>
      <c r="I779" t="s">
        <v>40</v>
      </c>
      <c r="J779" t="s">
        <v>40</v>
      </c>
      <c r="K779" t="s">
        <v>928</v>
      </c>
      <c r="L779" t="str">
        <f>IF(TRIM(K779)="","Unknown",PROPER(TRIM(K779)))</f>
        <v>West</v>
      </c>
      <c r="M779" t="s">
        <v>72</v>
      </c>
      <c r="N779" t="s">
        <v>73</v>
      </c>
      <c r="O779" t="s">
        <v>83</v>
      </c>
      <c r="P779" t="str">
        <f>IF(TRIM(O779)="","Unknown",PROPER(TRIM(O779)))</f>
        <v>Technology</v>
      </c>
      <c r="Q779" t="s">
        <v>207</v>
      </c>
      <c r="R779" t="s">
        <v>2460</v>
      </c>
      <c r="S779" t="s">
        <v>55</v>
      </c>
      <c r="T779" t="str">
        <f>IF(TRIM(S779)="","Unknown",PROPER(TRIM(S779)))</f>
        <v>First Class</v>
      </c>
      <c r="U779">
        <v>8</v>
      </c>
      <c r="V779">
        <v>3453.66</v>
      </c>
      <c r="W779">
        <v>0</v>
      </c>
      <c r="Y779">
        <v>0</v>
      </c>
      <c r="Z779">
        <v>27629.279999999999</v>
      </c>
      <c r="AA779">
        <v>22026.48</v>
      </c>
      <c r="AB779">
        <v>5602.8</v>
      </c>
      <c r="AC779" t="s">
        <v>33</v>
      </c>
      <c r="AD779" t="s">
        <v>34</v>
      </c>
      <c r="AE779">
        <f>ROUND((U779*V779)-(U779*V779*Y779),2)</f>
        <v>27629.279999999999</v>
      </c>
      <c r="AF779">
        <f>AE779-AA779</f>
        <v>5602.7999999999993</v>
      </c>
      <c r="AG779" s="7">
        <f>ROUND((AF779/AE779),4)</f>
        <v>0.20280000000000001</v>
      </c>
      <c r="AH779">
        <f>IF(AND(C779&lt;&gt;"",E779&lt;&gt;""),E779 - C779,"")</f>
        <v>3</v>
      </c>
      <c r="AI779" t="str">
        <f>IF(C779="","",TEXT(C779, "mmmm"))</f>
        <v>June</v>
      </c>
      <c r="AJ779">
        <f>IF(C779="","",YEAR(C779))</f>
        <v>2025</v>
      </c>
      <c r="AM779" t="str">
        <f>IF(AN779="","clean","")</f>
        <v>clean</v>
      </c>
      <c r="AN779" t="s">
        <v>3595</v>
      </c>
    </row>
    <row r="780" spans="1:40">
      <c r="A780" t="s">
        <v>2461</v>
      </c>
      <c r="B780" t="s">
        <v>3947</v>
      </c>
      <c r="C780" s="6">
        <v>45759</v>
      </c>
      <c r="D780" t="s">
        <v>2462</v>
      </c>
      <c r="E780" s="6">
        <v>45759</v>
      </c>
      <c r="F780" t="s">
        <v>2463</v>
      </c>
      <c r="G780" t="s">
        <v>39</v>
      </c>
      <c r="H780" t="s">
        <v>39</v>
      </c>
      <c r="I780" t="s">
        <v>110</v>
      </c>
      <c r="J780" t="s">
        <v>110</v>
      </c>
      <c r="K780" t="s">
        <v>26</v>
      </c>
      <c r="L780" t="str">
        <f>IF(TRIM(K780)="","Unknown",PROPER(TRIM(K780)))</f>
        <v>North</v>
      </c>
      <c r="M780" t="s">
        <v>146</v>
      </c>
      <c r="N780" t="s">
        <v>147</v>
      </c>
      <c r="O780" t="s">
        <v>29</v>
      </c>
      <c r="P780" t="str">
        <f>IF(TRIM(O780)="","Unknown",PROPER(TRIM(O780)))</f>
        <v>Office Supplies</v>
      </c>
      <c r="Q780" t="s">
        <v>184</v>
      </c>
      <c r="R780" t="s">
        <v>2464</v>
      </c>
      <c r="S780" t="s">
        <v>32</v>
      </c>
      <c r="T780" t="str">
        <f>IF(TRIM(S780)="","Unknown",PROPER(TRIM(S780)))</f>
        <v>Second Class</v>
      </c>
      <c r="U780">
        <v>7</v>
      </c>
      <c r="V780">
        <v>1334.2</v>
      </c>
      <c r="W780">
        <v>0.2</v>
      </c>
      <c r="Y780">
        <v>0.2</v>
      </c>
      <c r="Z780">
        <v>7471.52</v>
      </c>
      <c r="AA780">
        <v>6184.32</v>
      </c>
      <c r="AB780">
        <v>1287.2</v>
      </c>
      <c r="AC780" t="s">
        <v>33</v>
      </c>
      <c r="AD780" t="s">
        <v>34</v>
      </c>
      <c r="AE780">
        <f>ROUND((U780*V780)-(U780*V780*Y780),2)</f>
        <v>7471.52</v>
      </c>
      <c r="AF780">
        <f>AE780-AA780</f>
        <v>1287.2000000000007</v>
      </c>
      <c r="AG780" s="7">
        <f>ROUND((AF780/AE780),4)</f>
        <v>0.17230000000000001</v>
      </c>
      <c r="AH780">
        <f>IF(AND(C780&lt;&gt;"",E780&lt;&gt;""),E780 - C780,"")</f>
        <v>0</v>
      </c>
      <c r="AI780" t="str">
        <f>IF(C780="","",TEXT(C780, "mmmm"))</f>
        <v>April</v>
      </c>
      <c r="AJ780">
        <f>IF(C780="","",YEAR(C780))</f>
        <v>2025</v>
      </c>
      <c r="AM780" t="str">
        <f>IF(AN780="","clean","")</f>
        <v>clean</v>
      </c>
      <c r="AN780" t="s">
        <v>3595</v>
      </c>
    </row>
    <row r="781" spans="1:40">
      <c r="A781" t="s">
        <v>2465</v>
      </c>
      <c r="B781" t="s">
        <v>3948</v>
      </c>
      <c r="D781" t="s">
        <v>2466</v>
      </c>
      <c r="E781" s="6">
        <v>45869</v>
      </c>
      <c r="F781" t="s">
        <v>2467</v>
      </c>
      <c r="G781" t="s">
        <v>334</v>
      </c>
      <c r="H781" t="s">
        <v>334</v>
      </c>
      <c r="I781" t="s">
        <v>110</v>
      </c>
      <c r="J781" t="s">
        <v>110</v>
      </c>
      <c r="K781" t="s">
        <v>71</v>
      </c>
      <c r="L781" t="str">
        <f>IF(TRIM(K781)="","Unknown",PROPER(TRIM(K781)))</f>
        <v>West</v>
      </c>
      <c r="M781" t="s">
        <v>81</v>
      </c>
      <c r="N781" t="s">
        <v>82</v>
      </c>
      <c r="O781" t="s">
        <v>83</v>
      </c>
      <c r="P781" t="str">
        <f>IF(TRIM(O781)="","Unknown",PROPER(TRIM(O781)))</f>
        <v>Technology</v>
      </c>
      <c r="Q781" t="s">
        <v>84</v>
      </c>
      <c r="R781" t="s">
        <v>2468</v>
      </c>
      <c r="S781" t="s">
        <v>55</v>
      </c>
      <c r="T781" t="str">
        <f>IF(TRIM(S781)="","Unknown",PROPER(TRIM(S781)))</f>
        <v>First Class</v>
      </c>
      <c r="U781">
        <v>1</v>
      </c>
      <c r="V781">
        <v>4253.84</v>
      </c>
      <c r="W781">
        <v>0.15</v>
      </c>
      <c r="Y781">
        <v>0.15</v>
      </c>
      <c r="Z781">
        <v>3615.76</v>
      </c>
      <c r="AA781">
        <v>2951.52</v>
      </c>
      <c r="AB781">
        <v>664.24</v>
      </c>
      <c r="AC781" t="s">
        <v>119</v>
      </c>
      <c r="AD781" t="s">
        <v>76</v>
      </c>
      <c r="AE781">
        <f>ROUND((U781*V781)-(U781*V781*Y781),2)</f>
        <v>3615.76</v>
      </c>
      <c r="AF781">
        <f>AE781-AA781</f>
        <v>664.24000000000024</v>
      </c>
      <c r="AG781" s="7">
        <f>ROUND((AF781/AE781),4)</f>
        <v>0.1837</v>
      </c>
      <c r="AH781" t="str">
        <f>IF(AND(C781&lt;&gt;"",E781&lt;&gt;""),E781 - C781,"")</f>
        <v/>
      </c>
      <c r="AI781" t="str">
        <f>IF(C781="","",TEXT(C781, "mmmm"))</f>
        <v/>
      </c>
      <c r="AJ781" t="str">
        <f>IF(C781="","",YEAR(C781))</f>
        <v/>
      </c>
      <c r="AM781" t="s">
        <v>4144</v>
      </c>
      <c r="AN781" t="s">
        <v>4127</v>
      </c>
    </row>
    <row r="782" spans="1:40">
      <c r="A782" t="s">
        <v>2469</v>
      </c>
      <c r="B782" t="s">
        <v>3949</v>
      </c>
      <c r="C782" s="6">
        <v>45727</v>
      </c>
      <c r="D782" t="s">
        <v>2470</v>
      </c>
      <c r="E782" s="6">
        <v>45731</v>
      </c>
      <c r="F782" t="s">
        <v>2471</v>
      </c>
      <c r="G782" t="s">
        <v>153</v>
      </c>
      <c r="H782" t="s">
        <v>153</v>
      </c>
      <c r="I782" t="s">
        <v>110</v>
      </c>
      <c r="J782" t="s">
        <v>110</v>
      </c>
      <c r="K782" t="s">
        <v>60</v>
      </c>
      <c r="L782" t="str">
        <f>IF(TRIM(K782)="","Unknown",PROPER(TRIM(K782)))</f>
        <v>South</v>
      </c>
      <c r="M782" t="s">
        <v>212</v>
      </c>
      <c r="N782" t="s">
        <v>213</v>
      </c>
      <c r="O782" t="s">
        <v>83</v>
      </c>
      <c r="P782" t="str">
        <f>IF(TRIM(O782)="","Unknown",PROPER(TRIM(O782)))</f>
        <v>Technology</v>
      </c>
      <c r="Q782" t="s">
        <v>84</v>
      </c>
      <c r="R782" t="s">
        <v>2472</v>
      </c>
      <c r="S782" t="s">
        <v>32</v>
      </c>
      <c r="T782" t="str">
        <f>IF(TRIM(S782)="","Unknown",PROPER(TRIM(S782)))</f>
        <v>Second Class</v>
      </c>
      <c r="U782">
        <v>8</v>
      </c>
      <c r="V782">
        <v>4446.3599999999997</v>
      </c>
      <c r="W782">
        <v>0.1</v>
      </c>
      <c r="Y782">
        <v>0.1</v>
      </c>
      <c r="Z782">
        <v>32013.79</v>
      </c>
      <c r="AA782">
        <v>20896.88</v>
      </c>
      <c r="AB782">
        <v>11116.91</v>
      </c>
      <c r="AC782" t="s">
        <v>119</v>
      </c>
      <c r="AD782" t="s">
        <v>76</v>
      </c>
      <c r="AE782">
        <f>ROUND((U782*V782)-(U782*V782*Y782),2)</f>
        <v>32013.79</v>
      </c>
      <c r="AF782">
        <f>AE782-AA782</f>
        <v>11116.91</v>
      </c>
      <c r="AG782" s="7">
        <f>ROUND((AF782/AE782),4)</f>
        <v>0.3473</v>
      </c>
      <c r="AH782">
        <f>IF(AND(C782&lt;&gt;"",E782&lt;&gt;""),E782 - C782,"")</f>
        <v>4</v>
      </c>
      <c r="AI782" t="str">
        <f>IF(C782="","",TEXT(C782, "mmmm"))</f>
        <v>March</v>
      </c>
      <c r="AJ782">
        <f>IF(C782="","",YEAR(C782))</f>
        <v>2025</v>
      </c>
      <c r="AM782" t="str">
        <f>IF(AN782="","clean","")</f>
        <v>clean</v>
      </c>
      <c r="AN782" t="s">
        <v>3595</v>
      </c>
    </row>
    <row r="783" spans="1:40">
      <c r="A783" t="s">
        <v>2490</v>
      </c>
      <c r="B783" t="s">
        <v>1192</v>
      </c>
      <c r="C783" s="6">
        <v>45927</v>
      </c>
      <c r="D783" t="s">
        <v>2491</v>
      </c>
      <c r="E783" s="6">
        <v>45929</v>
      </c>
      <c r="F783" t="s">
        <v>2218</v>
      </c>
      <c r="G783" t="s">
        <v>59</v>
      </c>
      <c r="H783" t="s">
        <v>59</v>
      </c>
      <c r="I783" t="s">
        <v>110</v>
      </c>
      <c r="J783" t="s">
        <v>110</v>
      </c>
      <c r="K783" t="s">
        <v>26</v>
      </c>
      <c r="L783" t="str">
        <f>IF(TRIM(K783)="","Unknown",PROPER(TRIM(K783)))</f>
        <v>North</v>
      </c>
      <c r="M783" t="s">
        <v>163</v>
      </c>
      <c r="N783" t="s">
        <v>164</v>
      </c>
      <c r="O783" t="s">
        <v>44</v>
      </c>
      <c r="P783" t="str">
        <f>IF(TRIM(O783)="","Unknown",PROPER(TRIM(O783)))</f>
        <v>Furniture</v>
      </c>
      <c r="Q783" t="s">
        <v>45</v>
      </c>
      <c r="R783" t="s">
        <v>2492</v>
      </c>
      <c r="S783" t="s">
        <v>32</v>
      </c>
      <c r="T783" t="str">
        <f>IF(TRIM(S783)="","Unknown",PROPER(TRIM(S783)))</f>
        <v>Second Class</v>
      </c>
      <c r="U783">
        <v>9</v>
      </c>
      <c r="V783">
        <v>4100.1099999999997</v>
      </c>
      <c r="W783">
        <v>0.25</v>
      </c>
      <c r="Y783">
        <v>0.25</v>
      </c>
      <c r="Z783">
        <v>27675.74</v>
      </c>
      <c r="AA783">
        <v>15571.08</v>
      </c>
      <c r="AB783">
        <v>12104.66</v>
      </c>
      <c r="AC783" t="s">
        <v>33</v>
      </c>
      <c r="AD783" t="s">
        <v>34</v>
      </c>
      <c r="AE783">
        <f>ROUND((U783*V783)-(U783*V783*Y783),2)</f>
        <v>27675.74</v>
      </c>
      <c r="AF783">
        <f>AE783-AA783</f>
        <v>12104.660000000002</v>
      </c>
      <c r="AG783" s="7">
        <f>ROUND((AF783/AE783),4)</f>
        <v>0.43740000000000001</v>
      </c>
      <c r="AH783">
        <f>IF(AND(C783&lt;&gt;"",E783&lt;&gt;""),E783 - C783,"")</f>
        <v>2</v>
      </c>
      <c r="AI783" t="str">
        <f>IF(C783="","",TEXT(C783, "mmmm"))</f>
        <v>September</v>
      </c>
      <c r="AJ783">
        <f>IF(C783="","",YEAR(C783))</f>
        <v>2025</v>
      </c>
      <c r="AM783" t="str">
        <f>IF(AN783="","clean","")</f>
        <v>clean</v>
      </c>
      <c r="AN783" t="s">
        <v>3595</v>
      </c>
    </row>
    <row r="784" spans="1:40">
      <c r="A784" t="s">
        <v>2496</v>
      </c>
      <c r="B784" t="s">
        <v>3951</v>
      </c>
      <c r="C784" s="6">
        <v>45699</v>
      </c>
      <c r="D784" t="s">
        <v>2497</v>
      </c>
      <c r="E784" s="6">
        <v>45704</v>
      </c>
      <c r="F784" t="s">
        <v>2498</v>
      </c>
      <c r="G784" t="s">
        <v>39</v>
      </c>
      <c r="H784" t="s">
        <v>39</v>
      </c>
      <c r="I784" t="s">
        <v>104</v>
      </c>
      <c r="J784" t="s">
        <v>104</v>
      </c>
      <c r="K784" t="s">
        <v>26</v>
      </c>
      <c r="L784" t="str">
        <f>IF(TRIM(K784)="","Unknown",PROPER(TRIM(K784)))</f>
        <v>North</v>
      </c>
      <c r="M784" t="s">
        <v>163</v>
      </c>
      <c r="N784" t="s">
        <v>164</v>
      </c>
      <c r="O784" t="s">
        <v>83</v>
      </c>
      <c r="P784" t="str">
        <f>IF(TRIM(O784)="","Unknown",PROPER(TRIM(O784)))</f>
        <v>Technology</v>
      </c>
      <c r="Q784" t="s">
        <v>207</v>
      </c>
      <c r="R784" t="s">
        <v>2499</v>
      </c>
      <c r="S784" t="s">
        <v>55</v>
      </c>
      <c r="T784" t="str">
        <f>IF(TRIM(S784)="","Unknown",PROPER(TRIM(S784)))</f>
        <v>First Class</v>
      </c>
      <c r="U784">
        <v>8</v>
      </c>
      <c r="V784">
        <v>1825.56</v>
      </c>
      <c r="W784">
        <v>0.1</v>
      </c>
      <c r="Y784">
        <v>0.1</v>
      </c>
      <c r="Z784">
        <v>13144.03</v>
      </c>
      <c r="AA784">
        <v>9764</v>
      </c>
      <c r="AB784">
        <v>3380.03</v>
      </c>
      <c r="AC784" t="s">
        <v>33</v>
      </c>
      <c r="AD784" t="s">
        <v>34</v>
      </c>
      <c r="AE784">
        <f>ROUND((U784*V784)-(U784*V784*Y784),2)</f>
        <v>13144.03</v>
      </c>
      <c r="AF784">
        <f>AE784-AA784</f>
        <v>3380.0300000000007</v>
      </c>
      <c r="AG784" s="7">
        <f>ROUND((AF784/AE784),4)</f>
        <v>0.25719999999999998</v>
      </c>
      <c r="AH784">
        <f>IF(AND(C784&lt;&gt;"",E784&lt;&gt;""),E784 - C784,"")</f>
        <v>5</v>
      </c>
      <c r="AI784" t="str">
        <f>IF(C784="","",TEXT(C784, "mmmm"))</f>
        <v>February</v>
      </c>
      <c r="AJ784">
        <f>IF(C784="","",YEAR(C784))</f>
        <v>2025</v>
      </c>
      <c r="AM784" t="str">
        <f>IF(AN784="","clean","")</f>
        <v>clean</v>
      </c>
      <c r="AN784" t="s">
        <v>3595</v>
      </c>
    </row>
    <row r="785" spans="1:40">
      <c r="A785" t="s">
        <v>2503</v>
      </c>
      <c r="B785" t="s">
        <v>2504</v>
      </c>
      <c r="C785" s="6">
        <v>45846</v>
      </c>
      <c r="D785" t="s">
        <v>439</v>
      </c>
      <c r="E785" s="6">
        <v>45846</v>
      </c>
      <c r="F785" t="s">
        <v>2505</v>
      </c>
      <c r="G785" t="s">
        <v>103</v>
      </c>
      <c r="H785" t="s">
        <v>103</v>
      </c>
      <c r="I785" t="s">
        <v>25</v>
      </c>
      <c r="J785" t="s">
        <v>25</v>
      </c>
      <c r="K785" t="s">
        <v>60</v>
      </c>
      <c r="L785" t="str">
        <f>IF(TRIM(K785)="","Unknown",PROPER(TRIM(K785)))</f>
        <v>South</v>
      </c>
      <c r="M785" t="s">
        <v>61</v>
      </c>
      <c r="N785" t="s">
        <v>62</v>
      </c>
      <c r="O785" t="s">
        <v>83</v>
      </c>
      <c r="P785" t="str">
        <f>IF(TRIM(O785)="","Unknown",PROPER(TRIM(O785)))</f>
        <v>Technology</v>
      </c>
      <c r="Q785" t="s">
        <v>91</v>
      </c>
      <c r="R785" t="s">
        <v>2506</v>
      </c>
      <c r="S785" t="s">
        <v>47</v>
      </c>
      <c r="T785" t="str">
        <f>IF(TRIM(S785)="","Unknown",PROPER(TRIM(S785)))</f>
        <v>Same Day</v>
      </c>
      <c r="U785">
        <v>9</v>
      </c>
      <c r="V785">
        <v>274.88</v>
      </c>
      <c r="W785">
        <v>0.25</v>
      </c>
      <c r="Y785">
        <v>0.25</v>
      </c>
      <c r="Z785">
        <v>1855.44</v>
      </c>
      <c r="AA785">
        <v>1262.74</v>
      </c>
      <c r="AB785">
        <v>592.70000000000005</v>
      </c>
      <c r="AC785" t="s">
        <v>33</v>
      </c>
      <c r="AD785" t="s">
        <v>34</v>
      </c>
      <c r="AE785">
        <f>ROUND((U785*V785)-(U785*V785*Y785),2)</f>
        <v>1855.44</v>
      </c>
      <c r="AF785">
        <f>AE785-AA785</f>
        <v>592.70000000000005</v>
      </c>
      <c r="AG785" s="7">
        <f>ROUND((AF785/AE785),4)</f>
        <v>0.31940000000000002</v>
      </c>
      <c r="AH785">
        <f>IF(AND(C785&lt;&gt;"",E785&lt;&gt;""),E785 - C785,"")</f>
        <v>0</v>
      </c>
      <c r="AI785" t="str">
        <f>IF(C785="","",TEXT(C785, "mmmm"))</f>
        <v>July</v>
      </c>
      <c r="AJ785">
        <f>IF(C785="","",YEAR(C785))</f>
        <v>2025</v>
      </c>
      <c r="AM785" t="str">
        <f>IF(AN785="","clean","")</f>
        <v>clean</v>
      </c>
      <c r="AN785" t="s">
        <v>3595</v>
      </c>
    </row>
    <row r="786" spans="1:40">
      <c r="A786" t="s">
        <v>2515</v>
      </c>
      <c r="B786" t="s">
        <v>3952</v>
      </c>
      <c r="C786" s="6">
        <v>45721</v>
      </c>
      <c r="D786" t="s">
        <v>2516</v>
      </c>
      <c r="E786" s="6">
        <v>45728</v>
      </c>
      <c r="F786" t="s">
        <v>2517</v>
      </c>
      <c r="G786" t="s">
        <v>70</v>
      </c>
      <c r="H786" t="s">
        <v>70</v>
      </c>
      <c r="I786" t="s">
        <v>104</v>
      </c>
      <c r="J786" t="s">
        <v>104</v>
      </c>
      <c r="K786" t="s">
        <v>71</v>
      </c>
      <c r="L786" t="str">
        <f>IF(TRIM(K786)="","Unknown",PROPER(TRIM(K786)))</f>
        <v>West</v>
      </c>
      <c r="M786" t="s">
        <v>81</v>
      </c>
      <c r="N786" t="s">
        <v>82</v>
      </c>
      <c r="O786" t="s">
        <v>29</v>
      </c>
      <c r="P786" t="str">
        <f>IF(TRIM(O786)="","Unknown",PROPER(TRIM(O786)))</f>
        <v>Office Supplies</v>
      </c>
      <c r="Q786" t="s">
        <v>148</v>
      </c>
      <c r="R786" t="s">
        <v>2518</v>
      </c>
      <c r="S786" t="s">
        <v>47</v>
      </c>
      <c r="T786" t="str">
        <f>IF(TRIM(S786)="","Unknown",PROPER(TRIM(S786)))</f>
        <v>Same Day</v>
      </c>
      <c r="U786">
        <v>3</v>
      </c>
      <c r="V786">
        <v>3682.75</v>
      </c>
      <c r="Y786">
        <v>0</v>
      </c>
      <c r="Z786">
        <v>11048.25</v>
      </c>
      <c r="AA786">
        <v>9062.7199999999993</v>
      </c>
      <c r="AB786">
        <v>1985.53</v>
      </c>
      <c r="AC786" t="s">
        <v>33</v>
      </c>
      <c r="AD786" t="s">
        <v>34</v>
      </c>
      <c r="AE786">
        <f>ROUND((U786*V786)-(U786*V786*Y786),2)</f>
        <v>11048.25</v>
      </c>
      <c r="AF786">
        <f>AE786-AA786</f>
        <v>1985.5300000000007</v>
      </c>
      <c r="AG786" s="7">
        <f>ROUND((AF786/AE786),4)</f>
        <v>0.1797</v>
      </c>
      <c r="AH786">
        <f>IF(AND(C786&lt;&gt;"",E786&lt;&gt;""),E786 - C786,"")</f>
        <v>7</v>
      </c>
      <c r="AI786" t="str">
        <f>IF(C786="","",TEXT(C786, "mmmm"))</f>
        <v>March</v>
      </c>
      <c r="AJ786">
        <f>IF(C786="","",YEAR(C786))</f>
        <v>2025</v>
      </c>
      <c r="AM786" t="str">
        <f>IF(AN786="","clean","")</f>
        <v>clean</v>
      </c>
      <c r="AN786" t="s">
        <v>3595</v>
      </c>
    </row>
    <row r="787" spans="1:40">
      <c r="A787" t="s">
        <v>2527</v>
      </c>
      <c r="B787" t="s">
        <v>3955</v>
      </c>
      <c r="C787" s="6">
        <v>45660</v>
      </c>
      <c r="D787" t="s">
        <v>532</v>
      </c>
      <c r="E787" s="6">
        <v>45668</v>
      </c>
      <c r="F787" t="s">
        <v>431</v>
      </c>
      <c r="G787" t="s">
        <v>80</v>
      </c>
      <c r="H787" t="s">
        <v>80</v>
      </c>
      <c r="I787" t="s">
        <v>104</v>
      </c>
      <c r="J787" t="s">
        <v>104</v>
      </c>
      <c r="K787" t="s">
        <v>41</v>
      </c>
      <c r="L787" t="str">
        <f>IF(TRIM(K787)="","Unknown",PROPER(TRIM(K787)))</f>
        <v>East</v>
      </c>
      <c r="M787" t="s">
        <v>174</v>
      </c>
      <c r="N787" t="s">
        <v>175</v>
      </c>
      <c r="O787" t="s">
        <v>83</v>
      </c>
      <c r="P787" t="str">
        <f>IF(TRIM(O787)="","Unknown",PROPER(TRIM(O787)))</f>
        <v>Technology</v>
      </c>
      <c r="Q787" t="s">
        <v>84</v>
      </c>
      <c r="R787" t="s">
        <v>2528</v>
      </c>
      <c r="S787" t="s">
        <v>55</v>
      </c>
      <c r="T787" t="str">
        <f>IF(TRIM(S787)="","Unknown",PROPER(TRIM(S787)))</f>
        <v>First Class</v>
      </c>
      <c r="U787">
        <v>8</v>
      </c>
      <c r="V787">
        <v>2574.29</v>
      </c>
      <c r="W787">
        <v>0.05</v>
      </c>
      <c r="Y787">
        <v>0.05</v>
      </c>
      <c r="Z787">
        <v>19564.599999999999</v>
      </c>
      <c r="AA787">
        <v>11154.59</v>
      </c>
      <c r="AB787">
        <v>8410.01</v>
      </c>
      <c r="AC787" t="s">
        <v>131</v>
      </c>
      <c r="AD787" t="s">
        <v>76</v>
      </c>
      <c r="AE787">
        <f>ROUND((U787*V787)-(U787*V787*Y787),2)</f>
        <v>19564.599999999999</v>
      </c>
      <c r="AF787">
        <f>AE787-AA787</f>
        <v>8410.0099999999984</v>
      </c>
      <c r="AG787" s="7">
        <f>ROUND((AF787/AE787),4)</f>
        <v>0.4299</v>
      </c>
      <c r="AH787">
        <f>IF(AND(C787&lt;&gt;"",E787&lt;&gt;""),E787 - C787,"")</f>
        <v>8</v>
      </c>
      <c r="AI787" t="str">
        <f>IF(C787="","",TEXT(C787, "mmmm"))</f>
        <v>January</v>
      </c>
      <c r="AJ787">
        <f>IF(C787="","",YEAR(C787))</f>
        <v>2025</v>
      </c>
      <c r="AM787" t="str">
        <f>IF(AN787="","clean","")</f>
        <v>clean</v>
      </c>
      <c r="AN787" t="s">
        <v>3595</v>
      </c>
    </row>
    <row r="788" spans="1:40">
      <c r="A788" t="s">
        <v>2529</v>
      </c>
      <c r="B788" t="s">
        <v>2530</v>
      </c>
      <c r="C788" s="6">
        <v>45693</v>
      </c>
      <c r="D788" t="s">
        <v>2531</v>
      </c>
      <c r="E788" s="6">
        <v>45694</v>
      </c>
      <c r="F788" t="s">
        <v>2532</v>
      </c>
      <c r="G788" t="s">
        <v>70</v>
      </c>
      <c r="H788" t="s">
        <v>70</v>
      </c>
      <c r="I788" t="s">
        <v>25</v>
      </c>
      <c r="J788" t="s">
        <v>25</v>
      </c>
      <c r="K788" t="s">
        <v>71</v>
      </c>
      <c r="L788" t="str">
        <f>IF(TRIM(K788)="","Unknown",PROPER(TRIM(K788)))</f>
        <v>West</v>
      </c>
      <c r="M788" t="s">
        <v>81</v>
      </c>
      <c r="N788" t="s">
        <v>82</v>
      </c>
      <c r="O788" t="s">
        <v>29</v>
      </c>
      <c r="P788" t="str">
        <f>IF(TRIM(O788)="","Unknown",PROPER(TRIM(O788)))</f>
        <v>Office Supplies</v>
      </c>
      <c r="Q788" t="s">
        <v>184</v>
      </c>
      <c r="R788" t="s">
        <v>2533</v>
      </c>
      <c r="S788" t="s">
        <v>47</v>
      </c>
      <c r="T788" t="str">
        <f>IF(TRIM(S788)="","Unknown",PROPER(TRIM(S788)))</f>
        <v>Same Day</v>
      </c>
      <c r="U788">
        <v>3</v>
      </c>
      <c r="V788">
        <v>1076.3</v>
      </c>
      <c r="W788">
        <v>0</v>
      </c>
      <c r="Y788">
        <v>0</v>
      </c>
      <c r="Z788">
        <v>3228.9</v>
      </c>
      <c r="AA788">
        <v>1853.23</v>
      </c>
      <c r="AB788">
        <v>1375.67</v>
      </c>
      <c r="AC788" t="s">
        <v>33</v>
      </c>
      <c r="AD788" t="s">
        <v>34</v>
      </c>
      <c r="AE788">
        <f>ROUND((U788*V788)-(U788*V788*Y788),2)</f>
        <v>3228.9</v>
      </c>
      <c r="AF788">
        <f>AE788-AA788</f>
        <v>1375.67</v>
      </c>
      <c r="AG788" s="7">
        <f>ROUND((AF788/AE788),4)</f>
        <v>0.42599999999999999</v>
      </c>
      <c r="AH788">
        <f>IF(AND(C788&lt;&gt;"",E788&lt;&gt;""),E788 - C788,"")</f>
        <v>1</v>
      </c>
      <c r="AI788" t="str">
        <f>IF(C788="","",TEXT(C788, "mmmm"))</f>
        <v>February</v>
      </c>
      <c r="AJ788">
        <f>IF(C788="","",YEAR(C788))</f>
        <v>2025</v>
      </c>
      <c r="AM788" t="str">
        <f>IF(AN788="","clean","")</f>
        <v>clean</v>
      </c>
      <c r="AN788" t="s">
        <v>3595</v>
      </c>
    </row>
    <row r="789" spans="1:40">
      <c r="A789" t="s">
        <v>2534</v>
      </c>
      <c r="B789" t="s">
        <v>2289</v>
      </c>
      <c r="C789" s="6">
        <v>45847</v>
      </c>
      <c r="D789" t="s">
        <v>2535</v>
      </c>
      <c r="E789" s="6">
        <v>45851</v>
      </c>
      <c r="F789" t="s">
        <v>2536</v>
      </c>
      <c r="G789" t="s">
        <v>334</v>
      </c>
      <c r="H789" t="s">
        <v>334</v>
      </c>
      <c r="I789" t="s">
        <v>104</v>
      </c>
      <c r="J789" t="s">
        <v>104</v>
      </c>
      <c r="K789" t="s">
        <v>71</v>
      </c>
      <c r="L789" t="str">
        <f>IF(TRIM(K789)="","Unknown",PROPER(TRIM(K789)))</f>
        <v>West</v>
      </c>
      <c r="M789" t="s">
        <v>230</v>
      </c>
      <c r="N789" t="s">
        <v>231</v>
      </c>
      <c r="O789" t="s">
        <v>44</v>
      </c>
      <c r="P789" t="str">
        <f>IF(TRIM(O789)="","Unknown",PROPER(TRIM(O789)))</f>
        <v>Furniture</v>
      </c>
      <c r="Q789" t="s">
        <v>63</v>
      </c>
      <c r="R789" t="s">
        <v>2537</v>
      </c>
      <c r="S789" t="s">
        <v>32</v>
      </c>
      <c r="T789" t="str">
        <f>IF(TRIM(S789)="","Unknown",PROPER(TRIM(S789)))</f>
        <v>Second Class</v>
      </c>
      <c r="U789">
        <v>5</v>
      </c>
      <c r="V789">
        <v>1680.01</v>
      </c>
      <c r="W789" t="s">
        <v>1032</v>
      </c>
      <c r="Y789">
        <v>0.1</v>
      </c>
      <c r="Z789">
        <v>7560.04</v>
      </c>
      <c r="AA789">
        <v>6448.05</v>
      </c>
      <c r="AB789">
        <v>1111.99</v>
      </c>
      <c r="AC789" t="s">
        <v>33</v>
      </c>
      <c r="AD789" t="s">
        <v>76</v>
      </c>
      <c r="AE789">
        <f>ROUND((U789*V789)-(U789*V789*Y789),2)</f>
        <v>7560.05</v>
      </c>
      <c r="AF789">
        <f>AE789-AA789</f>
        <v>1112</v>
      </c>
      <c r="AG789" s="7">
        <f>ROUND((AF789/AE789),4)</f>
        <v>0.14710000000000001</v>
      </c>
      <c r="AH789">
        <f>IF(AND(C789&lt;&gt;"",E789&lt;&gt;""),E789 - C789,"")</f>
        <v>4</v>
      </c>
      <c r="AI789" t="str">
        <f>IF(C789="","",TEXT(C789, "mmmm"))</f>
        <v>July</v>
      </c>
      <c r="AJ789">
        <f>IF(C789="","",YEAR(C789))</f>
        <v>2025</v>
      </c>
      <c r="AM789" t="s">
        <v>4145</v>
      </c>
      <c r="AN789" t="s">
        <v>3596</v>
      </c>
    </row>
    <row r="790" spans="1:40">
      <c r="A790" t="s">
        <v>2538</v>
      </c>
      <c r="B790" t="s">
        <v>2539</v>
      </c>
      <c r="C790" s="6">
        <v>45710</v>
      </c>
      <c r="D790" t="s">
        <v>2217</v>
      </c>
      <c r="E790" s="6">
        <v>45716</v>
      </c>
      <c r="F790" t="s">
        <v>2540</v>
      </c>
      <c r="G790" t="s">
        <v>141</v>
      </c>
      <c r="H790" t="s">
        <v>141</v>
      </c>
      <c r="I790" t="s">
        <v>110</v>
      </c>
      <c r="J790" t="s">
        <v>110</v>
      </c>
      <c r="K790" t="s">
        <v>71</v>
      </c>
      <c r="L790" t="str">
        <f>IF(TRIM(K790)="","Unknown",PROPER(TRIM(K790)))</f>
        <v>West</v>
      </c>
      <c r="M790" t="s">
        <v>81</v>
      </c>
      <c r="N790" t="s">
        <v>82</v>
      </c>
      <c r="O790" t="s">
        <v>83</v>
      </c>
      <c r="P790" t="str">
        <f>IF(TRIM(O790)="","Unknown",PROPER(TRIM(O790)))</f>
        <v>Technology</v>
      </c>
      <c r="Q790" t="s">
        <v>91</v>
      </c>
      <c r="R790" t="s">
        <v>2541</v>
      </c>
      <c r="S790" t="s">
        <v>47</v>
      </c>
      <c r="T790" t="str">
        <f>IF(TRIM(S790)="","Unknown",PROPER(TRIM(S790)))</f>
        <v>Same Day</v>
      </c>
      <c r="U790">
        <v>3</v>
      </c>
      <c r="V790">
        <v>3890.81</v>
      </c>
      <c r="W790">
        <v>0.25</v>
      </c>
      <c r="Y790">
        <v>0.25</v>
      </c>
      <c r="Z790">
        <v>8754.32</v>
      </c>
      <c r="AA790">
        <v>6238.9</v>
      </c>
      <c r="AB790">
        <v>2515.42</v>
      </c>
      <c r="AC790" t="s">
        <v>33</v>
      </c>
      <c r="AD790" t="s">
        <v>34</v>
      </c>
      <c r="AE790">
        <f>ROUND((U790*V790)-(U790*V790*Y790),2)</f>
        <v>8754.32</v>
      </c>
      <c r="AF790">
        <f>AE790-AA790</f>
        <v>2515.42</v>
      </c>
      <c r="AG790" s="7">
        <f>ROUND((AF790/AE790),4)</f>
        <v>0.2873</v>
      </c>
      <c r="AH790">
        <f>IF(AND(C790&lt;&gt;"",E790&lt;&gt;""),E790 - C790,"")</f>
        <v>6</v>
      </c>
      <c r="AI790" t="str">
        <f>IF(C790="","",TEXT(C790, "mmmm"))</f>
        <v>February</v>
      </c>
      <c r="AJ790">
        <f>IF(C790="","",YEAR(C790))</f>
        <v>2025</v>
      </c>
      <c r="AM790" t="str">
        <f>IF(AN790="","clean","")</f>
        <v>clean</v>
      </c>
      <c r="AN790" t="s">
        <v>3595</v>
      </c>
    </row>
    <row r="791" spans="1:40">
      <c r="A791" t="s">
        <v>2542</v>
      </c>
      <c r="B791" t="s">
        <v>2497</v>
      </c>
      <c r="C791" s="6">
        <v>45704</v>
      </c>
      <c r="D791" t="s">
        <v>2539</v>
      </c>
      <c r="E791" s="6">
        <v>45710</v>
      </c>
      <c r="F791" t="s">
        <v>2543</v>
      </c>
      <c r="G791" t="s">
        <v>158</v>
      </c>
      <c r="H791" t="s">
        <v>158</v>
      </c>
      <c r="I791" t="s">
        <v>110</v>
      </c>
      <c r="J791" t="s">
        <v>110</v>
      </c>
      <c r="K791" t="s">
        <v>41</v>
      </c>
      <c r="L791" t="str">
        <f>IF(TRIM(K791)="","Unknown",PROPER(TRIM(K791)))</f>
        <v>East</v>
      </c>
      <c r="M791" t="s">
        <v>174</v>
      </c>
      <c r="N791" t="s">
        <v>175</v>
      </c>
      <c r="O791" t="s">
        <v>29</v>
      </c>
      <c r="P791" t="str">
        <f>IF(TRIM(O791)="","Unknown",PROPER(TRIM(O791)))</f>
        <v>Office Supplies</v>
      </c>
      <c r="Q791" t="s">
        <v>148</v>
      </c>
      <c r="R791" t="s">
        <v>2544</v>
      </c>
      <c r="S791" t="s">
        <v>47</v>
      </c>
      <c r="T791" t="str">
        <f>IF(TRIM(S791)="","Unknown",PROPER(TRIM(S791)))</f>
        <v>Same Day</v>
      </c>
      <c r="U791">
        <v>5</v>
      </c>
      <c r="V791">
        <v>954.67</v>
      </c>
      <c r="W791">
        <v>0.15</v>
      </c>
      <c r="Y791">
        <v>0.15</v>
      </c>
      <c r="Z791">
        <v>4057.35</v>
      </c>
      <c r="AA791">
        <v>2862.03</v>
      </c>
      <c r="AB791">
        <v>1195.32</v>
      </c>
      <c r="AC791" t="s">
        <v>33</v>
      </c>
      <c r="AD791" t="s">
        <v>34</v>
      </c>
      <c r="AE791">
        <f>ROUND((U791*V791)-(U791*V791*Y791),2)</f>
        <v>4057.35</v>
      </c>
      <c r="AF791">
        <f>AE791-AA791</f>
        <v>1195.3199999999997</v>
      </c>
      <c r="AG791" s="7">
        <f>ROUND((AF791/AE791),4)</f>
        <v>0.29459999999999997</v>
      </c>
      <c r="AH791">
        <f>IF(AND(C791&lt;&gt;"",E791&lt;&gt;""),E791 - C791,"")</f>
        <v>6</v>
      </c>
      <c r="AI791" t="str">
        <f>IF(C791="","",TEXT(C791, "mmmm"))</f>
        <v>February</v>
      </c>
      <c r="AJ791">
        <f>IF(C791="","",YEAR(C791))</f>
        <v>2025</v>
      </c>
      <c r="AM791" t="str">
        <f>IF(AN791="","clean","")</f>
        <v>clean</v>
      </c>
      <c r="AN791" t="s">
        <v>3595</v>
      </c>
    </row>
    <row r="792" spans="1:40">
      <c r="A792" t="s">
        <v>2547</v>
      </c>
      <c r="B792" t="s">
        <v>3849</v>
      </c>
      <c r="C792" s="6">
        <v>45665</v>
      </c>
      <c r="D792" t="s">
        <v>1038</v>
      </c>
      <c r="E792" s="6">
        <v>45669</v>
      </c>
      <c r="F792" t="s">
        <v>2548</v>
      </c>
      <c r="G792" t="s">
        <v>158</v>
      </c>
      <c r="H792" t="s">
        <v>158</v>
      </c>
      <c r="I792" t="s">
        <v>110</v>
      </c>
      <c r="J792" t="s">
        <v>110</v>
      </c>
      <c r="K792" t="s">
        <v>60</v>
      </c>
      <c r="L792" t="str">
        <f>IF(TRIM(K792)="","Unknown",PROPER(TRIM(K792)))</f>
        <v>South</v>
      </c>
      <c r="M792" t="s">
        <v>212</v>
      </c>
      <c r="N792" t="s">
        <v>213</v>
      </c>
      <c r="O792" t="s">
        <v>44</v>
      </c>
      <c r="P792" t="str">
        <f>IF(TRIM(O792)="","Unknown",PROPER(TRIM(O792)))</f>
        <v>Furniture</v>
      </c>
      <c r="Q792" t="s">
        <v>74</v>
      </c>
      <c r="R792" t="s">
        <v>2549</v>
      </c>
      <c r="S792" t="s">
        <v>65</v>
      </c>
      <c r="T792" t="str">
        <f>IF(TRIM(S792)="","Unknown",PROPER(TRIM(S792)))</f>
        <v>Standard Class</v>
      </c>
      <c r="U792">
        <v>7</v>
      </c>
      <c r="V792">
        <v>4337.4799999999996</v>
      </c>
      <c r="W792">
        <v>0</v>
      </c>
      <c r="Y792">
        <v>0</v>
      </c>
      <c r="Z792">
        <v>30362.36</v>
      </c>
      <c r="AA792">
        <v>25065.4</v>
      </c>
      <c r="AB792">
        <v>5296.96</v>
      </c>
      <c r="AC792" t="s">
        <v>33</v>
      </c>
      <c r="AD792" t="s">
        <v>34</v>
      </c>
      <c r="AE792">
        <f>ROUND((U792*V792)-(U792*V792*Y792),2)</f>
        <v>30362.36</v>
      </c>
      <c r="AF792">
        <f>AE792-AA792</f>
        <v>5296.9599999999991</v>
      </c>
      <c r="AG792" s="7">
        <f>ROUND((AF792/AE792),4)</f>
        <v>0.17449999999999999</v>
      </c>
      <c r="AH792">
        <f>IF(AND(C792&lt;&gt;"",E792&lt;&gt;""),E792 - C792,"")</f>
        <v>4</v>
      </c>
      <c r="AI792" t="str">
        <f>IF(C792="","",TEXT(C792, "mmmm"))</f>
        <v>January</v>
      </c>
      <c r="AJ792">
        <f>IF(C792="","",YEAR(C792))</f>
        <v>2025</v>
      </c>
      <c r="AM792" t="str">
        <f>IF(AN792="","clean","")</f>
        <v>clean</v>
      </c>
      <c r="AN792" t="s">
        <v>3595</v>
      </c>
    </row>
    <row r="793" spans="1:40">
      <c r="A793" t="s">
        <v>2553</v>
      </c>
      <c r="B793" t="s">
        <v>3926</v>
      </c>
      <c r="C793" s="6">
        <v>45846</v>
      </c>
      <c r="D793" t="s">
        <v>2554</v>
      </c>
      <c r="E793" s="6">
        <v>45853</v>
      </c>
      <c r="F793" t="s">
        <v>2555</v>
      </c>
      <c r="G793" t="s">
        <v>70</v>
      </c>
      <c r="H793" t="s">
        <v>70</v>
      </c>
      <c r="I793" t="s">
        <v>40</v>
      </c>
      <c r="J793" t="s">
        <v>40</v>
      </c>
      <c r="K793" t="s">
        <v>26</v>
      </c>
      <c r="L793" t="str">
        <f>IF(TRIM(K793)="","Unknown",PROPER(TRIM(K793)))</f>
        <v>North</v>
      </c>
      <c r="M793" t="s">
        <v>27</v>
      </c>
      <c r="N793" t="s">
        <v>28</v>
      </c>
      <c r="O793" t="s">
        <v>29</v>
      </c>
      <c r="P793" t="str">
        <f>IF(TRIM(O793)="","Unknown",PROPER(TRIM(O793)))</f>
        <v>Office Supplies</v>
      </c>
      <c r="Q793" t="s">
        <v>184</v>
      </c>
      <c r="R793" t="s">
        <v>2556</v>
      </c>
      <c r="S793" t="s">
        <v>47</v>
      </c>
      <c r="T793" t="str">
        <f>IF(TRIM(S793)="","Unknown",PROPER(TRIM(S793)))</f>
        <v>Same Day</v>
      </c>
      <c r="U793">
        <v>8</v>
      </c>
      <c r="V793">
        <v>655.28</v>
      </c>
      <c r="W793">
        <v>0.1</v>
      </c>
      <c r="Y793">
        <v>0.1</v>
      </c>
      <c r="Z793">
        <v>4718.0200000000004</v>
      </c>
      <c r="AA793">
        <v>3908.23</v>
      </c>
      <c r="AB793">
        <v>809.79</v>
      </c>
      <c r="AC793" t="s">
        <v>33</v>
      </c>
      <c r="AD793" t="s">
        <v>34</v>
      </c>
      <c r="AE793">
        <f>ROUND((U793*V793)-(U793*V793*Y793),2)</f>
        <v>4718.0200000000004</v>
      </c>
      <c r="AF793">
        <f>AE793-AA793</f>
        <v>809.79000000000042</v>
      </c>
      <c r="AG793" s="7">
        <f>ROUND((AF793/AE793),4)</f>
        <v>0.1716</v>
      </c>
      <c r="AH793">
        <f>IF(AND(C793&lt;&gt;"",E793&lt;&gt;""),E793 - C793,"")</f>
        <v>7</v>
      </c>
      <c r="AI793" t="str">
        <f>IF(C793="","",TEXT(C793, "mmmm"))</f>
        <v>July</v>
      </c>
      <c r="AJ793">
        <f>IF(C793="","",YEAR(C793))</f>
        <v>2025</v>
      </c>
      <c r="AM793" t="str">
        <f>IF(AN793="","clean","")</f>
        <v>clean</v>
      </c>
      <c r="AN793" t="s">
        <v>3595</v>
      </c>
    </row>
    <row r="794" spans="1:40">
      <c r="A794" t="s">
        <v>2557</v>
      </c>
      <c r="B794" t="s">
        <v>3957</v>
      </c>
      <c r="C794" s="6">
        <v>45753</v>
      </c>
      <c r="D794" t="s">
        <v>2558</v>
      </c>
      <c r="E794" s="6">
        <v>45760</v>
      </c>
      <c r="F794" t="s">
        <v>2559</v>
      </c>
      <c r="G794" t="s">
        <v>103</v>
      </c>
      <c r="H794" t="s">
        <v>103</v>
      </c>
      <c r="I794" t="s">
        <v>25</v>
      </c>
      <c r="J794" t="s">
        <v>25</v>
      </c>
      <c r="L794" t="str">
        <f>IF(TRIM(K794)="","Unknown",PROPER(TRIM(K794)))</f>
        <v>Unknown</v>
      </c>
      <c r="M794" t="s">
        <v>42</v>
      </c>
      <c r="N794" t="s">
        <v>43</v>
      </c>
      <c r="O794" t="s">
        <v>83</v>
      </c>
      <c r="P794" t="str">
        <f>IF(TRIM(O794)="","Unknown",PROPER(TRIM(O794)))</f>
        <v>Technology</v>
      </c>
      <c r="Q794" t="s">
        <v>207</v>
      </c>
      <c r="R794" t="s">
        <v>2560</v>
      </c>
      <c r="S794" t="s">
        <v>65</v>
      </c>
      <c r="T794" t="str">
        <f>IF(TRIM(S794)="","Unknown",PROPER(TRIM(S794)))</f>
        <v>Standard Class</v>
      </c>
      <c r="U794">
        <v>1</v>
      </c>
      <c r="V794">
        <v>3844.01</v>
      </c>
      <c r="W794">
        <v>0</v>
      </c>
      <c r="Y794">
        <v>0</v>
      </c>
      <c r="Z794">
        <v>3844.01</v>
      </c>
      <c r="AA794">
        <v>2195.79</v>
      </c>
      <c r="AB794">
        <v>1648.22</v>
      </c>
      <c r="AC794" t="s">
        <v>33</v>
      </c>
      <c r="AD794" t="s">
        <v>34</v>
      </c>
      <c r="AE794">
        <f>ROUND((U794*V794)-(U794*V794*Y794),2)</f>
        <v>3844.01</v>
      </c>
      <c r="AF794">
        <f>AE794-AA794</f>
        <v>1648.2200000000003</v>
      </c>
      <c r="AG794" s="7">
        <f>ROUND((AF794/AE794),4)</f>
        <v>0.42880000000000001</v>
      </c>
      <c r="AH794">
        <f>IF(AND(C794&lt;&gt;"",E794&lt;&gt;""),E794 - C794,"")</f>
        <v>7</v>
      </c>
      <c r="AI794" t="str">
        <f>IF(C794="","",TEXT(C794, "mmmm"))</f>
        <v>April</v>
      </c>
      <c r="AJ794">
        <f>IF(C794="","",YEAR(C794))</f>
        <v>2025</v>
      </c>
      <c r="AM794" t="s">
        <v>4145</v>
      </c>
      <c r="AN794" t="s">
        <v>3597</v>
      </c>
    </row>
    <row r="795" spans="1:40">
      <c r="A795" t="s">
        <v>2594</v>
      </c>
      <c r="B795" t="s">
        <v>3963</v>
      </c>
      <c r="D795" t="s">
        <v>2595</v>
      </c>
      <c r="E795" s="6">
        <v>45694</v>
      </c>
      <c r="F795" t="s">
        <v>2596</v>
      </c>
      <c r="G795" t="s">
        <v>80</v>
      </c>
      <c r="H795" t="s">
        <v>80</v>
      </c>
      <c r="I795" t="s">
        <v>25</v>
      </c>
      <c r="J795" t="s">
        <v>25</v>
      </c>
      <c r="K795" t="s">
        <v>41</v>
      </c>
      <c r="L795" t="str">
        <f>IF(TRIM(K795)="","Unknown",PROPER(TRIM(K795)))</f>
        <v>East</v>
      </c>
      <c r="M795" t="s">
        <v>174</v>
      </c>
      <c r="N795" t="s">
        <v>175</v>
      </c>
      <c r="O795" t="s">
        <v>29</v>
      </c>
      <c r="P795" t="str">
        <f>IF(TRIM(O795)="","Unknown",PROPER(TRIM(O795)))</f>
        <v>Office Supplies</v>
      </c>
      <c r="Q795" t="s">
        <v>148</v>
      </c>
      <c r="R795" t="s">
        <v>2597</v>
      </c>
      <c r="S795" t="s">
        <v>65</v>
      </c>
      <c r="T795" t="str">
        <f>IF(TRIM(S795)="","Unknown",PROPER(TRIM(S795)))</f>
        <v>Standard Class</v>
      </c>
      <c r="U795">
        <v>4</v>
      </c>
      <c r="V795">
        <v>2759.01</v>
      </c>
      <c r="W795">
        <v>0.05</v>
      </c>
      <c r="Y795">
        <v>0.05</v>
      </c>
      <c r="Z795">
        <v>10484.24</v>
      </c>
      <c r="AA795">
        <v>6680.15</v>
      </c>
      <c r="AB795">
        <v>3804.09</v>
      </c>
      <c r="AC795" t="s">
        <v>33</v>
      </c>
      <c r="AD795" t="s">
        <v>34</v>
      </c>
      <c r="AE795">
        <f>ROUND((U795*V795)-(U795*V795*Y795),2)</f>
        <v>10484.24</v>
      </c>
      <c r="AF795">
        <f>AE795-AA795</f>
        <v>3804.09</v>
      </c>
      <c r="AG795" s="7">
        <f>ROUND((AF795/AE795),4)</f>
        <v>0.36280000000000001</v>
      </c>
      <c r="AH795" t="str">
        <f>IF(AND(C795&lt;&gt;"",E795&lt;&gt;""),E795 - C795,"")</f>
        <v/>
      </c>
      <c r="AI795" t="str">
        <f>IF(C795="","",TEXT(C795, "mmmm"))</f>
        <v/>
      </c>
      <c r="AJ795" t="str">
        <f>IF(C795="","",YEAR(C795))</f>
        <v/>
      </c>
      <c r="AM795" t="s">
        <v>4144</v>
      </c>
      <c r="AN795" t="s">
        <v>4127</v>
      </c>
    </row>
    <row r="796" spans="1:40">
      <c r="A796" t="s">
        <v>2609</v>
      </c>
      <c r="B796" t="s">
        <v>1219</v>
      </c>
      <c r="C796" s="6">
        <v>45812</v>
      </c>
      <c r="D796" t="s">
        <v>2610</v>
      </c>
      <c r="E796" s="6">
        <v>45815</v>
      </c>
      <c r="F796" t="s">
        <v>2611</v>
      </c>
      <c r="G796" t="s">
        <v>158</v>
      </c>
      <c r="H796" t="s">
        <v>158</v>
      </c>
      <c r="I796" t="s">
        <v>110</v>
      </c>
      <c r="J796" t="s">
        <v>110</v>
      </c>
      <c r="K796" t="s">
        <v>41</v>
      </c>
      <c r="L796" t="str">
        <f>IF(TRIM(K796)="","Unknown",PROPER(TRIM(K796)))</f>
        <v>East</v>
      </c>
      <c r="M796" t="s">
        <v>201</v>
      </c>
      <c r="N796" t="s">
        <v>202</v>
      </c>
      <c r="O796" t="s">
        <v>83</v>
      </c>
      <c r="P796" t="str">
        <f>IF(TRIM(O796)="","Unknown",PROPER(TRIM(O796)))</f>
        <v>Technology</v>
      </c>
      <c r="Q796" t="s">
        <v>347</v>
      </c>
      <c r="R796" t="s">
        <v>2612</v>
      </c>
      <c r="S796" t="s">
        <v>65</v>
      </c>
      <c r="T796" t="str">
        <f>IF(TRIM(S796)="","Unknown",PROPER(TRIM(S796)))</f>
        <v>Standard Class</v>
      </c>
      <c r="U796">
        <v>8</v>
      </c>
      <c r="V796">
        <v>1434.13</v>
      </c>
      <c r="W796">
        <v>0</v>
      </c>
      <c r="Y796">
        <v>0</v>
      </c>
      <c r="Z796">
        <v>11473.04</v>
      </c>
      <c r="AA796">
        <v>8931.33</v>
      </c>
      <c r="AB796">
        <v>2541.71</v>
      </c>
      <c r="AC796" t="s">
        <v>131</v>
      </c>
      <c r="AD796" t="s">
        <v>120</v>
      </c>
      <c r="AE796">
        <f>ROUND((U796*V796)-(U796*V796*Y796),2)</f>
        <v>11473.04</v>
      </c>
      <c r="AF796">
        <f>AE796-AA796</f>
        <v>2541.7100000000009</v>
      </c>
      <c r="AG796" s="7">
        <f>ROUND((AF796/AE796),4)</f>
        <v>0.2215</v>
      </c>
      <c r="AH796">
        <f>IF(AND(C796&lt;&gt;"",E796&lt;&gt;""),E796 - C796,"")</f>
        <v>3</v>
      </c>
      <c r="AI796" t="str">
        <f>IF(C796="","",TEXT(C796, "mmmm"))</f>
        <v>June</v>
      </c>
      <c r="AJ796">
        <f>IF(C796="","",YEAR(C796))</f>
        <v>2025</v>
      </c>
      <c r="AM796" t="str">
        <f>IF(AN796="","clean","")</f>
        <v>clean</v>
      </c>
      <c r="AN796" t="s">
        <v>3595</v>
      </c>
    </row>
    <row r="797" spans="1:40">
      <c r="A797" t="s">
        <v>2613</v>
      </c>
      <c r="B797" t="s">
        <v>3774</v>
      </c>
      <c r="C797" s="6">
        <v>45701</v>
      </c>
      <c r="D797" t="s">
        <v>1561</v>
      </c>
      <c r="F797" t="s">
        <v>2614</v>
      </c>
      <c r="G797" t="s">
        <v>24</v>
      </c>
      <c r="H797" t="s">
        <v>24</v>
      </c>
      <c r="I797" t="s">
        <v>40</v>
      </c>
      <c r="J797" t="s">
        <v>40</v>
      </c>
      <c r="K797" t="s">
        <v>60</v>
      </c>
      <c r="L797" t="str">
        <f>IF(TRIM(K797)="","Unknown",PROPER(TRIM(K797)))</f>
        <v>South</v>
      </c>
      <c r="M797" t="s">
        <v>224</v>
      </c>
      <c r="N797" t="s">
        <v>225</v>
      </c>
      <c r="O797" t="s">
        <v>83</v>
      </c>
      <c r="P797" t="str">
        <f>IF(TRIM(O797)="","Unknown",PROPER(TRIM(O797)))</f>
        <v>Technology</v>
      </c>
      <c r="Q797" t="s">
        <v>207</v>
      </c>
      <c r="R797" t="s">
        <v>2615</v>
      </c>
      <c r="S797" t="s">
        <v>32</v>
      </c>
      <c r="T797" t="str">
        <f>IF(TRIM(S797)="","Unknown",PROPER(TRIM(S797)))</f>
        <v>Second Class</v>
      </c>
      <c r="U797">
        <v>2</v>
      </c>
      <c r="V797">
        <v>2360.02</v>
      </c>
      <c r="W797">
        <v>0.15</v>
      </c>
      <c r="Y797">
        <v>0.15</v>
      </c>
      <c r="Z797">
        <v>4012.03</v>
      </c>
      <c r="AA797">
        <v>3142.92</v>
      </c>
      <c r="AB797">
        <v>869.11</v>
      </c>
      <c r="AC797" t="s">
        <v>131</v>
      </c>
      <c r="AD797" t="s">
        <v>76</v>
      </c>
      <c r="AE797">
        <f>ROUND((U797*V797)-(U797*V797*Y797),2)</f>
        <v>4012.03</v>
      </c>
      <c r="AF797">
        <f>AE797-AA797</f>
        <v>869.11000000000013</v>
      </c>
      <c r="AG797" s="7">
        <f>ROUND((AF797/AE797),4)</f>
        <v>0.21659999999999999</v>
      </c>
      <c r="AH797" t="str">
        <f>IF(AND(C797&lt;&gt;"",E797&lt;&gt;""),E797 - C797,"")</f>
        <v/>
      </c>
      <c r="AI797" t="str">
        <f>IF(C797="","",TEXT(C797, "mmmm"))</f>
        <v>February</v>
      </c>
      <c r="AJ797">
        <f>IF(C797="","",YEAR(C797))</f>
        <v>2025</v>
      </c>
      <c r="AM797" t="s">
        <v>4144</v>
      </c>
      <c r="AN797" t="s">
        <v>4136</v>
      </c>
    </row>
    <row r="798" spans="1:40">
      <c r="A798" t="s">
        <v>2616</v>
      </c>
      <c r="B798" t="s">
        <v>2237</v>
      </c>
      <c r="C798" s="6">
        <v>45935</v>
      </c>
      <c r="D798" t="s">
        <v>2617</v>
      </c>
      <c r="E798" s="6">
        <v>45942</v>
      </c>
      <c r="F798" t="s">
        <v>2618</v>
      </c>
      <c r="G798" t="s">
        <v>70</v>
      </c>
      <c r="H798" t="s">
        <v>70</v>
      </c>
      <c r="I798" t="s">
        <v>110</v>
      </c>
      <c r="J798" t="s">
        <v>110</v>
      </c>
      <c r="K798" t="s">
        <v>41</v>
      </c>
      <c r="L798" t="str">
        <f>IF(TRIM(K798)="","Unknown",PROPER(TRIM(K798)))</f>
        <v>East</v>
      </c>
      <c r="M798" t="s">
        <v>284</v>
      </c>
      <c r="N798" t="s">
        <v>285</v>
      </c>
      <c r="O798" t="s">
        <v>83</v>
      </c>
      <c r="P798" t="str">
        <f>IF(TRIM(O798)="","Unknown",PROPER(TRIM(O798)))</f>
        <v>Technology</v>
      </c>
      <c r="Q798" t="s">
        <v>84</v>
      </c>
      <c r="R798" t="s">
        <v>2619</v>
      </c>
      <c r="S798" t="s">
        <v>47</v>
      </c>
      <c r="T798" t="str">
        <f>IF(TRIM(S798)="","Unknown",PROPER(TRIM(S798)))</f>
        <v>Same Day</v>
      </c>
      <c r="U798">
        <v>7</v>
      </c>
      <c r="V798">
        <v>806.67</v>
      </c>
      <c r="W798">
        <v>0.05</v>
      </c>
      <c r="Y798">
        <v>0.05</v>
      </c>
      <c r="Z798">
        <v>5364.36</v>
      </c>
      <c r="AA798">
        <v>4391.29</v>
      </c>
      <c r="AB798">
        <v>973.07</v>
      </c>
      <c r="AC798" t="s">
        <v>33</v>
      </c>
      <c r="AD798" t="s">
        <v>34</v>
      </c>
      <c r="AE798">
        <f>ROUND((U798*V798)-(U798*V798*Y798),2)</f>
        <v>5364.36</v>
      </c>
      <c r="AF798">
        <f>AE798-AA798</f>
        <v>973.06999999999971</v>
      </c>
      <c r="AG798" s="7">
        <f>ROUND((AF798/AE798),4)</f>
        <v>0.18140000000000001</v>
      </c>
      <c r="AH798">
        <f>IF(AND(C798&lt;&gt;"",E798&lt;&gt;""),E798 - C798,"")</f>
        <v>7</v>
      </c>
      <c r="AI798" t="str">
        <f>IF(C798="","",TEXT(C798, "mmmm"))</f>
        <v>October</v>
      </c>
      <c r="AJ798">
        <f>IF(C798="","",YEAR(C798))</f>
        <v>2025</v>
      </c>
      <c r="AM798" t="str">
        <f>IF(AN798="","clean","")</f>
        <v>clean</v>
      </c>
      <c r="AN798" t="s">
        <v>3595</v>
      </c>
    </row>
    <row r="799" spans="1:40">
      <c r="A799" t="s">
        <v>2620</v>
      </c>
      <c r="B799" t="s">
        <v>515</v>
      </c>
      <c r="C799" s="6">
        <v>45910</v>
      </c>
      <c r="D799" t="s">
        <v>2621</v>
      </c>
      <c r="E799" s="6">
        <v>45914</v>
      </c>
      <c r="F799" t="s">
        <v>2622</v>
      </c>
      <c r="G799" t="s">
        <v>59</v>
      </c>
      <c r="H799" t="s">
        <v>59</v>
      </c>
      <c r="I799" t="s">
        <v>110</v>
      </c>
      <c r="J799" t="s">
        <v>110</v>
      </c>
      <c r="K799" t="s">
        <v>71</v>
      </c>
      <c r="L799" t="str">
        <f>IF(TRIM(K799)="","Unknown",PROPER(TRIM(K799)))</f>
        <v>West</v>
      </c>
      <c r="M799" t="s">
        <v>218</v>
      </c>
      <c r="N799" t="s">
        <v>219</v>
      </c>
      <c r="O799" t="s">
        <v>44</v>
      </c>
      <c r="P799" t="str">
        <f>IF(TRIM(O799)="","Unknown",PROPER(TRIM(O799)))</f>
        <v>Furniture</v>
      </c>
      <c r="Q799" t="s">
        <v>45</v>
      </c>
      <c r="R799" t="s">
        <v>2623</v>
      </c>
      <c r="S799" t="s">
        <v>47</v>
      </c>
      <c r="T799" t="str">
        <f>IF(TRIM(S799)="","Unknown",PROPER(TRIM(S799)))</f>
        <v>Same Day</v>
      </c>
      <c r="U799">
        <v>3</v>
      </c>
      <c r="V799">
        <v>4198.46</v>
      </c>
      <c r="W799">
        <v>0.15</v>
      </c>
      <c r="Y799">
        <v>0.15</v>
      </c>
      <c r="Z799">
        <v>10706.07</v>
      </c>
      <c r="AA799">
        <v>5927.1</v>
      </c>
      <c r="AB799">
        <v>4778.97</v>
      </c>
      <c r="AC799" t="s">
        <v>33</v>
      </c>
      <c r="AD799" t="s">
        <v>34</v>
      </c>
      <c r="AE799">
        <f>ROUND((U799*V799)-(U799*V799*Y799),2)</f>
        <v>10706.07</v>
      </c>
      <c r="AF799">
        <f>AE799-AA799</f>
        <v>4778.9699999999993</v>
      </c>
      <c r="AG799" s="7">
        <f>ROUND((AF799/AE799),4)</f>
        <v>0.44640000000000002</v>
      </c>
      <c r="AH799">
        <f>IF(AND(C799&lt;&gt;"",E799&lt;&gt;""),E799 - C799,"")</f>
        <v>4</v>
      </c>
      <c r="AI799" t="str">
        <f>IF(C799="","",TEXT(C799, "mmmm"))</f>
        <v>September</v>
      </c>
      <c r="AJ799">
        <f>IF(C799="","",YEAR(C799))</f>
        <v>2025</v>
      </c>
      <c r="AM799" t="str">
        <f>IF(AN799="","clean","")</f>
        <v>clean</v>
      </c>
      <c r="AN799" t="s">
        <v>3595</v>
      </c>
    </row>
    <row r="800" spans="1:40">
      <c r="A800" t="s">
        <v>2630</v>
      </c>
      <c r="B800" t="s">
        <v>3967</v>
      </c>
      <c r="C800" s="6">
        <v>45762</v>
      </c>
      <c r="D800" t="s">
        <v>2631</v>
      </c>
      <c r="E800" s="6">
        <v>45763</v>
      </c>
      <c r="F800" t="s">
        <v>2632</v>
      </c>
      <c r="G800" t="s">
        <v>158</v>
      </c>
      <c r="H800" t="s">
        <v>158</v>
      </c>
      <c r="I800" t="s">
        <v>40</v>
      </c>
      <c r="J800" t="s">
        <v>40</v>
      </c>
      <c r="K800" t="s">
        <v>60</v>
      </c>
      <c r="L800" t="str">
        <f>IF(TRIM(K800)="","Unknown",PROPER(TRIM(K800)))</f>
        <v>South</v>
      </c>
      <c r="M800" t="s">
        <v>212</v>
      </c>
      <c r="N800" t="s">
        <v>213</v>
      </c>
      <c r="O800" t="s">
        <v>44</v>
      </c>
      <c r="P800" t="str">
        <f>IF(TRIM(O800)="","Unknown",PROPER(TRIM(O800)))</f>
        <v>Furniture</v>
      </c>
      <c r="Q800" t="s">
        <v>63</v>
      </c>
      <c r="R800" t="s">
        <v>2633</v>
      </c>
      <c r="S800" t="s">
        <v>55</v>
      </c>
      <c r="T800" t="str">
        <f>IF(TRIM(S800)="","Unknown",PROPER(TRIM(S800)))</f>
        <v>First Class</v>
      </c>
      <c r="U800">
        <v>5</v>
      </c>
      <c r="V800">
        <v>2850.53</v>
      </c>
      <c r="W800">
        <v>0</v>
      </c>
      <c r="Y800">
        <v>0</v>
      </c>
      <c r="Z800">
        <v>14252.65</v>
      </c>
      <c r="AA800">
        <v>11558.31</v>
      </c>
      <c r="AB800">
        <v>2694.34</v>
      </c>
      <c r="AC800" t="s">
        <v>33</v>
      </c>
      <c r="AD800" t="s">
        <v>34</v>
      </c>
      <c r="AE800">
        <f>ROUND((U800*V800)-(U800*V800*Y800),2)</f>
        <v>14252.65</v>
      </c>
      <c r="AF800">
        <f>AE800-AA800</f>
        <v>2694.34</v>
      </c>
      <c r="AG800" s="7">
        <f>ROUND((AF800/AE800),4)</f>
        <v>0.189</v>
      </c>
      <c r="AH800">
        <f>IF(AND(C800&lt;&gt;"",E800&lt;&gt;""),E800 - C800,"")</f>
        <v>1</v>
      </c>
      <c r="AI800" t="str">
        <f>IF(C800="","",TEXT(C800, "mmmm"))</f>
        <v>April</v>
      </c>
      <c r="AJ800">
        <f>IF(C800="","",YEAR(C800))</f>
        <v>2025</v>
      </c>
      <c r="AM800" t="str">
        <f>IF(AN800="","clean","")</f>
        <v>clean</v>
      </c>
      <c r="AN800" t="s">
        <v>3595</v>
      </c>
    </row>
    <row r="801" spans="1:40">
      <c r="A801" t="s">
        <v>2630</v>
      </c>
      <c r="B801" t="s">
        <v>3967</v>
      </c>
      <c r="C801" s="6">
        <v>45762</v>
      </c>
      <c r="D801" t="s">
        <v>2631</v>
      </c>
      <c r="E801" s="6">
        <v>45763</v>
      </c>
      <c r="F801" t="s">
        <v>2632</v>
      </c>
      <c r="G801" t="s">
        <v>158</v>
      </c>
      <c r="H801" t="s">
        <v>158</v>
      </c>
      <c r="I801" t="s">
        <v>40</v>
      </c>
      <c r="J801" t="s">
        <v>40</v>
      </c>
      <c r="K801" t="s">
        <v>60</v>
      </c>
      <c r="L801" t="str">
        <f>IF(TRIM(K801)="","Unknown",PROPER(TRIM(K801)))</f>
        <v>South</v>
      </c>
      <c r="M801" t="s">
        <v>212</v>
      </c>
      <c r="N801" t="s">
        <v>213</v>
      </c>
      <c r="O801" t="s">
        <v>44</v>
      </c>
      <c r="P801" t="str">
        <f>IF(TRIM(O801)="","Unknown",PROPER(TRIM(O801)))</f>
        <v>Furniture</v>
      </c>
      <c r="Q801" t="s">
        <v>63</v>
      </c>
      <c r="R801" t="s">
        <v>2633</v>
      </c>
      <c r="S801" t="s">
        <v>55</v>
      </c>
      <c r="T801" t="str">
        <f>IF(TRIM(S801)="","Unknown",PROPER(TRIM(S801)))</f>
        <v>First Class</v>
      </c>
      <c r="U801">
        <v>5</v>
      </c>
      <c r="V801">
        <v>2850.53</v>
      </c>
      <c r="W801">
        <v>0</v>
      </c>
      <c r="Y801">
        <v>0</v>
      </c>
      <c r="Z801">
        <v>14252.65</v>
      </c>
      <c r="AA801">
        <v>11558.31</v>
      </c>
      <c r="AB801">
        <v>2694.34</v>
      </c>
      <c r="AC801" t="s">
        <v>33</v>
      </c>
      <c r="AD801" t="s">
        <v>34</v>
      </c>
      <c r="AE801">
        <f>ROUND((U801*V801)-(U801*V801*Y801),2)</f>
        <v>14252.65</v>
      </c>
      <c r="AF801">
        <f>AE801-AA801</f>
        <v>2694.34</v>
      </c>
      <c r="AG801" s="7">
        <f>ROUND((AF801/AE801),4)</f>
        <v>0.189</v>
      </c>
      <c r="AH801">
        <f>IF(AND(C801&lt;&gt;"",E801&lt;&gt;""),E801 - C801,"")</f>
        <v>1</v>
      </c>
      <c r="AI801" t="str">
        <f>IF(C801="","",TEXT(C801, "mmmm"))</f>
        <v>April</v>
      </c>
      <c r="AJ801">
        <f>IF(C801="","",YEAR(C801))</f>
        <v>2025</v>
      </c>
      <c r="AL801" t="s">
        <v>4152</v>
      </c>
      <c r="AM801" t="s">
        <v>4144</v>
      </c>
      <c r="AN801" t="s">
        <v>4149</v>
      </c>
    </row>
    <row r="802" spans="1:40">
      <c r="A802" t="s">
        <v>2634</v>
      </c>
      <c r="B802" t="s">
        <v>2635</v>
      </c>
      <c r="C802" s="6">
        <v>45765</v>
      </c>
      <c r="D802" t="s">
        <v>2636</v>
      </c>
      <c r="E802" s="6">
        <v>45767</v>
      </c>
      <c r="F802" t="s">
        <v>2637</v>
      </c>
      <c r="G802" t="s">
        <v>153</v>
      </c>
      <c r="H802" t="s">
        <v>153</v>
      </c>
      <c r="I802" t="s">
        <v>40</v>
      </c>
      <c r="J802" t="s">
        <v>40</v>
      </c>
      <c r="K802" t="s">
        <v>60</v>
      </c>
      <c r="L802" t="str">
        <f>IF(TRIM(K802)="","Unknown",PROPER(TRIM(K802)))</f>
        <v>South</v>
      </c>
      <c r="M802" t="s">
        <v>309</v>
      </c>
      <c r="N802" t="s">
        <v>310</v>
      </c>
      <c r="O802" t="s">
        <v>83</v>
      </c>
      <c r="P802" t="str">
        <f>IF(TRIM(O802)="","Unknown",PROPER(TRIM(O802)))</f>
        <v>Technology</v>
      </c>
      <c r="Q802" t="s">
        <v>84</v>
      </c>
      <c r="R802" t="s">
        <v>2638</v>
      </c>
      <c r="S802" t="s">
        <v>32</v>
      </c>
      <c r="T802" t="str">
        <f>IF(TRIM(S802)="","Unknown",PROPER(TRIM(S802)))</f>
        <v>Second Class</v>
      </c>
      <c r="U802">
        <v>1</v>
      </c>
      <c r="V802">
        <v>1626.08</v>
      </c>
      <c r="W802">
        <v>0.15</v>
      </c>
      <c r="Y802">
        <v>0.15</v>
      </c>
      <c r="Z802">
        <v>1382.17</v>
      </c>
      <c r="AA802">
        <v>810.03</v>
      </c>
      <c r="AB802">
        <v>572.14</v>
      </c>
      <c r="AC802" t="s">
        <v>33</v>
      </c>
      <c r="AD802" t="s">
        <v>34</v>
      </c>
      <c r="AE802">
        <f>ROUND((U802*V802)-(U802*V802*Y802),2)</f>
        <v>1382.17</v>
      </c>
      <c r="AF802">
        <f>AE802-AA802</f>
        <v>572.1400000000001</v>
      </c>
      <c r="AG802" s="7">
        <f>ROUND((AF802/AE802),4)</f>
        <v>0.41389999999999999</v>
      </c>
      <c r="AH802">
        <f>IF(AND(C802&lt;&gt;"",E802&lt;&gt;""),E802 - C802,"")</f>
        <v>2</v>
      </c>
      <c r="AI802" t="str">
        <f>IF(C802="","",TEXT(C802, "mmmm"))</f>
        <v>April</v>
      </c>
      <c r="AJ802">
        <f>IF(C802="","",YEAR(C802))</f>
        <v>2025</v>
      </c>
      <c r="AM802" t="str">
        <f>IF(AN802="","clean","")</f>
        <v>clean</v>
      </c>
      <c r="AN802" t="s">
        <v>3595</v>
      </c>
    </row>
    <row r="803" spans="1:40">
      <c r="A803" t="s">
        <v>2639</v>
      </c>
      <c r="B803" t="s">
        <v>3968</v>
      </c>
      <c r="C803" s="6">
        <v>45668</v>
      </c>
      <c r="D803" t="s">
        <v>1915</v>
      </c>
      <c r="E803" s="6">
        <v>45669</v>
      </c>
      <c r="F803" t="s">
        <v>2640</v>
      </c>
      <c r="G803" t="s">
        <v>103</v>
      </c>
      <c r="H803" t="s">
        <v>103</v>
      </c>
      <c r="I803" t="s">
        <v>25</v>
      </c>
      <c r="J803" t="s">
        <v>25</v>
      </c>
      <c r="K803" t="s">
        <v>60</v>
      </c>
      <c r="L803" t="str">
        <f>IF(TRIM(K803)="","Unknown",PROPER(TRIM(K803)))</f>
        <v>South</v>
      </c>
      <c r="M803" t="s">
        <v>61</v>
      </c>
      <c r="N803" t="s">
        <v>62</v>
      </c>
      <c r="O803" t="s">
        <v>44</v>
      </c>
      <c r="P803" t="str">
        <f>IF(TRIM(O803)="","Unknown",PROPER(TRIM(O803)))</f>
        <v>Furniture</v>
      </c>
      <c r="Q803" t="s">
        <v>74</v>
      </c>
      <c r="R803" t="s">
        <v>2641</v>
      </c>
      <c r="S803" t="s">
        <v>32</v>
      </c>
      <c r="T803" t="str">
        <f>IF(TRIM(S803)="","Unknown",PROPER(TRIM(S803)))</f>
        <v>Second Class</v>
      </c>
      <c r="U803">
        <v>4</v>
      </c>
      <c r="V803">
        <v>2427.15</v>
      </c>
      <c r="W803">
        <v>0.05</v>
      </c>
      <c r="Y803">
        <v>0.05</v>
      </c>
      <c r="Z803">
        <v>9223.17</v>
      </c>
      <c r="AA803">
        <v>5103.7</v>
      </c>
      <c r="AB803">
        <v>4119.47</v>
      </c>
      <c r="AC803" t="s">
        <v>33</v>
      </c>
      <c r="AD803" t="s">
        <v>34</v>
      </c>
      <c r="AE803">
        <f>ROUND((U803*V803)-(U803*V803*Y803),2)</f>
        <v>9223.17</v>
      </c>
      <c r="AF803">
        <f>AE803-AA803</f>
        <v>4119.47</v>
      </c>
      <c r="AG803" s="7">
        <f>ROUND((AF803/AE803),4)</f>
        <v>0.4466</v>
      </c>
      <c r="AH803">
        <f>IF(AND(C803&lt;&gt;"",E803&lt;&gt;""),E803 - C803,"")</f>
        <v>1</v>
      </c>
      <c r="AI803" t="str">
        <f>IF(C803="","",TEXT(C803, "mmmm"))</f>
        <v>January</v>
      </c>
      <c r="AJ803">
        <f>IF(C803="","",YEAR(C803))</f>
        <v>2025</v>
      </c>
      <c r="AM803" t="str">
        <f>IF(AN803="","clean","")</f>
        <v>clean</v>
      </c>
      <c r="AN803" t="s">
        <v>3595</v>
      </c>
    </row>
    <row r="804" spans="1:40">
      <c r="A804" t="s">
        <v>2661</v>
      </c>
      <c r="B804" t="s">
        <v>3972</v>
      </c>
      <c r="C804" s="6">
        <v>45671</v>
      </c>
      <c r="D804" t="s">
        <v>2662</v>
      </c>
      <c r="E804" s="6">
        <v>45674</v>
      </c>
      <c r="F804" t="s">
        <v>2663</v>
      </c>
      <c r="G804" t="s">
        <v>80</v>
      </c>
      <c r="H804" t="s">
        <v>80</v>
      </c>
      <c r="I804" t="s">
        <v>25</v>
      </c>
      <c r="J804" t="s">
        <v>25</v>
      </c>
      <c r="K804" t="s">
        <v>71</v>
      </c>
      <c r="L804" t="str">
        <f>IF(TRIM(K804)="","Unknown",PROPER(TRIM(K804)))</f>
        <v>West</v>
      </c>
      <c r="M804" t="s">
        <v>230</v>
      </c>
      <c r="N804" t="s">
        <v>231</v>
      </c>
      <c r="O804" t="s">
        <v>29</v>
      </c>
      <c r="P804" t="str">
        <f>IF(TRIM(O804)="","Unknown",PROPER(TRIM(O804)))</f>
        <v>Office Supplies</v>
      </c>
      <c r="Q804" t="s">
        <v>148</v>
      </c>
      <c r="R804" t="s">
        <v>2664</v>
      </c>
      <c r="S804" t="s">
        <v>55</v>
      </c>
      <c r="T804" t="str">
        <f>IF(TRIM(S804)="","Unknown",PROPER(TRIM(S804)))</f>
        <v>First Class</v>
      </c>
      <c r="U804">
        <v>1</v>
      </c>
      <c r="V804">
        <v>1584.12</v>
      </c>
      <c r="W804">
        <v>0.2</v>
      </c>
      <c r="Y804">
        <v>0.2</v>
      </c>
      <c r="Z804">
        <v>1267.3</v>
      </c>
      <c r="AA804">
        <v>923.53</v>
      </c>
      <c r="AB804">
        <v>343.77</v>
      </c>
      <c r="AC804" t="s">
        <v>33</v>
      </c>
      <c r="AD804" t="s">
        <v>34</v>
      </c>
      <c r="AE804">
        <f>ROUND((U804*V804)-(U804*V804*Y804),2)</f>
        <v>1267.3</v>
      </c>
      <c r="AF804">
        <f>AE804-AA804</f>
        <v>343.77</v>
      </c>
      <c r="AG804" s="7">
        <f>ROUND((AF804/AE804),4)</f>
        <v>0.27129999999999999</v>
      </c>
      <c r="AH804">
        <f>IF(AND(C804&lt;&gt;"",E804&lt;&gt;""),E804 - C804,"")</f>
        <v>3</v>
      </c>
      <c r="AI804" t="str">
        <f>IF(C804="","",TEXT(C804, "mmmm"))</f>
        <v>January</v>
      </c>
      <c r="AJ804">
        <f>IF(C804="","",YEAR(C804))</f>
        <v>2025</v>
      </c>
      <c r="AM804" t="str">
        <f>IF(AN804="","clean","")</f>
        <v>clean</v>
      </c>
      <c r="AN804" t="s">
        <v>3595</v>
      </c>
    </row>
    <row r="805" spans="1:40">
      <c r="A805" t="s">
        <v>2665</v>
      </c>
      <c r="B805" t="s">
        <v>3973</v>
      </c>
      <c r="C805" s="6">
        <v>45756</v>
      </c>
      <c r="D805" t="s">
        <v>1728</v>
      </c>
      <c r="E805" s="6">
        <v>45761</v>
      </c>
      <c r="F805" t="s">
        <v>2666</v>
      </c>
      <c r="G805" t="s">
        <v>24</v>
      </c>
      <c r="H805" t="s">
        <v>24</v>
      </c>
      <c r="I805" t="s">
        <v>25</v>
      </c>
      <c r="J805" t="s">
        <v>25</v>
      </c>
      <c r="K805" t="s">
        <v>26</v>
      </c>
      <c r="L805" t="str">
        <f>IF(TRIM(K805)="","Unknown",PROPER(TRIM(K805)))</f>
        <v>North</v>
      </c>
      <c r="M805" t="s">
        <v>454</v>
      </c>
      <c r="N805" t="s">
        <v>455</v>
      </c>
      <c r="O805" t="s">
        <v>44</v>
      </c>
      <c r="P805" t="str">
        <f>IF(TRIM(O805)="","Unknown",PROPER(TRIM(O805)))</f>
        <v>Furniture</v>
      </c>
      <c r="Q805" t="s">
        <v>63</v>
      </c>
      <c r="R805" t="s">
        <v>2667</v>
      </c>
      <c r="S805" t="s">
        <v>47</v>
      </c>
      <c r="T805" t="str">
        <f>IF(TRIM(S805)="","Unknown",PROPER(TRIM(S805)))</f>
        <v>Same Day</v>
      </c>
      <c r="U805">
        <v>2</v>
      </c>
      <c r="V805">
        <v>3202.87</v>
      </c>
      <c r="W805">
        <v>0</v>
      </c>
      <c r="Y805">
        <v>0</v>
      </c>
      <c r="Z805">
        <v>6405.74</v>
      </c>
      <c r="AA805">
        <v>3561.87</v>
      </c>
      <c r="AB805">
        <v>2843.87</v>
      </c>
      <c r="AC805" t="s">
        <v>33</v>
      </c>
      <c r="AD805" t="s">
        <v>34</v>
      </c>
      <c r="AE805">
        <f>ROUND((U805*V805)-(U805*V805*Y805),2)</f>
        <v>6405.74</v>
      </c>
      <c r="AF805">
        <f>AE805-AA805</f>
        <v>2843.87</v>
      </c>
      <c r="AG805" s="7">
        <f>ROUND((AF805/AE805),4)</f>
        <v>0.44400000000000001</v>
      </c>
      <c r="AH805">
        <f>IF(AND(C805&lt;&gt;"",E805&lt;&gt;""),E805 - C805,"")</f>
        <v>5</v>
      </c>
      <c r="AI805" t="str">
        <f>IF(C805="","",TEXT(C805, "mmmm"))</f>
        <v>April</v>
      </c>
      <c r="AJ805">
        <f>IF(C805="","",YEAR(C805))</f>
        <v>2025</v>
      </c>
      <c r="AM805" t="str">
        <f>IF(AN805="","clean","")</f>
        <v>clean</v>
      </c>
      <c r="AN805" t="s">
        <v>3595</v>
      </c>
    </row>
    <row r="806" spans="1:40">
      <c r="A806" t="s">
        <v>2675</v>
      </c>
      <c r="B806" t="s">
        <v>3924</v>
      </c>
      <c r="C806" s="6">
        <v>45757</v>
      </c>
      <c r="D806" t="s">
        <v>2676</v>
      </c>
      <c r="E806" s="6">
        <v>45764</v>
      </c>
      <c r="F806" t="s">
        <v>2677</v>
      </c>
      <c r="G806" t="s">
        <v>80</v>
      </c>
      <c r="H806" t="s">
        <v>80</v>
      </c>
      <c r="I806" t="s">
        <v>25</v>
      </c>
      <c r="J806" t="s">
        <v>25</v>
      </c>
      <c r="K806" t="s">
        <v>41</v>
      </c>
      <c r="L806" t="str">
        <f>IF(TRIM(K806)="","Unknown",PROPER(TRIM(K806)))</f>
        <v>East</v>
      </c>
      <c r="M806" t="s">
        <v>116</v>
      </c>
      <c r="N806" t="s">
        <v>117</v>
      </c>
      <c r="O806" t="s">
        <v>44</v>
      </c>
      <c r="P806" t="str">
        <f>IF(TRIM(O806)="","Unknown",PROPER(TRIM(O806)))</f>
        <v>Furniture</v>
      </c>
      <c r="Q806" t="s">
        <v>74</v>
      </c>
      <c r="R806" t="s">
        <v>2678</v>
      </c>
      <c r="S806" t="s">
        <v>65</v>
      </c>
      <c r="T806" t="str">
        <f>IF(TRIM(S806)="","Unknown",PROPER(TRIM(S806)))</f>
        <v>Standard Class</v>
      </c>
      <c r="U806">
        <v>4</v>
      </c>
      <c r="V806">
        <v>3750.02</v>
      </c>
      <c r="W806">
        <v>0.05</v>
      </c>
      <c r="Y806">
        <v>0.05</v>
      </c>
      <c r="Z806">
        <v>14250.08</v>
      </c>
      <c r="AA806">
        <v>10914.92</v>
      </c>
      <c r="AB806">
        <v>3335.16</v>
      </c>
      <c r="AC806" t="s">
        <v>33</v>
      </c>
      <c r="AD806" t="s">
        <v>34</v>
      </c>
      <c r="AE806">
        <f>ROUND((U806*V806)-(U806*V806*Y806),2)</f>
        <v>14250.08</v>
      </c>
      <c r="AF806">
        <f>AE806-AA806</f>
        <v>3335.16</v>
      </c>
      <c r="AG806" s="7">
        <f>ROUND((AF806/AE806),4)</f>
        <v>0.23400000000000001</v>
      </c>
      <c r="AH806">
        <f>IF(AND(C806&lt;&gt;"",E806&lt;&gt;""),E806 - C806,"")</f>
        <v>7</v>
      </c>
      <c r="AI806" t="str">
        <f>IF(C806="","",TEXT(C806, "mmmm"))</f>
        <v>April</v>
      </c>
      <c r="AJ806">
        <f>IF(C806="","",YEAR(C806))</f>
        <v>2025</v>
      </c>
      <c r="AM806" t="str">
        <f>IF(AN806="","clean","")</f>
        <v>clean</v>
      </c>
      <c r="AN806" t="s">
        <v>3595</v>
      </c>
    </row>
    <row r="807" spans="1:40">
      <c r="A807" t="s">
        <v>2686</v>
      </c>
      <c r="B807" t="s">
        <v>3763</v>
      </c>
      <c r="C807" s="6">
        <v>45658</v>
      </c>
      <c r="D807" t="s">
        <v>2687</v>
      </c>
      <c r="E807" s="6">
        <v>45666</v>
      </c>
      <c r="F807" t="s">
        <v>2688</v>
      </c>
      <c r="G807" t="s">
        <v>2689</v>
      </c>
      <c r="H807" t="s">
        <v>169</v>
      </c>
      <c r="I807" t="s">
        <v>40</v>
      </c>
      <c r="J807" t="s">
        <v>40</v>
      </c>
      <c r="K807" t="s">
        <v>26</v>
      </c>
      <c r="L807" t="str">
        <f>IF(TRIM(K807)="","Unknown",PROPER(TRIM(K807)))</f>
        <v>North</v>
      </c>
      <c r="M807" t="s">
        <v>146</v>
      </c>
      <c r="N807" t="s">
        <v>147</v>
      </c>
      <c r="O807" t="s">
        <v>29</v>
      </c>
      <c r="P807" t="str">
        <f>IF(TRIM(O807)="","Unknown",PROPER(TRIM(O807)))</f>
        <v>Office Supplies</v>
      </c>
      <c r="Q807" t="s">
        <v>53</v>
      </c>
      <c r="R807" t="s">
        <v>2690</v>
      </c>
      <c r="S807" t="s">
        <v>55</v>
      </c>
      <c r="T807" t="str">
        <f>IF(TRIM(S807)="","Unknown",PROPER(TRIM(S807)))</f>
        <v>First Class</v>
      </c>
      <c r="U807">
        <v>8</v>
      </c>
      <c r="V807">
        <v>2123.81</v>
      </c>
      <c r="W807">
        <v>0.15</v>
      </c>
      <c r="Y807">
        <v>0.15</v>
      </c>
      <c r="Z807">
        <v>14441.91</v>
      </c>
      <c r="AA807">
        <v>10872.89</v>
      </c>
      <c r="AB807">
        <v>3569.02</v>
      </c>
      <c r="AC807" t="s">
        <v>33</v>
      </c>
      <c r="AD807" t="s">
        <v>34</v>
      </c>
      <c r="AE807">
        <f>ROUND((U807*V807)-(U807*V807*Y807),2)</f>
        <v>14441.91</v>
      </c>
      <c r="AF807">
        <f>AE807-AA807</f>
        <v>3569.0200000000004</v>
      </c>
      <c r="AG807" s="7">
        <f>ROUND((AF807/AE807),4)</f>
        <v>0.24709999999999999</v>
      </c>
      <c r="AH807">
        <f>IF(AND(C807&lt;&gt;"",E807&lt;&gt;""),E807 - C807,"")</f>
        <v>8</v>
      </c>
      <c r="AI807" t="str">
        <f>IF(C807="","",TEXT(C807, "mmmm"))</f>
        <v>January</v>
      </c>
      <c r="AJ807">
        <f>IF(C807="","",YEAR(C807))</f>
        <v>2025</v>
      </c>
      <c r="AM807" t="str">
        <f>IF(AN807="","clean","")</f>
        <v>clean</v>
      </c>
      <c r="AN807" t="s">
        <v>3595</v>
      </c>
    </row>
    <row r="808" spans="1:40">
      <c r="A808" t="s">
        <v>2694</v>
      </c>
      <c r="B808" t="s">
        <v>3978</v>
      </c>
      <c r="C808" s="6">
        <v>45880</v>
      </c>
      <c r="D808" t="s">
        <v>2695</v>
      </c>
      <c r="E808" s="6">
        <v>45888</v>
      </c>
      <c r="F808" t="s">
        <v>2696</v>
      </c>
      <c r="G808" t="s">
        <v>334</v>
      </c>
      <c r="H808" t="s">
        <v>334</v>
      </c>
      <c r="I808" t="s">
        <v>40</v>
      </c>
      <c r="J808" t="s">
        <v>40</v>
      </c>
      <c r="K808" t="s">
        <v>60</v>
      </c>
      <c r="L808" t="str">
        <f>IF(TRIM(K808)="","Unknown",PROPER(TRIM(K808)))</f>
        <v>South</v>
      </c>
      <c r="M808" t="s">
        <v>224</v>
      </c>
      <c r="N808" t="s">
        <v>225</v>
      </c>
      <c r="O808" t="s">
        <v>83</v>
      </c>
      <c r="P808" t="str">
        <f>IF(TRIM(O808)="","Unknown",PROPER(TRIM(O808)))</f>
        <v>Technology</v>
      </c>
      <c r="Q808" t="s">
        <v>84</v>
      </c>
      <c r="R808" t="s">
        <v>2697</v>
      </c>
      <c r="S808" t="s">
        <v>65</v>
      </c>
      <c r="T808" t="str">
        <f>IF(TRIM(S808)="","Unknown",PROPER(TRIM(S808)))</f>
        <v>Standard Class</v>
      </c>
      <c r="U808">
        <v>4</v>
      </c>
      <c r="V808">
        <v>2258.96</v>
      </c>
      <c r="W808">
        <v>0.25</v>
      </c>
      <c r="Y808">
        <v>0.25</v>
      </c>
      <c r="Z808">
        <v>6776.88</v>
      </c>
      <c r="AA808">
        <v>3836.24</v>
      </c>
      <c r="AB808">
        <v>2940.64</v>
      </c>
      <c r="AC808" t="s">
        <v>33</v>
      </c>
      <c r="AD808" t="s">
        <v>34</v>
      </c>
      <c r="AE808">
        <f>ROUND((U808*V808)-(U808*V808*Y808),2)</f>
        <v>6776.88</v>
      </c>
      <c r="AF808">
        <f>AE808-AA808</f>
        <v>2940.6400000000003</v>
      </c>
      <c r="AG808" s="7">
        <f>ROUND((AF808/AE808),4)</f>
        <v>0.43390000000000001</v>
      </c>
      <c r="AH808">
        <f>IF(AND(C808&lt;&gt;"",E808&lt;&gt;""),E808 - C808,"")</f>
        <v>8</v>
      </c>
      <c r="AI808" t="str">
        <f>IF(C808="","",TEXT(C808, "mmmm"))</f>
        <v>August</v>
      </c>
      <c r="AJ808">
        <f>IF(C808="","",YEAR(C808))</f>
        <v>2025</v>
      </c>
      <c r="AM808" t="str">
        <f>IF(AN808="","clean","")</f>
        <v>clean</v>
      </c>
      <c r="AN808" t="s">
        <v>3595</v>
      </c>
    </row>
    <row r="809" spans="1:40">
      <c r="A809" t="s">
        <v>2701</v>
      </c>
      <c r="B809" t="s">
        <v>3771</v>
      </c>
      <c r="C809" s="6">
        <v>45875</v>
      </c>
      <c r="D809" t="s">
        <v>2702</v>
      </c>
      <c r="E809" s="6">
        <v>45878</v>
      </c>
      <c r="F809" t="s">
        <v>2703</v>
      </c>
      <c r="G809" t="s">
        <v>39</v>
      </c>
      <c r="H809" t="s">
        <v>39</v>
      </c>
      <c r="I809" t="s">
        <v>40</v>
      </c>
      <c r="J809" t="s">
        <v>40</v>
      </c>
      <c r="K809" t="s">
        <v>60</v>
      </c>
      <c r="L809" t="str">
        <f>IF(TRIM(K809)="","Unknown",PROPER(TRIM(K809)))</f>
        <v>South</v>
      </c>
      <c r="M809" t="s">
        <v>97</v>
      </c>
      <c r="N809" t="s">
        <v>98</v>
      </c>
      <c r="O809" t="s">
        <v>29</v>
      </c>
      <c r="P809" t="str">
        <f>IF(TRIM(O809)="","Unknown",PROPER(TRIM(O809)))</f>
        <v>Office Supplies</v>
      </c>
      <c r="Q809" t="s">
        <v>30</v>
      </c>
      <c r="R809" t="s">
        <v>2704</v>
      </c>
      <c r="S809" t="s">
        <v>32</v>
      </c>
      <c r="T809" t="str">
        <f>IF(TRIM(S809)="","Unknown",PROPER(TRIM(S809)))</f>
        <v>Second Class</v>
      </c>
      <c r="U809">
        <v>3</v>
      </c>
      <c r="V809">
        <v>598.54999999999995</v>
      </c>
      <c r="W809">
        <v>0</v>
      </c>
      <c r="Y809">
        <v>0</v>
      </c>
      <c r="Z809">
        <v>1795.65</v>
      </c>
      <c r="AA809">
        <v>996.72</v>
      </c>
      <c r="AB809">
        <v>798.93</v>
      </c>
      <c r="AC809" t="s">
        <v>33</v>
      </c>
      <c r="AD809" t="s">
        <v>34</v>
      </c>
      <c r="AE809">
        <f>ROUND((U809*V809)-(U809*V809*Y809),2)</f>
        <v>1795.65</v>
      </c>
      <c r="AF809">
        <f>AE809-AA809</f>
        <v>798.93000000000006</v>
      </c>
      <c r="AG809" s="7">
        <f>ROUND((AF809/AE809),4)</f>
        <v>0.44490000000000002</v>
      </c>
      <c r="AH809">
        <f>IF(AND(C809&lt;&gt;"",E809&lt;&gt;""),E809 - C809,"")</f>
        <v>3</v>
      </c>
      <c r="AI809" t="str">
        <f>IF(C809="","",TEXT(C809, "mmmm"))</f>
        <v>August</v>
      </c>
      <c r="AJ809">
        <f>IF(C809="","",YEAR(C809))</f>
        <v>2025</v>
      </c>
      <c r="AM809" t="str">
        <f>IF(AN809="","clean","")</f>
        <v>clean</v>
      </c>
      <c r="AN809" t="s">
        <v>3595</v>
      </c>
    </row>
    <row r="810" spans="1:40">
      <c r="A810" t="s">
        <v>2705</v>
      </c>
      <c r="B810" t="s">
        <v>3980</v>
      </c>
      <c r="C810" s="6">
        <v>45733</v>
      </c>
      <c r="D810" t="s">
        <v>2706</v>
      </c>
      <c r="E810" s="6">
        <v>45737</v>
      </c>
      <c r="F810" t="s">
        <v>2249</v>
      </c>
      <c r="G810" t="s">
        <v>158</v>
      </c>
      <c r="H810" t="s">
        <v>158</v>
      </c>
      <c r="I810" t="s">
        <v>25</v>
      </c>
      <c r="J810" t="s">
        <v>25</v>
      </c>
      <c r="K810" t="s">
        <v>26</v>
      </c>
      <c r="L810" t="str">
        <f>IF(TRIM(K810)="","Unknown",PROPER(TRIM(K810)))</f>
        <v>North</v>
      </c>
      <c r="M810" t="s">
        <v>163</v>
      </c>
      <c r="N810" t="s">
        <v>164</v>
      </c>
      <c r="O810" t="s">
        <v>29</v>
      </c>
      <c r="P810" t="str">
        <f>IF(TRIM(O810)="","Unknown",PROPER(TRIM(O810)))</f>
        <v>Office Supplies</v>
      </c>
      <c r="Q810" t="s">
        <v>184</v>
      </c>
      <c r="R810" t="s">
        <v>2707</v>
      </c>
      <c r="S810" t="s">
        <v>65</v>
      </c>
      <c r="T810" t="str">
        <f>IF(TRIM(S810)="","Unknown",PROPER(TRIM(S810)))</f>
        <v>Standard Class</v>
      </c>
      <c r="U810">
        <v>5</v>
      </c>
      <c r="V810">
        <v>4320.59</v>
      </c>
      <c r="W810">
        <v>0.15</v>
      </c>
      <c r="Y810">
        <v>0.15</v>
      </c>
      <c r="Z810">
        <v>18362.509999999998</v>
      </c>
      <c r="AA810">
        <v>11133.97</v>
      </c>
      <c r="AB810">
        <v>7228.54</v>
      </c>
      <c r="AC810" t="s">
        <v>33</v>
      </c>
      <c r="AD810" t="s">
        <v>34</v>
      </c>
      <c r="AE810">
        <f>ROUND((U810*V810)-(U810*V810*Y810),2)</f>
        <v>18362.509999999998</v>
      </c>
      <c r="AF810">
        <f>AE810-AA810</f>
        <v>7228.5399999999991</v>
      </c>
      <c r="AG810" s="7">
        <f>ROUND((AF810/AE810),4)</f>
        <v>0.39369999999999999</v>
      </c>
      <c r="AH810">
        <f>IF(AND(C810&lt;&gt;"",E810&lt;&gt;""),E810 - C810,"")</f>
        <v>4</v>
      </c>
      <c r="AI810" t="str">
        <f>IF(C810="","",TEXT(C810, "mmmm"))</f>
        <v>March</v>
      </c>
      <c r="AJ810">
        <f>IF(C810="","",YEAR(C810))</f>
        <v>2025</v>
      </c>
      <c r="AM810" t="str">
        <f>IF(AN810="","clean","")</f>
        <v>clean</v>
      </c>
      <c r="AN810" t="s">
        <v>3595</v>
      </c>
    </row>
    <row r="811" spans="1:40">
      <c r="A811" t="s">
        <v>2708</v>
      </c>
      <c r="B811" t="s">
        <v>3981</v>
      </c>
      <c r="C811" s="6">
        <v>45751</v>
      </c>
      <c r="D811" t="s">
        <v>2709</v>
      </c>
      <c r="E811" s="6">
        <v>45754</v>
      </c>
      <c r="F811" t="s">
        <v>2710</v>
      </c>
      <c r="G811" t="s">
        <v>136</v>
      </c>
      <c r="H811" t="s">
        <v>136</v>
      </c>
      <c r="I811" t="s">
        <v>40</v>
      </c>
      <c r="J811" t="s">
        <v>40</v>
      </c>
      <c r="K811" t="s">
        <v>60</v>
      </c>
      <c r="L811" t="str">
        <f>IF(TRIM(K811)="","Unknown",PROPER(TRIM(K811)))</f>
        <v>South</v>
      </c>
      <c r="M811" t="s">
        <v>309</v>
      </c>
      <c r="N811" t="s">
        <v>310</v>
      </c>
      <c r="O811" t="s">
        <v>83</v>
      </c>
      <c r="P811" t="str">
        <f>IF(TRIM(O811)="","Unknown",PROPER(TRIM(O811)))</f>
        <v>Technology</v>
      </c>
      <c r="Q811" t="s">
        <v>91</v>
      </c>
      <c r="R811" t="s">
        <v>2711</v>
      </c>
      <c r="S811" t="s">
        <v>32</v>
      </c>
      <c r="T811" t="str">
        <f>IF(TRIM(S811)="","Unknown",PROPER(TRIM(S811)))</f>
        <v>Second Class</v>
      </c>
      <c r="U811">
        <v>7</v>
      </c>
      <c r="V811">
        <v>4457.93</v>
      </c>
      <c r="W811">
        <v>0.15</v>
      </c>
      <c r="Y811">
        <v>0.15</v>
      </c>
      <c r="Z811">
        <v>26524.68</v>
      </c>
      <c r="AA811">
        <v>20574.3</v>
      </c>
      <c r="AB811">
        <v>5950.38</v>
      </c>
      <c r="AC811" t="s">
        <v>33</v>
      </c>
      <c r="AD811" t="s">
        <v>34</v>
      </c>
      <c r="AE811">
        <f>ROUND((U811*V811)-(U811*V811*Y811),2)</f>
        <v>26524.68</v>
      </c>
      <c r="AF811">
        <f>AE811-AA811</f>
        <v>5950.380000000001</v>
      </c>
      <c r="AG811" s="7">
        <f>ROUND((AF811/AE811),4)</f>
        <v>0.2243</v>
      </c>
      <c r="AH811">
        <f>IF(AND(C811&lt;&gt;"",E811&lt;&gt;""),E811 - C811,"")</f>
        <v>3</v>
      </c>
      <c r="AI811" t="str">
        <f>IF(C811="","",TEXT(C811, "mmmm"))</f>
        <v>April</v>
      </c>
      <c r="AJ811">
        <f>IF(C811="","",YEAR(C811))</f>
        <v>2025</v>
      </c>
      <c r="AM811" t="str">
        <f>IF(AN811="","clean","")</f>
        <v>clean</v>
      </c>
      <c r="AN811" t="s">
        <v>3595</v>
      </c>
    </row>
    <row r="812" spans="1:40">
      <c r="A812" t="s">
        <v>2712</v>
      </c>
      <c r="B812" t="s">
        <v>3982</v>
      </c>
      <c r="C812" s="6">
        <v>45942</v>
      </c>
      <c r="D812" t="s">
        <v>134</v>
      </c>
      <c r="E812" s="6">
        <v>45946</v>
      </c>
      <c r="F812" t="s">
        <v>1244</v>
      </c>
      <c r="G812" t="s">
        <v>196</v>
      </c>
      <c r="H812" t="s">
        <v>196</v>
      </c>
      <c r="I812" t="s">
        <v>104</v>
      </c>
      <c r="J812" t="s">
        <v>104</v>
      </c>
      <c r="K812" t="s">
        <v>41</v>
      </c>
      <c r="L812" t="str">
        <f>IF(TRIM(K812)="","Unknown",PROPER(TRIM(K812)))</f>
        <v>East</v>
      </c>
      <c r="M812" t="s">
        <v>174</v>
      </c>
      <c r="N812" t="s">
        <v>175</v>
      </c>
      <c r="O812" t="s">
        <v>83</v>
      </c>
      <c r="P812" t="str">
        <f>IF(TRIM(O812)="","Unknown",PROPER(TRIM(O812)))</f>
        <v>Technology</v>
      </c>
      <c r="Q812" t="s">
        <v>347</v>
      </c>
      <c r="R812" t="s">
        <v>2713</v>
      </c>
      <c r="S812" t="s">
        <v>47</v>
      </c>
      <c r="T812" t="str">
        <f>IF(TRIM(S812)="","Unknown",PROPER(TRIM(S812)))</f>
        <v>Same Day</v>
      </c>
      <c r="U812">
        <v>1</v>
      </c>
      <c r="V812">
        <v>2570.06</v>
      </c>
      <c r="W812">
        <v>0.2</v>
      </c>
      <c r="Y812">
        <v>0.2</v>
      </c>
      <c r="Z812">
        <v>2056.0500000000002</v>
      </c>
      <c r="AA812">
        <v>1662.39</v>
      </c>
      <c r="AB812">
        <v>393.66</v>
      </c>
      <c r="AC812" t="s">
        <v>33</v>
      </c>
      <c r="AD812" t="s">
        <v>34</v>
      </c>
      <c r="AE812">
        <f>ROUND((U812*V812)-(U812*V812*Y812),2)</f>
        <v>2056.0500000000002</v>
      </c>
      <c r="AF812">
        <f>AE812-AA812</f>
        <v>393.66000000000008</v>
      </c>
      <c r="AG812" s="7">
        <f>ROUND((AF812/AE812),4)</f>
        <v>0.1915</v>
      </c>
      <c r="AH812">
        <f>IF(AND(C812&lt;&gt;"",E812&lt;&gt;""),E812 - C812,"")</f>
        <v>4</v>
      </c>
      <c r="AI812" t="str">
        <f>IF(C812="","",TEXT(C812, "mmmm"))</f>
        <v>October</v>
      </c>
      <c r="AJ812">
        <f>IF(C812="","",YEAR(C812))</f>
        <v>2025</v>
      </c>
      <c r="AM812" t="str">
        <f>IF(AN812="","clean","")</f>
        <v>clean</v>
      </c>
      <c r="AN812" t="s">
        <v>3595</v>
      </c>
    </row>
    <row r="813" spans="1:40">
      <c r="A813" t="s">
        <v>2714</v>
      </c>
      <c r="B813" t="s">
        <v>623</v>
      </c>
      <c r="C813" s="6">
        <v>45895</v>
      </c>
      <c r="D813" t="s">
        <v>623</v>
      </c>
      <c r="E813" s="6">
        <v>45895</v>
      </c>
      <c r="F813" t="s">
        <v>2715</v>
      </c>
      <c r="G813" t="s">
        <v>90</v>
      </c>
      <c r="H813" t="s">
        <v>90</v>
      </c>
      <c r="I813" t="s">
        <v>110</v>
      </c>
      <c r="J813" t="s">
        <v>110</v>
      </c>
      <c r="K813" t="s">
        <v>41</v>
      </c>
      <c r="L813" t="str">
        <f>IF(TRIM(K813)="","Unknown",PROPER(TRIM(K813)))</f>
        <v>East</v>
      </c>
      <c r="M813" t="s">
        <v>116</v>
      </c>
      <c r="N813" t="s">
        <v>117</v>
      </c>
      <c r="O813" t="s">
        <v>44</v>
      </c>
      <c r="P813" t="str">
        <f>IF(TRIM(O813)="","Unknown",PROPER(TRIM(O813)))</f>
        <v>Furniture</v>
      </c>
      <c r="Q813" t="s">
        <v>63</v>
      </c>
      <c r="R813" t="s">
        <v>2716</v>
      </c>
      <c r="S813" t="s">
        <v>65</v>
      </c>
      <c r="T813" t="str">
        <f>IF(TRIM(S813)="","Unknown",PROPER(TRIM(S813)))</f>
        <v>Standard Class</v>
      </c>
      <c r="U813">
        <v>4</v>
      </c>
      <c r="V813">
        <v>2151.8200000000002</v>
      </c>
      <c r="W813">
        <v>0</v>
      </c>
      <c r="Y813">
        <v>0</v>
      </c>
      <c r="Z813">
        <v>8607.2800000000007</v>
      </c>
      <c r="AA813">
        <v>5124.01</v>
      </c>
      <c r="AB813">
        <v>3483.27</v>
      </c>
      <c r="AC813" t="s">
        <v>33</v>
      </c>
      <c r="AD813" t="s">
        <v>34</v>
      </c>
      <c r="AE813">
        <f>ROUND((U813*V813)-(U813*V813*Y813),2)</f>
        <v>8607.2800000000007</v>
      </c>
      <c r="AF813">
        <f>AE813-AA813</f>
        <v>3483.2700000000004</v>
      </c>
      <c r="AG813" s="7">
        <f>ROUND((AF813/AE813),4)</f>
        <v>0.4047</v>
      </c>
      <c r="AH813">
        <f>IF(AND(C813&lt;&gt;"",E813&lt;&gt;""),E813 - C813,"")</f>
        <v>0</v>
      </c>
      <c r="AI813" t="str">
        <f>IF(C813="","",TEXT(C813, "mmmm"))</f>
        <v>August</v>
      </c>
      <c r="AJ813">
        <f>IF(C813="","",YEAR(C813))</f>
        <v>2025</v>
      </c>
      <c r="AM813" t="str">
        <f>IF(AN813="","clean","")</f>
        <v>clean</v>
      </c>
      <c r="AN813" t="s">
        <v>3595</v>
      </c>
    </row>
    <row r="814" spans="1:40">
      <c r="A814" t="s">
        <v>2720</v>
      </c>
      <c r="B814" t="s">
        <v>3984</v>
      </c>
      <c r="C814" s="6">
        <v>45876</v>
      </c>
      <c r="D814" t="s">
        <v>2721</v>
      </c>
      <c r="E814" s="6">
        <v>45879</v>
      </c>
      <c r="F814" t="s">
        <v>2722</v>
      </c>
      <c r="G814" t="s">
        <v>103</v>
      </c>
      <c r="H814" t="s">
        <v>103</v>
      </c>
      <c r="I814" t="s">
        <v>110</v>
      </c>
      <c r="J814" t="s">
        <v>110</v>
      </c>
      <c r="K814" t="s">
        <v>41</v>
      </c>
      <c r="L814" t="str">
        <f>IF(TRIM(K814)="","Unknown",PROPER(TRIM(K814)))</f>
        <v>East</v>
      </c>
      <c r="M814" t="s">
        <v>174</v>
      </c>
      <c r="N814" t="s">
        <v>175</v>
      </c>
      <c r="O814" t="s">
        <v>29</v>
      </c>
      <c r="P814" t="str">
        <f>IF(TRIM(O814)="","Unknown",PROPER(TRIM(O814)))</f>
        <v>Office Supplies</v>
      </c>
      <c r="Q814" t="s">
        <v>148</v>
      </c>
      <c r="R814" t="s">
        <v>2723</v>
      </c>
      <c r="S814" t="s">
        <v>32</v>
      </c>
      <c r="T814" t="str">
        <f>IF(TRIM(S814)="","Unknown",PROPER(TRIM(S814)))</f>
        <v>Second Class</v>
      </c>
      <c r="U814">
        <v>1</v>
      </c>
      <c r="V814">
        <v>2541.25</v>
      </c>
      <c r="W814">
        <v>0.2</v>
      </c>
      <c r="Y814">
        <v>0.2</v>
      </c>
      <c r="Z814">
        <v>2033</v>
      </c>
      <c r="AA814">
        <v>1291.4100000000001</v>
      </c>
      <c r="AB814">
        <v>741.59</v>
      </c>
      <c r="AC814" t="s">
        <v>33</v>
      </c>
      <c r="AD814" t="s">
        <v>34</v>
      </c>
      <c r="AE814">
        <f>ROUND((U814*V814)-(U814*V814*Y814),2)</f>
        <v>2033</v>
      </c>
      <c r="AF814">
        <f>AE814-AA814</f>
        <v>741.58999999999992</v>
      </c>
      <c r="AG814" s="7">
        <f>ROUND((AF814/AE814),4)</f>
        <v>0.36480000000000001</v>
      </c>
      <c r="AH814">
        <f>IF(AND(C814&lt;&gt;"",E814&lt;&gt;""),E814 - C814,"")</f>
        <v>3</v>
      </c>
      <c r="AI814" t="str">
        <f>IF(C814="","",TEXT(C814, "mmmm"))</f>
        <v>August</v>
      </c>
      <c r="AJ814">
        <f>IF(C814="","",YEAR(C814))</f>
        <v>2025</v>
      </c>
      <c r="AM814" t="str">
        <f>IF(AN814="","clean","")</f>
        <v>clean</v>
      </c>
      <c r="AN814" t="s">
        <v>3595</v>
      </c>
    </row>
    <row r="815" spans="1:40">
      <c r="A815" t="s">
        <v>2724</v>
      </c>
      <c r="B815" t="s">
        <v>3985</v>
      </c>
      <c r="C815" s="6">
        <v>45817</v>
      </c>
      <c r="D815" t="s">
        <v>1946</v>
      </c>
      <c r="E815" s="6">
        <v>45820</v>
      </c>
      <c r="F815" t="s">
        <v>2725</v>
      </c>
      <c r="G815" t="s">
        <v>158</v>
      </c>
      <c r="H815" t="s">
        <v>158</v>
      </c>
      <c r="I815" t="s">
        <v>25</v>
      </c>
      <c r="J815" t="s">
        <v>25</v>
      </c>
      <c r="L815" t="str">
        <f>IF(TRIM(K815)="","Unknown",PROPER(TRIM(K815)))</f>
        <v>Unknown</v>
      </c>
      <c r="M815" t="s">
        <v>174</v>
      </c>
      <c r="N815" t="s">
        <v>175</v>
      </c>
      <c r="O815" t="s">
        <v>29</v>
      </c>
      <c r="P815" t="str">
        <f>IF(TRIM(O815)="","Unknown",PROPER(TRIM(O815)))</f>
        <v>Office Supplies</v>
      </c>
      <c r="Q815" t="s">
        <v>53</v>
      </c>
      <c r="R815" t="s">
        <v>2726</v>
      </c>
      <c r="S815" t="s">
        <v>55</v>
      </c>
      <c r="T815" t="str">
        <f>IF(TRIM(S815)="","Unknown",PROPER(TRIM(S815)))</f>
        <v>First Class</v>
      </c>
      <c r="U815">
        <v>7</v>
      </c>
      <c r="V815">
        <v>2852.42</v>
      </c>
      <c r="W815">
        <v>0</v>
      </c>
      <c r="Y815">
        <v>0</v>
      </c>
      <c r="Z815">
        <v>19966.939999999999</v>
      </c>
      <c r="AA815">
        <v>12690.83</v>
      </c>
      <c r="AB815">
        <v>7276.11</v>
      </c>
      <c r="AC815" t="s">
        <v>119</v>
      </c>
      <c r="AD815" t="s">
        <v>76</v>
      </c>
      <c r="AE815">
        <f>ROUND((U815*V815)-(U815*V815*Y815),2)</f>
        <v>19966.939999999999</v>
      </c>
      <c r="AF815">
        <f>AE815-AA815</f>
        <v>7276.1099999999988</v>
      </c>
      <c r="AG815" s="7">
        <f>ROUND((AF815/AE815),4)</f>
        <v>0.3644</v>
      </c>
      <c r="AH815">
        <f>IF(AND(C815&lt;&gt;"",E815&lt;&gt;""),E815 - C815,"")</f>
        <v>3</v>
      </c>
      <c r="AI815" t="str">
        <f>IF(C815="","",TEXT(C815, "mmmm"))</f>
        <v>June</v>
      </c>
      <c r="AJ815">
        <f>IF(C815="","",YEAR(C815))</f>
        <v>2025</v>
      </c>
      <c r="AM815" t="s">
        <v>4145</v>
      </c>
      <c r="AN815" t="s">
        <v>3597</v>
      </c>
    </row>
    <row r="816" spans="1:40">
      <c r="A816" t="s">
        <v>2727</v>
      </c>
      <c r="B816" t="s">
        <v>3614</v>
      </c>
      <c r="D816" t="s">
        <v>1615</v>
      </c>
      <c r="E816" s="6">
        <v>45679</v>
      </c>
      <c r="F816" t="s">
        <v>2728</v>
      </c>
      <c r="G816" t="s">
        <v>196</v>
      </c>
      <c r="H816" t="s">
        <v>196</v>
      </c>
      <c r="I816" t="s">
        <v>104</v>
      </c>
      <c r="J816" t="s">
        <v>104</v>
      </c>
      <c r="K816" t="s">
        <v>60</v>
      </c>
      <c r="L816" t="str">
        <f>IF(TRIM(K816)="","Unknown",PROPER(TRIM(K816)))</f>
        <v>South</v>
      </c>
      <c r="M816" t="s">
        <v>212</v>
      </c>
      <c r="N816" t="s">
        <v>213</v>
      </c>
      <c r="O816" t="s">
        <v>83</v>
      </c>
      <c r="P816" t="str">
        <f>IF(TRIM(O816)="","Unknown",PROPER(TRIM(O816)))</f>
        <v>Technology</v>
      </c>
      <c r="Q816" t="s">
        <v>207</v>
      </c>
      <c r="R816" t="s">
        <v>2729</v>
      </c>
      <c r="S816" t="s">
        <v>32</v>
      </c>
      <c r="T816" t="str">
        <f>IF(TRIM(S816)="","Unknown",PROPER(TRIM(S816)))</f>
        <v>Second Class</v>
      </c>
      <c r="U816">
        <v>2</v>
      </c>
      <c r="V816">
        <v>444.31</v>
      </c>
      <c r="W816">
        <v>0.2</v>
      </c>
      <c r="Y816">
        <v>0.2</v>
      </c>
      <c r="Z816">
        <v>710.9</v>
      </c>
      <c r="AA816">
        <v>513.88</v>
      </c>
      <c r="AB816">
        <v>197.02</v>
      </c>
      <c r="AC816" t="s">
        <v>119</v>
      </c>
      <c r="AD816" t="s">
        <v>76</v>
      </c>
      <c r="AE816">
        <f>ROUND((U816*V816)-(U816*V816*Y816),2)</f>
        <v>710.9</v>
      </c>
      <c r="AF816">
        <f>AE816-AA816</f>
        <v>197.01999999999998</v>
      </c>
      <c r="AG816" s="7">
        <f>ROUND((AF816/AE816),4)</f>
        <v>0.27710000000000001</v>
      </c>
      <c r="AH816" t="str">
        <f>IF(AND(C816&lt;&gt;"",E816&lt;&gt;""),E816 - C816,"")</f>
        <v/>
      </c>
      <c r="AI816" t="str">
        <f>IF(C816="","",TEXT(C816, "mmmm"))</f>
        <v/>
      </c>
      <c r="AJ816" t="str">
        <f>IF(C816="","",YEAR(C816))</f>
        <v/>
      </c>
      <c r="AM816" t="s">
        <v>4144</v>
      </c>
      <c r="AN816" t="s">
        <v>4127</v>
      </c>
    </row>
    <row r="817" spans="1:40">
      <c r="A817" t="s">
        <v>2730</v>
      </c>
      <c r="B817" t="s">
        <v>3613</v>
      </c>
      <c r="C817" s="6">
        <v>45853</v>
      </c>
      <c r="D817" t="s">
        <v>2731</v>
      </c>
      <c r="E817" s="6">
        <v>45853</v>
      </c>
      <c r="F817" t="s">
        <v>2732</v>
      </c>
      <c r="G817" t="s">
        <v>59</v>
      </c>
      <c r="H817" t="s">
        <v>59</v>
      </c>
      <c r="I817" t="s">
        <v>40</v>
      </c>
      <c r="J817" t="s">
        <v>40</v>
      </c>
      <c r="K817" t="s">
        <v>41</v>
      </c>
      <c r="L817" t="str">
        <f>IF(TRIM(K817)="","Unknown",PROPER(TRIM(K817)))</f>
        <v>East</v>
      </c>
      <c r="M817" t="s">
        <v>284</v>
      </c>
      <c r="N817" t="s">
        <v>285</v>
      </c>
      <c r="O817" t="s">
        <v>83</v>
      </c>
      <c r="P817" t="str">
        <f>IF(TRIM(O817)="","Unknown",PROPER(TRIM(O817)))</f>
        <v>Technology</v>
      </c>
      <c r="Q817" t="s">
        <v>207</v>
      </c>
      <c r="R817" t="s">
        <v>2733</v>
      </c>
      <c r="S817" t="s">
        <v>47</v>
      </c>
      <c r="T817" t="str">
        <f>IF(TRIM(S817)="","Unknown",PROPER(TRIM(S817)))</f>
        <v>Same Day</v>
      </c>
      <c r="U817">
        <v>4</v>
      </c>
      <c r="V817">
        <v>4442.91</v>
      </c>
      <c r="W817">
        <v>0.1</v>
      </c>
      <c r="Y817">
        <v>0.1</v>
      </c>
      <c r="Z817">
        <v>15994.48</v>
      </c>
      <c r="AA817">
        <v>9224.2800000000007</v>
      </c>
      <c r="AB817">
        <v>6770.2</v>
      </c>
      <c r="AC817" t="s">
        <v>33</v>
      </c>
      <c r="AD817" t="s">
        <v>34</v>
      </c>
      <c r="AE817">
        <f>ROUND((U817*V817)-(U817*V817*Y817),2)</f>
        <v>15994.48</v>
      </c>
      <c r="AF817">
        <f>AE817-AA817</f>
        <v>6770.1999999999989</v>
      </c>
      <c r="AG817" s="7">
        <f>ROUND((AF817/AE817),4)</f>
        <v>0.42330000000000001</v>
      </c>
      <c r="AH817">
        <f>IF(AND(C817&lt;&gt;"",E817&lt;&gt;""),E817 - C817,"")</f>
        <v>0</v>
      </c>
      <c r="AI817" t="str">
        <f>IF(C817="","",TEXT(C817, "mmmm"))</f>
        <v>July</v>
      </c>
      <c r="AJ817">
        <f>IF(C817="","",YEAR(C817))</f>
        <v>2025</v>
      </c>
      <c r="AM817" t="str">
        <f>IF(AN817="","clean","")</f>
        <v>clean</v>
      </c>
      <c r="AN817" t="s">
        <v>3595</v>
      </c>
    </row>
    <row r="818" spans="1:40">
      <c r="A818" t="s">
        <v>2749</v>
      </c>
      <c r="B818" t="s">
        <v>3989</v>
      </c>
      <c r="C818" s="6">
        <v>45670</v>
      </c>
      <c r="D818" t="s">
        <v>2750</v>
      </c>
      <c r="E818" s="6">
        <v>45670</v>
      </c>
      <c r="F818" t="s">
        <v>2751</v>
      </c>
      <c r="G818" t="s">
        <v>141</v>
      </c>
      <c r="H818" t="s">
        <v>141</v>
      </c>
      <c r="I818" t="s">
        <v>110</v>
      </c>
      <c r="J818" t="s">
        <v>110</v>
      </c>
      <c r="K818" t="s">
        <v>71</v>
      </c>
      <c r="L818" t="str">
        <f>IF(TRIM(K818)="","Unknown",PROPER(TRIM(K818)))</f>
        <v>West</v>
      </c>
      <c r="M818" t="s">
        <v>218</v>
      </c>
      <c r="N818" t="s">
        <v>219</v>
      </c>
      <c r="O818" t="s">
        <v>29</v>
      </c>
      <c r="P818" t="str">
        <f>IF(TRIM(O818)="","Unknown",PROPER(TRIM(O818)))</f>
        <v>Office Supplies</v>
      </c>
      <c r="Q818" t="s">
        <v>53</v>
      </c>
      <c r="R818" t="s">
        <v>2752</v>
      </c>
      <c r="S818" t="s">
        <v>65</v>
      </c>
      <c r="T818" t="str">
        <f>IF(TRIM(S818)="","Unknown",PROPER(TRIM(S818)))</f>
        <v>Standard Class</v>
      </c>
      <c r="U818">
        <v>3</v>
      </c>
      <c r="V818">
        <v>2110.52</v>
      </c>
      <c r="W818">
        <v>0.1</v>
      </c>
      <c r="Y818">
        <v>0.1</v>
      </c>
      <c r="Z818">
        <v>5698.4</v>
      </c>
      <c r="AA818">
        <v>3640.89</v>
      </c>
      <c r="AB818">
        <v>2057.5100000000002</v>
      </c>
      <c r="AC818" t="s">
        <v>186</v>
      </c>
      <c r="AD818" t="s">
        <v>76</v>
      </c>
      <c r="AE818">
        <f>ROUND((U818*V818)-(U818*V818*Y818),2)</f>
        <v>5698.4</v>
      </c>
      <c r="AF818">
        <f>AE818-AA818</f>
        <v>2057.5099999999998</v>
      </c>
      <c r="AG818" s="7">
        <f>ROUND((AF818/AE818),4)</f>
        <v>0.36109999999999998</v>
      </c>
      <c r="AH818">
        <f>IF(AND(C818&lt;&gt;"",E818&lt;&gt;""),E818 - C818,"")</f>
        <v>0</v>
      </c>
      <c r="AI818" t="str">
        <f>IF(C818="","",TEXT(C818, "mmmm"))</f>
        <v>January</v>
      </c>
      <c r="AJ818">
        <f>IF(C818="","",YEAR(C818))</f>
        <v>2025</v>
      </c>
      <c r="AM818" t="str">
        <f>IF(AN818="","clean","")</f>
        <v>clean</v>
      </c>
      <c r="AN818" t="s">
        <v>3595</v>
      </c>
    </row>
    <row r="819" spans="1:40">
      <c r="A819" t="s">
        <v>2756</v>
      </c>
      <c r="B819" t="s">
        <v>3990</v>
      </c>
      <c r="D819" t="s">
        <v>2757</v>
      </c>
      <c r="F819" t="s">
        <v>2758</v>
      </c>
      <c r="G819" t="s">
        <v>196</v>
      </c>
      <c r="H819" t="s">
        <v>196</v>
      </c>
      <c r="I819" t="s">
        <v>40</v>
      </c>
      <c r="J819" t="s">
        <v>40</v>
      </c>
      <c r="K819" t="s">
        <v>41</v>
      </c>
      <c r="L819" t="str">
        <f>IF(TRIM(K819)="","Unknown",PROPER(TRIM(K819)))</f>
        <v>East</v>
      </c>
      <c r="M819" t="s">
        <v>174</v>
      </c>
      <c r="N819" t="s">
        <v>175</v>
      </c>
      <c r="O819" t="s">
        <v>83</v>
      </c>
      <c r="P819" t="str">
        <f>IF(TRIM(O819)="","Unknown",PROPER(TRIM(O819)))</f>
        <v>Technology</v>
      </c>
      <c r="Q819" t="s">
        <v>347</v>
      </c>
      <c r="R819" t="s">
        <v>2759</v>
      </c>
      <c r="S819" t="s">
        <v>65</v>
      </c>
      <c r="T819" t="str">
        <f>IF(TRIM(S819)="","Unknown",PROPER(TRIM(S819)))</f>
        <v>Standard Class</v>
      </c>
      <c r="U819">
        <v>1</v>
      </c>
      <c r="V819">
        <v>3959.14</v>
      </c>
      <c r="W819">
        <v>0</v>
      </c>
      <c r="Y819">
        <v>0</v>
      </c>
      <c r="Z819">
        <v>3959.14</v>
      </c>
      <c r="AA819">
        <v>3239.53</v>
      </c>
      <c r="AB819">
        <v>719.61</v>
      </c>
      <c r="AC819" t="s">
        <v>131</v>
      </c>
      <c r="AD819" t="s">
        <v>120</v>
      </c>
      <c r="AE819">
        <f>ROUND((U819*V819)-(U819*V819*Y819),2)</f>
        <v>3959.14</v>
      </c>
      <c r="AF819">
        <f>AE819-AA819</f>
        <v>719.60999999999967</v>
      </c>
      <c r="AG819" s="7">
        <f>ROUND((AF819/AE819),4)</f>
        <v>0.18179999999999999</v>
      </c>
      <c r="AH819" t="str">
        <f>IF(AND(C819&lt;&gt;"",E819&lt;&gt;""),E819 - C819,"")</f>
        <v/>
      </c>
      <c r="AI819" t="str">
        <f>IF(C819="","",TEXT(C819, "mmmm"))</f>
        <v/>
      </c>
      <c r="AJ819" t="str">
        <f>IF(C819="","",YEAR(C819))</f>
        <v/>
      </c>
      <c r="AM819" t="s">
        <v>4144</v>
      </c>
      <c r="AN819" t="s">
        <v>4123</v>
      </c>
    </row>
    <row r="820" spans="1:40">
      <c r="A820" t="s">
        <v>2767</v>
      </c>
      <c r="B820" t="s">
        <v>3993</v>
      </c>
      <c r="C820" s="6">
        <v>45690</v>
      </c>
      <c r="D820" t="s">
        <v>2595</v>
      </c>
      <c r="E820" s="6">
        <v>45694</v>
      </c>
      <c r="F820" t="s">
        <v>2133</v>
      </c>
      <c r="G820" t="s">
        <v>158</v>
      </c>
      <c r="H820" t="s">
        <v>158</v>
      </c>
      <c r="I820" t="s">
        <v>104</v>
      </c>
      <c r="J820" t="s">
        <v>104</v>
      </c>
      <c r="K820" t="s">
        <v>26</v>
      </c>
      <c r="L820" t="str">
        <f>IF(TRIM(K820)="","Unknown",PROPER(TRIM(K820)))</f>
        <v>North</v>
      </c>
      <c r="M820" t="s">
        <v>163</v>
      </c>
      <c r="N820" t="s">
        <v>164</v>
      </c>
      <c r="O820" t="s">
        <v>44</v>
      </c>
      <c r="P820" t="str">
        <f>IF(TRIM(O820)="","Unknown",PROPER(TRIM(O820)))</f>
        <v>Furniture</v>
      </c>
      <c r="Q820" t="s">
        <v>45</v>
      </c>
      <c r="R820" t="s">
        <v>2768</v>
      </c>
      <c r="S820" t="s">
        <v>65</v>
      </c>
      <c r="T820" t="str">
        <f>IF(TRIM(S820)="","Unknown",PROPER(TRIM(S820)))</f>
        <v>Standard Class</v>
      </c>
      <c r="U820">
        <v>8</v>
      </c>
      <c r="V820">
        <v>857.86</v>
      </c>
      <c r="W820">
        <v>0.1</v>
      </c>
      <c r="Y820">
        <v>0.1</v>
      </c>
      <c r="Z820">
        <v>6176.59</v>
      </c>
      <c r="AA820">
        <v>3560.96</v>
      </c>
      <c r="AB820">
        <v>2615.63</v>
      </c>
      <c r="AC820" t="s">
        <v>33</v>
      </c>
      <c r="AD820" t="s">
        <v>34</v>
      </c>
      <c r="AE820">
        <f>ROUND((U820*V820)-(U820*V820*Y820),2)</f>
        <v>6176.59</v>
      </c>
      <c r="AF820">
        <f>AE820-AA820</f>
        <v>2615.63</v>
      </c>
      <c r="AG820" s="7">
        <f>ROUND((AF820/AE820),4)</f>
        <v>0.42349999999999999</v>
      </c>
      <c r="AH820">
        <f>IF(AND(C820&lt;&gt;"",E820&lt;&gt;""),E820 - C820,"")</f>
        <v>4</v>
      </c>
      <c r="AI820" t="str">
        <f>IF(C820="","",TEXT(C820, "mmmm"))</f>
        <v>February</v>
      </c>
      <c r="AJ820">
        <f>IF(C820="","",YEAR(C820))</f>
        <v>2025</v>
      </c>
      <c r="AM820" t="str">
        <f>IF(AN820="","clean","")</f>
        <v>clean</v>
      </c>
      <c r="AN820" t="s">
        <v>3595</v>
      </c>
    </row>
    <row r="821" spans="1:40">
      <c r="A821" t="s">
        <v>2778</v>
      </c>
      <c r="B821" t="s">
        <v>2106</v>
      </c>
      <c r="C821" s="6">
        <v>45701</v>
      </c>
      <c r="D821" t="s">
        <v>2779</v>
      </c>
      <c r="E821" s="6">
        <v>45704</v>
      </c>
      <c r="F821" t="s">
        <v>2780</v>
      </c>
      <c r="G821" t="s">
        <v>59</v>
      </c>
      <c r="H821" t="s">
        <v>59</v>
      </c>
      <c r="I821" t="s">
        <v>40</v>
      </c>
      <c r="J821" t="s">
        <v>40</v>
      </c>
      <c r="K821" t="s">
        <v>71</v>
      </c>
      <c r="L821" t="str">
        <f>IF(TRIM(K821)="","Unknown",PROPER(TRIM(K821)))</f>
        <v>West</v>
      </c>
      <c r="M821" t="s">
        <v>27</v>
      </c>
      <c r="N821" t="s">
        <v>129</v>
      </c>
      <c r="O821" t="s">
        <v>44</v>
      </c>
      <c r="P821" t="str">
        <f>IF(TRIM(O821)="","Unknown",PROPER(TRIM(O821)))</f>
        <v>Furniture</v>
      </c>
      <c r="Q821" t="s">
        <v>190</v>
      </c>
      <c r="R821" t="s">
        <v>2781</v>
      </c>
      <c r="S821" t="s">
        <v>32</v>
      </c>
      <c r="T821" t="str">
        <f>IF(TRIM(S821)="","Unknown",PROPER(TRIM(S821)))</f>
        <v>Second Class</v>
      </c>
      <c r="U821">
        <v>4</v>
      </c>
      <c r="V821">
        <v>4072.9</v>
      </c>
      <c r="W821">
        <v>0.15</v>
      </c>
      <c r="Y821">
        <v>0.15</v>
      </c>
      <c r="Z821">
        <v>13847.86</v>
      </c>
      <c r="AA821">
        <v>8471.7800000000007</v>
      </c>
      <c r="AB821">
        <v>5376.08</v>
      </c>
      <c r="AC821" t="s">
        <v>33</v>
      </c>
      <c r="AD821" t="s">
        <v>34</v>
      </c>
      <c r="AE821">
        <f>ROUND((U821*V821)-(U821*V821*Y821),2)</f>
        <v>13847.86</v>
      </c>
      <c r="AF821">
        <f>AE821-AA821</f>
        <v>5376.08</v>
      </c>
      <c r="AG821" s="7">
        <f>ROUND((AF821/AE821),4)</f>
        <v>0.38819999999999999</v>
      </c>
      <c r="AH821">
        <f>IF(AND(C821&lt;&gt;"",E821&lt;&gt;""),E821 - C821,"")</f>
        <v>3</v>
      </c>
      <c r="AI821" t="str">
        <f>IF(C821="","",TEXT(C821, "mmmm"))</f>
        <v>February</v>
      </c>
      <c r="AJ821">
        <f>IF(C821="","",YEAR(C821))</f>
        <v>2025</v>
      </c>
      <c r="AM821" t="str">
        <f>IF(AN821="","clean","")</f>
        <v>clean</v>
      </c>
      <c r="AN821" t="s">
        <v>3595</v>
      </c>
    </row>
    <row r="822" spans="1:40">
      <c r="A822" t="s">
        <v>2786</v>
      </c>
      <c r="B822" t="s">
        <v>3997</v>
      </c>
      <c r="C822" s="6">
        <v>45815</v>
      </c>
      <c r="D822" t="s">
        <v>2787</v>
      </c>
      <c r="E822" s="6">
        <v>45818</v>
      </c>
      <c r="F822" t="s">
        <v>2663</v>
      </c>
      <c r="G822" t="s">
        <v>153</v>
      </c>
      <c r="H822" t="s">
        <v>153</v>
      </c>
      <c r="I822" t="s">
        <v>25</v>
      </c>
      <c r="J822" t="s">
        <v>25</v>
      </c>
      <c r="K822" t="s">
        <v>26</v>
      </c>
      <c r="L822" t="str">
        <f>IF(TRIM(K822)="","Unknown",PROPER(TRIM(K822)))</f>
        <v>North</v>
      </c>
      <c r="M822" t="s">
        <v>27</v>
      </c>
      <c r="N822" t="s">
        <v>28</v>
      </c>
      <c r="O822" t="s">
        <v>44</v>
      </c>
      <c r="P822" t="str">
        <f>IF(TRIM(O822)="","Unknown",PROPER(TRIM(O822)))</f>
        <v>Furniture</v>
      </c>
      <c r="Q822" t="s">
        <v>63</v>
      </c>
      <c r="R822" t="s">
        <v>2788</v>
      </c>
      <c r="S822" t="s">
        <v>47</v>
      </c>
      <c r="T822" t="str">
        <f>IF(TRIM(S822)="","Unknown",PROPER(TRIM(S822)))</f>
        <v>Same Day</v>
      </c>
      <c r="U822">
        <v>3</v>
      </c>
      <c r="V822">
        <v>963.26</v>
      </c>
      <c r="W822">
        <v>0</v>
      </c>
      <c r="Y822">
        <v>0</v>
      </c>
      <c r="Z822">
        <v>2889.78</v>
      </c>
      <c r="AA822">
        <v>1811.23</v>
      </c>
      <c r="AB822">
        <v>1078.55</v>
      </c>
      <c r="AC822" t="s">
        <v>33</v>
      </c>
      <c r="AD822" t="s">
        <v>34</v>
      </c>
      <c r="AE822">
        <f>ROUND((U822*V822)-(U822*V822*Y822),2)</f>
        <v>2889.78</v>
      </c>
      <c r="AF822">
        <f>AE822-AA822</f>
        <v>1078.5500000000002</v>
      </c>
      <c r="AG822" s="7">
        <f>ROUND((AF822/AE822),4)</f>
        <v>0.37319999999999998</v>
      </c>
      <c r="AH822">
        <f>IF(AND(C822&lt;&gt;"",E822&lt;&gt;""),E822 - C822,"")</f>
        <v>3</v>
      </c>
      <c r="AI822" t="str">
        <f>IF(C822="","",TEXT(C822, "mmmm"))</f>
        <v>June</v>
      </c>
      <c r="AJ822">
        <f>IF(C822="","",YEAR(C822))</f>
        <v>2025</v>
      </c>
      <c r="AM822" t="str">
        <f>IF(AN822="","clean","")</f>
        <v>clean</v>
      </c>
      <c r="AN822" t="s">
        <v>3595</v>
      </c>
    </row>
    <row r="823" spans="1:40">
      <c r="A823" t="s">
        <v>2789</v>
      </c>
      <c r="B823" t="s">
        <v>3998</v>
      </c>
      <c r="C823" s="6">
        <v>45911</v>
      </c>
      <c r="D823" t="s">
        <v>2790</v>
      </c>
      <c r="E823" s="6">
        <v>45918</v>
      </c>
      <c r="F823" t="s">
        <v>2791</v>
      </c>
      <c r="G823" t="s">
        <v>141</v>
      </c>
      <c r="H823" t="s">
        <v>141</v>
      </c>
      <c r="I823" t="s">
        <v>40</v>
      </c>
      <c r="J823" t="s">
        <v>40</v>
      </c>
      <c r="K823" t="s">
        <v>26</v>
      </c>
      <c r="L823" t="str">
        <f>IF(TRIM(K823)="","Unknown",PROPER(TRIM(K823)))</f>
        <v>North</v>
      </c>
      <c r="M823" t="s">
        <v>454</v>
      </c>
      <c r="N823" t="s">
        <v>455</v>
      </c>
      <c r="O823" t="s">
        <v>83</v>
      </c>
      <c r="P823" t="str">
        <f>IF(TRIM(O823)="","Unknown",PROPER(TRIM(O823)))</f>
        <v>Technology</v>
      </c>
      <c r="Q823" t="s">
        <v>207</v>
      </c>
      <c r="R823" t="s">
        <v>2792</v>
      </c>
      <c r="S823" t="s">
        <v>47</v>
      </c>
      <c r="T823" t="str">
        <f>IF(TRIM(S823)="","Unknown",PROPER(TRIM(S823)))</f>
        <v>Same Day</v>
      </c>
      <c r="U823">
        <v>7</v>
      </c>
      <c r="V823">
        <v>3411.21</v>
      </c>
      <c r="W823">
        <v>0.15</v>
      </c>
      <c r="Y823">
        <v>0.15</v>
      </c>
      <c r="Z823">
        <v>20296.7</v>
      </c>
      <c r="AA823">
        <v>14920.87</v>
      </c>
      <c r="AB823">
        <v>5375.83</v>
      </c>
      <c r="AC823" t="s">
        <v>33</v>
      </c>
      <c r="AD823" t="s">
        <v>34</v>
      </c>
      <c r="AE823">
        <f>ROUND((U823*V823)-(U823*V823*Y823),2)</f>
        <v>20296.7</v>
      </c>
      <c r="AF823">
        <f>AE823-AA823</f>
        <v>5375.83</v>
      </c>
      <c r="AG823" s="7">
        <f>ROUND((AF823/AE823),4)</f>
        <v>0.26490000000000002</v>
      </c>
      <c r="AH823">
        <f>IF(AND(C823&lt;&gt;"",E823&lt;&gt;""),E823 - C823,"")</f>
        <v>7</v>
      </c>
      <c r="AI823" t="str">
        <f>IF(C823="","",TEXT(C823, "mmmm"))</f>
        <v>September</v>
      </c>
      <c r="AJ823">
        <f>IF(C823="","",YEAR(C823))</f>
        <v>2025</v>
      </c>
      <c r="AM823" t="str">
        <f>IF(AN823="","clean","")</f>
        <v>clean</v>
      </c>
      <c r="AN823" t="s">
        <v>3595</v>
      </c>
    </row>
    <row r="824" spans="1:40">
      <c r="A824" t="s">
        <v>2789</v>
      </c>
      <c r="B824" t="s">
        <v>3998</v>
      </c>
      <c r="C824" s="6">
        <v>45911</v>
      </c>
      <c r="D824" t="s">
        <v>2790</v>
      </c>
      <c r="E824" s="6">
        <v>45918</v>
      </c>
      <c r="F824" t="s">
        <v>2791</v>
      </c>
      <c r="G824" t="s">
        <v>141</v>
      </c>
      <c r="H824" t="s">
        <v>141</v>
      </c>
      <c r="I824" t="s">
        <v>40</v>
      </c>
      <c r="J824" t="s">
        <v>40</v>
      </c>
      <c r="K824" t="s">
        <v>26</v>
      </c>
      <c r="L824" t="str">
        <f>IF(TRIM(K824)="","Unknown",PROPER(TRIM(K824)))</f>
        <v>North</v>
      </c>
      <c r="M824" t="s">
        <v>454</v>
      </c>
      <c r="N824" t="s">
        <v>455</v>
      </c>
      <c r="O824" t="s">
        <v>83</v>
      </c>
      <c r="P824" t="str">
        <f>IF(TRIM(O824)="","Unknown",PROPER(TRIM(O824)))</f>
        <v>Technology</v>
      </c>
      <c r="Q824" t="s">
        <v>207</v>
      </c>
      <c r="R824" t="s">
        <v>2792</v>
      </c>
      <c r="S824" t="s">
        <v>47</v>
      </c>
      <c r="T824" t="str">
        <f>IF(TRIM(S824)="","Unknown",PROPER(TRIM(S824)))</f>
        <v>Same Day</v>
      </c>
      <c r="U824">
        <v>7</v>
      </c>
      <c r="V824">
        <v>3411.21</v>
      </c>
      <c r="W824">
        <v>0.15</v>
      </c>
      <c r="Y824">
        <v>0.15</v>
      </c>
      <c r="Z824">
        <v>20296.7</v>
      </c>
      <c r="AA824">
        <v>14920.87</v>
      </c>
      <c r="AB824">
        <v>5375.83</v>
      </c>
      <c r="AC824" t="s">
        <v>33</v>
      </c>
      <c r="AD824" t="s">
        <v>34</v>
      </c>
      <c r="AE824">
        <f>ROUND((U824*V824)-(U824*V824*Y824),2)</f>
        <v>20296.7</v>
      </c>
      <c r="AF824">
        <f>AE824-AA824</f>
        <v>5375.83</v>
      </c>
      <c r="AG824" s="7">
        <f>ROUND((AF824/AE824),4)</f>
        <v>0.26490000000000002</v>
      </c>
      <c r="AH824">
        <f>IF(AND(C824&lt;&gt;"",E824&lt;&gt;""),E824 - C824,"")</f>
        <v>7</v>
      </c>
      <c r="AI824" t="str">
        <f>IF(C824="","",TEXT(C824, "mmmm"))</f>
        <v>September</v>
      </c>
      <c r="AJ824">
        <f>IF(C824="","",YEAR(C824))</f>
        <v>2025</v>
      </c>
      <c r="AL824" t="s">
        <v>4152</v>
      </c>
      <c r="AM824" t="s">
        <v>4144</v>
      </c>
      <c r="AN824" t="s">
        <v>4149</v>
      </c>
    </row>
    <row r="825" spans="1:40">
      <c r="A825" t="s">
        <v>2800</v>
      </c>
      <c r="B825" t="s">
        <v>4001</v>
      </c>
      <c r="C825" s="6">
        <v>45885</v>
      </c>
      <c r="D825" t="s">
        <v>572</v>
      </c>
      <c r="F825" t="s">
        <v>2801</v>
      </c>
      <c r="G825" t="s">
        <v>169</v>
      </c>
      <c r="H825" t="s">
        <v>169</v>
      </c>
      <c r="I825" t="s">
        <v>104</v>
      </c>
      <c r="J825" t="s">
        <v>104</v>
      </c>
      <c r="K825" t="s">
        <v>26</v>
      </c>
      <c r="L825" t="str">
        <f>IF(TRIM(K825)="","Unknown",PROPER(TRIM(K825)))</f>
        <v>North</v>
      </c>
      <c r="M825" t="s">
        <v>146</v>
      </c>
      <c r="N825" t="s">
        <v>147</v>
      </c>
      <c r="O825" t="s">
        <v>83</v>
      </c>
      <c r="P825" t="str">
        <f>IF(TRIM(O825)="","Unknown",PROPER(TRIM(O825)))</f>
        <v>Technology</v>
      </c>
      <c r="Q825" t="s">
        <v>91</v>
      </c>
      <c r="R825" t="s">
        <v>2802</v>
      </c>
      <c r="S825" t="s">
        <v>47</v>
      </c>
      <c r="T825" t="str">
        <f>IF(TRIM(S825)="","Unknown",PROPER(TRIM(S825)))</f>
        <v>Same Day</v>
      </c>
      <c r="U825">
        <v>4</v>
      </c>
      <c r="V825">
        <v>1410.57</v>
      </c>
      <c r="W825" t="s">
        <v>607</v>
      </c>
      <c r="Y825">
        <v>0.05</v>
      </c>
      <c r="Z825">
        <v>5360.17</v>
      </c>
      <c r="AA825">
        <v>3881.51</v>
      </c>
      <c r="AB825">
        <v>1478.66</v>
      </c>
      <c r="AC825" t="s">
        <v>119</v>
      </c>
      <c r="AD825" t="s">
        <v>76</v>
      </c>
      <c r="AE825">
        <f>ROUND((U825*V825)-(U825*V825*Y825),2)</f>
        <v>5360.17</v>
      </c>
      <c r="AF825">
        <f>AE825-AA825</f>
        <v>1478.6599999999999</v>
      </c>
      <c r="AG825" s="7">
        <f>ROUND((AF825/AE825),4)</f>
        <v>0.27589999999999998</v>
      </c>
      <c r="AH825" t="str">
        <f>IF(AND(C825&lt;&gt;"",E825&lt;&gt;""),E825 - C825,"")</f>
        <v/>
      </c>
      <c r="AI825" t="str">
        <f>IF(C825="","",TEXT(C825, "mmmm"))</f>
        <v>August</v>
      </c>
      <c r="AJ825">
        <f>IF(C825="","",YEAR(C825))</f>
        <v>2025</v>
      </c>
      <c r="AM825" t="s">
        <v>4144</v>
      </c>
      <c r="AN825" t="s">
        <v>4138</v>
      </c>
    </row>
    <row r="826" spans="1:40">
      <c r="A826" t="s">
        <v>2810</v>
      </c>
      <c r="B826" t="s">
        <v>314</v>
      </c>
      <c r="C826" s="6">
        <v>45693</v>
      </c>
      <c r="D826" t="s">
        <v>2530</v>
      </c>
      <c r="E826" s="6">
        <v>45693</v>
      </c>
      <c r="F826" t="s">
        <v>2811</v>
      </c>
      <c r="G826" t="s">
        <v>2812</v>
      </c>
      <c r="H826" t="s">
        <v>2812</v>
      </c>
      <c r="I826" t="s">
        <v>104</v>
      </c>
      <c r="J826" t="s">
        <v>104</v>
      </c>
      <c r="K826" t="s">
        <v>26</v>
      </c>
      <c r="L826" t="str">
        <f>IF(TRIM(K826)="","Unknown",PROPER(TRIM(K826)))</f>
        <v>North</v>
      </c>
      <c r="M826" t="s">
        <v>294</v>
      </c>
      <c r="N826" t="s">
        <v>295</v>
      </c>
      <c r="O826" t="s">
        <v>29</v>
      </c>
      <c r="P826" t="str">
        <f>IF(TRIM(O826)="","Unknown",PROPER(TRIM(O826)))</f>
        <v>Office Supplies</v>
      </c>
      <c r="Q826" t="s">
        <v>148</v>
      </c>
      <c r="R826" t="s">
        <v>2813</v>
      </c>
      <c r="S826" t="s">
        <v>47</v>
      </c>
      <c r="T826" t="str">
        <f>IF(TRIM(S826)="","Unknown",PROPER(TRIM(S826)))</f>
        <v>Same Day</v>
      </c>
      <c r="U826">
        <v>3</v>
      </c>
      <c r="V826">
        <v>2590.7800000000002</v>
      </c>
      <c r="Y826">
        <v>0.05</v>
      </c>
      <c r="Z826">
        <v>7383.72</v>
      </c>
      <c r="AA826">
        <v>4113.66</v>
      </c>
      <c r="AB826">
        <v>3270.06</v>
      </c>
      <c r="AC826" t="s">
        <v>33</v>
      </c>
      <c r="AD826" t="s">
        <v>34</v>
      </c>
      <c r="AE826">
        <f>ROUND((U826*V826)-(U826*V826*Y826),2)</f>
        <v>7383.72</v>
      </c>
      <c r="AF826">
        <f>AE826-AA826</f>
        <v>3270.0600000000004</v>
      </c>
      <c r="AG826" s="7">
        <f>ROUND((AF826/AE826),4)</f>
        <v>0.44290000000000002</v>
      </c>
      <c r="AH826">
        <f>IF(AND(C826&lt;&gt;"",E826&lt;&gt;""),E826 - C826,"")</f>
        <v>0</v>
      </c>
      <c r="AI826" t="str">
        <f>IF(C826="","",TEXT(C826, "mmmm"))</f>
        <v>February</v>
      </c>
      <c r="AJ826">
        <f>IF(C826="","",YEAR(C826))</f>
        <v>2025</v>
      </c>
      <c r="AM826" t="s">
        <v>4145</v>
      </c>
      <c r="AN826" t="s">
        <v>3596</v>
      </c>
    </row>
    <row r="827" spans="1:40">
      <c r="A827" t="s">
        <v>2814</v>
      </c>
      <c r="B827" t="s">
        <v>4003</v>
      </c>
      <c r="C827" s="6">
        <v>45858</v>
      </c>
      <c r="D827" t="s">
        <v>1519</v>
      </c>
      <c r="F827" t="s">
        <v>2815</v>
      </c>
      <c r="G827" t="s">
        <v>59</v>
      </c>
      <c r="H827" t="s">
        <v>59</v>
      </c>
      <c r="I827" t="s">
        <v>40</v>
      </c>
      <c r="J827" t="s">
        <v>40</v>
      </c>
      <c r="K827" t="s">
        <v>60</v>
      </c>
      <c r="L827" t="str">
        <f>IF(TRIM(K827)="","Unknown",PROPER(TRIM(K827)))</f>
        <v>South</v>
      </c>
      <c r="M827" t="s">
        <v>61</v>
      </c>
      <c r="N827" t="s">
        <v>62</v>
      </c>
      <c r="O827" t="s">
        <v>44</v>
      </c>
      <c r="P827" t="str">
        <f>IF(TRIM(O827)="","Unknown",PROPER(TRIM(O827)))</f>
        <v>Furniture</v>
      </c>
      <c r="Q827" t="s">
        <v>63</v>
      </c>
      <c r="R827" t="s">
        <v>2816</v>
      </c>
      <c r="S827" t="s">
        <v>32</v>
      </c>
      <c r="T827" t="str">
        <f>IF(TRIM(S827)="","Unknown",PROPER(TRIM(S827)))</f>
        <v>Second Class</v>
      </c>
      <c r="U827">
        <v>6</v>
      </c>
      <c r="V827">
        <v>1646.45</v>
      </c>
      <c r="W827">
        <v>0.2</v>
      </c>
      <c r="Y827">
        <v>0.2</v>
      </c>
      <c r="Z827">
        <v>7902.96</v>
      </c>
      <c r="AA827">
        <v>5512.03</v>
      </c>
      <c r="AB827">
        <v>2390.9299999999998</v>
      </c>
      <c r="AC827" t="s">
        <v>119</v>
      </c>
      <c r="AD827" t="s">
        <v>76</v>
      </c>
      <c r="AE827">
        <f>ROUND((U827*V827)-(U827*V827*Y827),2)</f>
        <v>7902.96</v>
      </c>
      <c r="AF827">
        <f>AE827-AA827</f>
        <v>2390.9300000000003</v>
      </c>
      <c r="AG827" s="7">
        <f>ROUND((AF827/AE827),4)</f>
        <v>0.30249999999999999</v>
      </c>
      <c r="AH827" t="str">
        <f>IF(AND(C827&lt;&gt;"",E827&lt;&gt;""),E827 - C827,"")</f>
        <v/>
      </c>
      <c r="AI827" t="str">
        <f>IF(C827="","",TEXT(C827, "mmmm"))</f>
        <v>July</v>
      </c>
      <c r="AJ827">
        <f>IF(C827="","",YEAR(C827))</f>
        <v>2025</v>
      </c>
      <c r="AM827" t="s">
        <v>4144</v>
      </c>
      <c r="AN827" t="s">
        <v>4136</v>
      </c>
    </row>
    <row r="828" spans="1:40">
      <c r="A828" t="s">
        <v>2817</v>
      </c>
      <c r="B828" t="s">
        <v>4004</v>
      </c>
      <c r="C828" s="6">
        <v>45859</v>
      </c>
      <c r="D828" t="s">
        <v>444</v>
      </c>
      <c r="F828" t="s">
        <v>2818</v>
      </c>
      <c r="G828" t="s">
        <v>52</v>
      </c>
      <c r="H828" t="s">
        <v>52</v>
      </c>
      <c r="I828" t="s">
        <v>110</v>
      </c>
      <c r="J828" t="s">
        <v>110</v>
      </c>
      <c r="K828" t="s">
        <v>60</v>
      </c>
      <c r="L828" t="str">
        <f>IF(TRIM(K828)="","Unknown",PROPER(TRIM(K828)))</f>
        <v>South</v>
      </c>
      <c r="M828" t="s">
        <v>309</v>
      </c>
      <c r="N828" t="s">
        <v>310</v>
      </c>
      <c r="O828" t="s">
        <v>44</v>
      </c>
      <c r="P828" t="str">
        <f>IF(TRIM(O828)="","Unknown",PROPER(TRIM(O828)))</f>
        <v>Furniture</v>
      </c>
      <c r="Q828" t="s">
        <v>190</v>
      </c>
      <c r="R828" t="s">
        <v>2819</v>
      </c>
      <c r="S828" t="s">
        <v>55</v>
      </c>
      <c r="T828" t="str">
        <f>IF(TRIM(S828)="","Unknown",PROPER(TRIM(S828)))</f>
        <v>First Class</v>
      </c>
      <c r="U828">
        <v>7</v>
      </c>
      <c r="V828">
        <v>4396.6499999999996</v>
      </c>
      <c r="W828">
        <v>0.2</v>
      </c>
      <c r="Y828">
        <v>0.2</v>
      </c>
      <c r="Z828">
        <v>24621.24</v>
      </c>
      <c r="AA828">
        <v>17155.48</v>
      </c>
      <c r="AB828">
        <v>7465.76</v>
      </c>
      <c r="AC828" t="s">
        <v>119</v>
      </c>
      <c r="AD828" t="s">
        <v>76</v>
      </c>
      <c r="AE828">
        <f>ROUND((U828*V828)-(U828*V828*Y828),2)</f>
        <v>24621.24</v>
      </c>
      <c r="AF828">
        <f>AE828-AA828</f>
        <v>7465.760000000002</v>
      </c>
      <c r="AG828" s="7">
        <f>ROUND((AF828/AE828),4)</f>
        <v>0.30320000000000003</v>
      </c>
      <c r="AH828" t="str">
        <f>IF(AND(C828&lt;&gt;"",E828&lt;&gt;""),E828 - C828,"")</f>
        <v/>
      </c>
      <c r="AI828" t="str">
        <f>IF(C828="","",TEXT(C828, "mmmm"))</f>
        <v>July</v>
      </c>
      <c r="AJ828">
        <f>IF(C828="","",YEAR(C828))</f>
        <v>2025</v>
      </c>
      <c r="AM828" t="s">
        <v>4144</v>
      </c>
      <c r="AN828" t="s">
        <v>4136</v>
      </c>
    </row>
    <row r="829" spans="1:40">
      <c r="A829" t="s">
        <v>2820</v>
      </c>
      <c r="B829" t="s">
        <v>4005</v>
      </c>
      <c r="C829" s="6">
        <v>45931</v>
      </c>
      <c r="D829" t="s">
        <v>448</v>
      </c>
      <c r="E829" s="6">
        <v>45933</v>
      </c>
      <c r="F829" t="s">
        <v>2399</v>
      </c>
      <c r="G829" t="s">
        <v>90</v>
      </c>
      <c r="H829" t="s">
        <v>90</v>
      </c>
      <c r="I829" t="s">
        <v>104</v>
      </c>
      <c r="J829" t="s">
        <v>104</v>
      </c>
      <c r="K829" t="s">
        <v>71</v>
      </c>
      <c r="L829" t="str">
        <f>IF(TRIM(K829)="","Unknown",PROPER(TRIM(K829)))</f>
        <v>West</v>
      </c>
      <c r="M829" t="s">
        <v>230</v>
      </c>
      <c r="N829" t="s">
        <v>231</v>
      </c>
      <c r="O829" t="s">
        <v>29</v>
      </c>
      <c r="P829" t="str">
        <f>IF(TRIM(O829)="","Unknown",PROPER(TRIM(O829)))</f>
        <v>Office Supplies</v>
      </c>
      <c r="Q829" t="s">
        <v>53</v>
      </c>
      <c r="R829" t="s">
        <v>2821</v>
      </c>
      <c r="S829" t="s">
        <v>65</v>
      </c>
      <c r="T829" t="str">
        <f>IF(TRIM(S829)="","Unknown",PROPER(TRIM(S829)))</f>
        <v>Standard Class</v>
      </c>
      <c r="U829">
        <v>9</v>
      </c>
      <c r="V829">
        <v>818.15</v>
      </c>
      <c r="W829">
        <v>0.55000000000000004</v>
      </c>
      <c r="Y829">
        <v>0.1</v>
      </c>
      <c r="Z829">
        <v>6627.01</v>
      </c>
      <c r="AA829">
        <v>5606.79</v>
      </c>
      <c r="AB829">
        <v>1020.22</v>
      </c>
      <c r="AC829" t="s">
        <v>186</v>
      </c>
      <c r="AD829" t="s">
        <v>76</v>
      </c>
      <c r="AE829">
        <f>ROUND((U829*V829)-(U829*V829*Y829),2)</f>
        <v>6627.02</v>
      </c>
      <c r="AF829">
        <f>AE829-AA829</f>
        <v>1020.2300000000005</v>
      </c>
      <c r="AG829" s="7">
        <f>ROUND((AF829/AE829),4)</f>
        <v>0.154</v>
      </c>
      <c r="AH829">
        <f>IF(AND(C829&lt;&gt;"",E829&lt;&gt;""),E829 - C829,"")</f>
        <v>2</v>
      </c>
      <c r="AI829" t="str">
        <f>IF(C829="","",TEXT(C829, "mmmm"))</f>
        <v>October</v>
      </c>
      <c r="AJ829">
        <f>IF(C829="","",YEAR(C829))</f>
        <v>2025</v>
      </c>
      <c r="AM829" t="s">
        <v>4145</v>
      </c>
      <c r="AN829" t="s">
        <v>3596</v>
      </c>
    </row>
    <row r="830" spans="1:40">
      <c r="A830" t="s">
        <v>2825</v>
      </c>
      <c r="B830" t="s">
        <v>1050</v>
      </c>
      <c r="C830" s="6">
        <v>45938</v>
      </c>
      <c r="D830" t="s">
        <v>2826</v>
      </c>
      <c r="E830" s="6">
        <v>45943</v>
      </c>
      <c r="F830" t="s">
        <v>2827</v>
      </c>
      <c r="G830" t="s">
        <v>39</v>
      </c>
      <c r="H830" t="s">
        <v>39</v>
      </c>
      <c r="I830" t="s">
        <v>110</v>
      </c>
      <c r="J830" t="s">
        <v>110</v>
      </c>
      <c r="K830" t="s">
        <v>26</v>
      </c>
      <c r="L830" t="str">
        <f>IF(TRIM(K830)="","Unknown",PROPER(TRIM(K830)))</f>
        <v>North</v>
      </c>
      <c r="M830" t="s">
        <v>146</v>
      </c>
      <c r="N830" t="s">
        <v>147</v>
      </c>
      <c r="O830" t="s">
        <v>44</v>
      </c>
      <c r="P830" t="str">
        <f>IF(TRIM(O830)="","Unknown",PROPER(TRIM(O830)))</f>
        <v>Furniture</v>
      </c>
      <c r="Q830" t="s">
        <v>45</v>
      </c>
      <c r="R830" t="s">
        <v>2828</v>
      </c>
      <c r="S830" t="s">
        <v>55</v>
      </c>
      <c r="T830" t="str">
        <f>IF(TRIM(S830)="","Unknown",PROPER(TRIM(S830)))</f>
        <v>First Class</v>
      </c>
      <c r="U830">
        <v>4</v>
      </c>
      <c r="V830">
        <v>172.05</v>
      </c>
      <c r="W830">
        <v>0</v>
      </c>
      <c r="Y830">
        <v>0</v>
      </c>
      <c r="Z830">
        <v>688.2</v>
      </c>
      <c r="AA830">
        <v>497.68</v>
      </c>
      <c r="AB830">
        <v>190.52</v>
      </c>
      <c r="AC830" t="s">
        <v>186</v>
      </c>
      <c r="AD830" t="s">
        <v>76</v>
      </c>
      <c r="AE830">
        <f>ROUND((U830*V830)-(U830*V830*Y830),2)</f>
        <v>688.2</v>
      </c>
      <c r="AF830">
        <f>AE830-AA830</f>
        <v>190.52000000000004</v>
      </c>
      <c r="AG830" s="7">
        <f>ROUND((AF830/AE830),4)</f>
        <v>0.27679999999999999</v>
      </c>
      <c r="AH830">
        <f>IF(AND(C830&lt;&gt;"",E830&lt;&gt;""),E830 - C830,"")</f>
        <v>5</v>
      </c>
      <c r="AI830" t="str">
        <f>IF(C830="","",TEXT(C830, "mmmm"))</f>
        <v>October</v>
      </c>
      <c r="AJ830">
        <f>IF(C830="","",YEAR(C830))</f>
        <v>2025</v>
      </c>
      <c r="AM830" t="str">
        <f>IF(AN830="","clean","")</f>
        <v>clean</v>
      </c>
      <c r="AN830" t="s">
        <v>3595</v>
      </c>
    </row>
    <row r="831" spans="1:40">
      <c r="A831" t="s">
        <v>2829</v>
      </c>
      <c r="B831" t="s">
        <v>3740</v>
      </c>
      <c r="C831" s="6">
        <v>45714</v>
      </c>
      <c r="D831" t="s">
        <v>2830</v>
      </c>
      <c r="E831" s="6">
        <v>45715</v>
      </c>
      <c r="F831" t="s">
        <v>2831</v>
      </c>
      <c r="G831" t="s">
        <v>90</v>
      </c>
      <c r="H831" t="s">
        <v>90</v>
      </c>
      <c r="I831" t="s">
        <v>110</v>
      </c>
      <c r="J831" t="s">
        <v>110</v>
      </c>
      <c r="K831" t="s">
        <v>26</v>
      </c>
      <c r="L831" t="str">
        <f>IF(TRIM(K831)="","Unknown",PROPER(TRIM(K831)))</f>
        <v>North</v>
      </c>
      <c r="M831" t="s">
        <v>294</v>
      </c>
      <c r="N831" t="s">
        <v>295</v>
      </c>
      <c r="O831" t="s">
        <v>29</v>
      </c>
      <c r="P831" t="str">
        <f>IF(TRIM(O831)="","Unknown",PROPER(TRIM(O831)))</f>
        <v>Office Supplies</v>
      </c>
      <c r="Q831" t="s">
        <v>53</v>
      </c>
      <c r="R831" t="s">
        <v>2832</v>
      </c>
      <c r="S831" t="s">
        <v>32</v>
      </c>
      <c r="T831" t="str">
        <f>IF(TRIM(S831)="","Unknown",PROPER(TRIM(S831)))</f>
        <v>Second Class</v>
      </c>
      <c r="U831">
        <v>6</v>
      </c>
      <c r="V831">
        <v>3037.66</v>
      </c>
      <c r="W831">
        <v>0.15</v>
      </c>
      <c r="Y831">
        <v>0.15</v>
      </c>
      <c r="Z831">
        <v>15492.07</v>
      </c>
      <c r="AA831">
        <v>12581.23</v>
      </c>
      <c r="AB831">
        <v>2910.84</v>
      </c>
      <c r="AC831" t="s">
        <v>33</v>
      </c>
      <c r="AD831" t="s">
        <v>34</v>
      </c>
      <c r="AE831">
        <f>ROUND((U831*V831)-(U831*V831*Y831),2)</f>
        <v>15492.07</v>
      </c>
      <c r="AF831">
        <f>AE831-AA831</f>
        <v>2910.84</v>
      </c>
      <c r="AG831" s="7">
        <f>ROUND((AF831/AE831),4)</f>
        <v>0.18790000000000001</v>
      </c>
      <c r="AH831">
        <f>IF(AND(C831&lt;&gt;"",E831&lt;&gt;""),E831 - C831,"")</f>
        <v>1</v>
      </c>
      <c r="AI831" t="str">
        <f>IF(C831="","",TEXT(C831, "mmmm"))</f>
        <v>February</v>
      </c>
      <c r="AJ831">
        <f>IF(C831="","",YEAR(C831))</f>
        <v>2025</v>
      </c>
      <c r="AM831" t="str">
        <f>IF(AN831="","clean","")</f>
        <v>clean</v>
      </c>
      <c r="AN831" t="s">
        <v>3595</v>
      </c>
    </row>
    <row r="832" spans="1:40">
      <c r="A832" t="s">
        <v>2846</v>
      </c>
      <c r="B832" t="s">
        <v>210</v>
      </c>
      <c r="C832" s="6">
        <v>45935</v>
      </c>
      <c r="D832" t="s">
        <v>2847</v>
      </c>
      <c r="E832" s="6">
        <v>45940</v>
      </c>
      <c r="F832" t="s">
        <v>2848</v>
      </c>
      <c r="G832" t="s">
        <v>52</v>
      </c>
      <c r="H832" t="s">
        <v>52</v>
      </c>
      <c r="I832" t="s">
        <v>1567</v>
      </c>
      <c r="J832" t="s">
        <v>1567</v>
      </c>
      <c r="K832" t="s">
        <v>60</v>
      </c>
      <c r="L832" t="str">
        <f>IF(TRIM(K832)="","Unknown",PROPER(TRIM(K832)))</f>
        <v>South</v>
      </c>
      <c r="M832" t="s">
        <v>212</v>
      </c>
      <c r="N832" t="s">
        <v>213</v>
      </c>
      <c r="O832" t="s">
        <v>44</v>
      </c>
      <c r="P832" t="str">
        <f>IF(TRIM(O832)="","Unknown",PROPER(TRIM(O832)))</f>
        <v>Furniture</v>
      </c>
      <c r="Q832" t="s">
        <v>63</v>
      </c>
      <c r="R832" t="s">
        <v>2849</v>
      </c>
      <c r="S832" t="s">
        <v>32</v>
      </c>
      <c r="T832" t="str">
        <f>IF(TRIM(S832)="","Unknown",PROPER(TRIM(S832)))</f>
        <v>Second Class</v>
      </c>
      <c r="U832">
        <v>4</v>
      </c>
      <c r="V832">
        <v>2365.6799999999998</v>
      </c>
      <c r="W832">
        <v>0.1</v>
      </c>
      <c r="Y832">
        <v>0.1</v>
      </c>
      <c r="Z832">
        <v>8516.4500000000007</v>
      </c>
      <c r="AA832">
        <v>5903.81</v>
      </c>
      <c r="AB832">
        <v>2612.64</v>
      </c>
      <c r="AC832" t="s">
        <v>33</v>
      </c>
      <c r="AD832" t="s">
        <v>34</v>
      </c>
      <c r="AE832">
        <f>ROUND((U832*V832)-(U832*V832*Y832),2)</f>
        <v>8516.4500000000007</v>
      </c>
      <c r="AF832">
        <f>AE832-AA832</f>
        <v>2612.6400000000003</v>
      </c>
      <c r="AG832" s="7">
        <f>ROUND((AF832/AE832),4)</f>
        <v>0.30680000000000002</v>
      </c>
      <c r="AH832">
        <f>IF(AND(C832&lt;&gt;"",E832&lt;&gt;""),E832 - C832,"")</f>
        <v>5</v>
      </c>
      <c r="AI832" t="str">
        <f>IF(C832="","",TEXT(C832, "mmmm"))</f>
        <v>October</v>
      </c>
      <c r="AJ832">
        <f>IF(C832="","",YEAR(C832))</f>
        <v>2025</v>
      </c>
      <c r="AM832" t="str">
        <f>IF(AN832="","clean","")</f>
        <v>clean</v>
      </c>
      <c r="AN832" t="s">
        <v>3595</v>
      </c>
    </row>
    <row r="833" spans="1:40">
      <c r="A833" t="s">
        <v>2850</v>
      </c>
      <c r="B833" t="s">
        <v>2851</v>
      </c>
      <c r="C833" s="6">
        <v>45750</v>
      </c>
      <c r="D833" t="s">
        <v>2190</v>
      </c>
      <c r="E833" s="6">
        <v>45758</v>
      </c>
      <c r="F833" t="s">
        <v>2852</v>
      </c>
      <c r="G833" t="s">
        <v>59</v>
      </c>
      <c r="H833" t="s">
        <v>59</v>
      </c>
      <c r="I833" t="s">
        <v>25</v>
      </c>
      <c r="J833" t="s">
        <v>25</v>
      </c>
      <c r="K833" t="s">
        <v>60</v>
      </c>
      <c r="L833" t="str">
        <f>IF(TRIM(K833)="","Unknown",PROPER(TRIM(K833)))</f>
        <v>South</v>
      </c>
      <c r="M833" t="s">
        <v>309</v>
      </c>
      <c r="N833" t="s">
        <v>310</v>
      </c>
      <c r="O833" t="s">
        <v>44</v>
      </c>
      <c r="P833" t="str">
        <f>IF(TRIM(O833)="","Unknown",PROPER(TRIM(O833)))</f>
        <v>Furniture</v>
      </c>
      <c r="Q833" t="s">
        <v>190</v>
      </c>
      <c r="R833" t="s">
        <v>2853</v>
      </c>
      <c r="S833" t="s">
        <v>32</v>
      </c>
      <c r="T833" t="str">
        <f>IF(TRIM(S833)="","Unknown",PROPER(TRIM(S833)))</f>
        <v>Second Class</v>
      </c>
      <c r="U833">
        <v>3</v>
      </c>
      <c r="V833">
        <v>4149.7700000000004</v>
      </c>
      <c r="W833">
        <v>0.05</v>
      </c>
      <c r="Y833">
        <v>0.05</v>
      </c>
      <c r="Z833">
        <v>11826.84</v>
      </c>
      <c r="AA833">
        <v>8035.96</v>
      </c>
      <c r="AB833">
        <v>3790.88</v>
      </c>
      <c r="AC833" t="s">
        <v>33</v>
      </c>
      <c r="AD833" t="s">
        <v>34</v>
      </c>
      <c r="AE833">
        <f>ROUND((U833*V833)-(U833*V833*Y833),2)</f>
        <v>11826.84</v>
      </c>
      <c r="AF833">
        <f>AE833-AA833</f>
        <v>3790.88</v>
      </c>
      <c r="AG833" s="7">
        <f>ROUND((AF833/AE833),4)</f>
        <v>0.32050000000000001</v>
      </c>
      <c r="AH833">
        <f>IF(AND(C833&lt;&gt;"",E833&lt;&gt;""),E833 - C833,"")</f>
        <v>8</v>
      </c>
      <c r="AI833" t="str">
        <f>IF(C833="","",TEXT(C833, "mmmm"))</f>
        <v>April</v>
      </c>
      <c r="AJ833">
        <f>IF(C833="","",YEAR(C833))</f>
        <v>2025</v>
      </c>
      <c r="AM833" t="str">
        <f>IF(AN833="","clean","")</f>
        <v>clean</v>
      </c>
      <c r="AN833" t="s">
        <v>3595</v>
      </c>
    </row>
    <row r="834" spans="1:40">
      <c r="A834" t="s">
        <v>2854</v>
      </c>
      <c r="B834" t="s">
        <v>1520</v>
      </c>
      <c r="C834" s="6">
        <v>45870</v>
      </c>
      <c r="D834" t="s">
        <v>2702</v>
      </c>
      <c r="E834" s="6">
        <v>45878</v>
      </c>
      <c r="F834" t="s">
        <v>1527</v>
      </c>
      <c r="G834" t="s">
        <v>52</v>
      </c>
      <c r="H834" t="s">
        <v>52</v>
      </c>
      <c r="I834" t="s">
        <v>25</v>
      </c>
      <c r="J834" t="s">
        <v>25</v>
      </c>
      <c r="K834" t="s">
        <v>60</v>
      </c>
      <c r="L834" t="str">
        <f>IF(TRIM(K834)="","Unknown",PROPER(TRIM(K834)))</f>
        <v>South</v>
      </c>
      <c r="M834" t="s">
        <v>97</v>
      </c>
      <c r="N834" t="s">
        <v>98</v>
      </c>
      <c r="O834" t="s">
        <v>29</v>
      </c>
      <c r="P834" t="str">
        <f>IF(TRIM(O834)="","Unknown",PROPER(TRIM(O834)))</f>
        <v>Office Supplies</v>
      </c>
      <c r="Q834" t="s">
        <v>148</v>
      </c>
      <c r="R834" t="s">
        <v>2855</v>
      </c>
      <c r="S834" t="s">
        <v>55</v>
      </c>
      <c r="T834" t="str">
        <f>IF(TRIM(S834)="","Unknown",PROPER(TRIM(S834)))</f>
        <v>First Class</v>
      </c>
      <c r="U834">
        <v>5</v>
      </c>
      <c r="V834">
        <v>2736.24</v>
      </c>
      <c r="W834">
        <v>0.15</v>
      </c>
      <c r="Y834">
        <v>0.15</v>
      </c>
      <c r="Z834">
        <v>11629.02</v>
      </c>
      <c r="AA834">
        <v>9627.2099999999991</v>
      </c>
      <c r="AB834">
        <v>2001.81</v>
      </c>
      <c r="AC834" t="s">
        <v>33</v>
      </c>
      <c r="AD834" t="s">
        <v>34</v>
      </c>
      <c r="AE834">
        <f>ROUND((U834*V834)-(U834*V834*Y834),2)</f>
        <v>11629.02</v>
      </c>
      <c r="AF834">
        <f>AE834-AA834</f>
        <v>2001.8100000000013</v>
      </c>
      <c r="AG834" s="7">
        <f>ROUND((AF834/AE834),4)</f>
        <v>0.1721</v>
      </c>
      <c r="AH834">
        <f>IF(AND(C834&lt;&gt;"",E834&lt;&gt;""),E834 - C834,"")</f>
        <v>8</v>
      </c>
      <c r="AI834" t="str">
        <f>IF(C834="","",TEXT(C834, "mmmm"))</f>
        <v>August</v>
      </c>
      <c r="AJ834">
        <f>IF(C834="","",YEAR(C834))</f>
        <v>2025</v>
      </c>
      <c r="AM834" t="str">
        <f>IF(AN834="","clean","")</f>
        <v>clean</v>
      </c>
      <c r="AN834" t="s">
        <v>3595</v>
      </c>
    </row>
    <row r="835" spans="1:40">
      <c r="A835" t="s">
        <v>2854</v>
      </c>
      <c r="B835" t="s">
        <v>1520</v>
      </c>
      <c r="C835" s="6">
        <v>45870</v>
      </c>
      <c r="D835" t="s">
        <v>2702</v>
      </c>
      <c r="E835" s="6">
        <v>45878</v>
      </c>
      <c r="F835" t="s">
        <v>1527</v>
      </c>
      <c r="G835" t="s">
        <v>52</v>
      </c>
      <c r="H835" t="s">
        <v>52</v>
      </c>
      <c r="I835" t="s">
        <v>25</v>
      </c>
      <c r="J835" t="s">
        <v>25</v>
      </c>
      <c r="K835" t="s">
        <v>60</v>
      </c>
      <c r="L835" t="str">
        <f>IF(TRIM(K835)="","Unknown",PROPER(TRIM(K835)))</f>
        <v>South</v>
      </c>
      <c r="M835" t="s">
        <v>97</v>
      </c>
      <c r="N835" t="s">
        <v>98</v>
      </c>
      <c r="O835" t="s">
        <v>29</v>
      </c>
      <c r="P835" t="str">
        <f>IF(TRIM(O835)="","Unknown",PROPER(TRIM(O835)))</f>
        <v>Office Supplies</v>
      </c>
      <c r="Q835" t="s">
        <v>148</v>
      </c>
      <c r="R835" t="s">
        <v>2855</v>
      </c>
      <c r="S835" t="s">
        <v>55</v>
      </c>
      <c r="T835" t="str">
        <f>IF(TRIM(S835)="","Unknown",PROPER(TRIM(S835)))</f>
        <v>First Class</v>
      </c>
      <c r="U835">
        <v>5</v>
      </c>
      <c r="V835">
        <v>2736.24</v>
      </c>
      <c r="W835">
        <v>0.15</v>
      </c>
      <c r="Y835">
        <v>0.15</v>
      </c>
      <c r="Z835">
        <v>11629.02</v>
      </c>
      <c r="AA835">
        <v>9627.2099999999991</v>
      </c>
      <c r="AB835">
        <v>2001.81</v>
      </c>
      <c r="AC835" t="s">
        <v>33</v>
      </c>
      <c r="AD835" t="s">
        <v>34</v>
      </c>
      <c r="AE835">
        <f>ROUND((U835*V835)-(U835*V835*Y835),2)</f>
        <v>11629.02</v>
      </c>
      <c r="AF835">
        <f>AE835-AA835</f>
        <v>2001.8100000000013</v>
      </c>
      <c r="AG835" s="7">
        <f>ROUND((AF835/AE835),4)</f>
        <v>0.1721</v>
      </c>
      <c r="AH835">
        <f>IF(AND(C835&lt;&gt;"",E835&lt;&gt;""),E835 - C835,"")</f>
        <v>8</v>
      </c>
      <c r="AI835" t="str">
        <f>IF(C835="","",TEXT(C835, "mmmm"))</f>
        <v>August</v>
      </c>
      <c r="AJ835">
        <f>IF(C835="","",YEAR(C835))</f>
        <v>2025</v>
      </c>
      <c r="AL835" t="s">
        <v>4152</v>
      </c>
      <c r="AM835" t="s">
        <v>4144</v>
      </c>
      <c r="AN835" t="s">
        <v>4149</v>
      </c>
    </row>
    <row r="836" spans="1:40">
      <c r="A836" t="s">
        <v>2859</v>
      </c>
      <c r="B836" t="s">
        <v>4008</v>
      </c>
      <c r="C836" s="6">
        <v>45922</v>
      </c>
      <c r="D836" t="s">
        <v>2860</v>
      </c>
      <c r="E836" s="6">
        <v>45925</v>
      </c>
      <c r="F836" t="s">
        <v>2861</v>
      </c>
      <c r="G836" t="s">
        <v>52</v>
      </c>
      <c r="H836" t="s">
        <v>52</v>
      </c>
      <c r="I836" t="s">
        <v>40</v>
      </c>
      <c r="J836" t="s">
        <v>40</v>
      </c>
      <c r="K836" t="s">
        <v>60</v>
      </c>
      <c r="L836" t="str">
        <f>IF(TRIM(K836)="","Unknown",PROPER(TRIM(K836)))</f>
        <v>South</v>
      </c>
      <c r="M836" t="s">
        <v>224</v>
      </c>
      <c r="N836" t="s">
        <v>225</v>
      </c>
      <c r="O836" t="s">
        <v>83</v>
      </c>
      <c r="P836" t="str">
        <f>IF(TRIM(O836)="","Unknown",PROPER(TRIM(O836)))</f>
        <v>Technology</v>
      </c>
      <c r="Q836" t="s">
        <v>207</v>
      </c>
      <c r="R836" t="s">
        <v>2862</v>
      </c>
      <c r="T836" t="str">
        <f>IF(TRIM(S836)="","Unknown",PROPER(TRIM(S836)))</f>
        <v>Unknown</v>
      </c>
      <c r="U836">
        <v>4</v>
      </c>
      <c r="V836">
        <v>1178.8399999999999</v>
      </c>
      <c r="W836">
        <v>0.25</v>
      </c>
      <c r="Y836">
        <v>0.25</v>
      </c>
      <c r="Z836">
        <v>3536.52</v>
      </c>
      <c r="AA836">
        <v>2102.41</v>
      </c>
      <c r="AB836">
        <v>1363.28</v>
      </c>
      <c r="AC836" t="s">
        <v>33</v>
      </c>
      <c r="AD836" t="s">
        <v>34</v>
      </c>
      <c r="AE836">
        <f>ROUND((U836*V836)-(U836*V836*Y836),2)</f>
        <v>3536.52</v>
      </c>
      <c r="AF836">
        <f>AE836-AA836</f>
        <v>1434.1100000000001</v>
      </c>
      <c r="AG836" s="7">
        <f>ROUND((AF836/AE836),4)</f>
        <v>0.40550000000000003</v>
      </c>
      <c r="AH836">
        <f>IF(AND(C836&lt;&gt;"",E836&lt;&gt;""),E836 - C836,"")</f>
        <v>3</v>
      </c>
      <c r="AI836" t="str">
        <f>IF(C836="","",TEXT(C836, "mmmm"))</f>
        <v>September</v>
      </c>
      <c r="AJ836">
        <f>IF(C836="","",YEAR(C836))</f>
        <v>2025</v>
      </c>
      <c r="AM836" t="s">
        <v>4145</v>
      </c>
      <c r="AN836" t="s">
        <v>3600</v>
      </c>
    </row>
    <row r="837" spans="1:40">
      <c r="A837" t="s">
        <v>2863</v>
      </c>
      <c r="B837" t="s">
        <v>3888</v>
      </c>
      <c r="C837" s="6">
        <v>45717</v>
      </c>
      <c r="D837" t="s">
        <v>701</v>
      </c>
      <c r="E837" s="6">
        <v>45723</v>
      </c>
      <c r="F837" t="s">
        <v>2864</v>
      </c>
      <c r="G837" t="s">
        <v>59</v>
      </c>
      <c r="H837" t="s">
        <v>59</v>
      </c>
      <c r="I837" t="s">
        <v>104</v>
      </c>
      <c r="J837" t="s">
        <v>104</v>
      </c>
      <c r="K837" t="s">
        <v>60</v>
      </c>
      <c r="L837" t="str">
        <f>IF(TRIM(K837)="","Unknown",PROPER(TRIM(K837)))</f>
        <v>South</v>
      </c>
      <c r="M837" t="s">
        <v>97</v>
      </c>
      <c r="N837" t="s">
        <v>98</v>
      </c>
      <c r="O837" t="s">
        <v>29</v>
      </c>
      <c r="P837" t="str">
        <f>IF(TRIM(O837)="","Unknown",PROPER(TRIM(O837)))</f>
        <v>Office Supplies</v>
      </c>
      <c r="Q837" t="s">
        <v>105</v>
      </c>
      <c r="R837" t="s">
        <v>2865</v>
      </c>
      <c r="S837" t="s">
        <v>55</v>
      </c>
      <c r="T837" t="str">
        <f>IF(TRIM(S837)="","Unknown",PROPER(TRIM(S837)))</f>
        <v>First Class</v>
      </c>
      <c r="U837">
        <v>7</v>
      </c>
      <c r="V837">
        <v>567.15</v>
      </c>
      <c r="Y837">
        <v>0.25</v>
      </c>
      <c r="Z837">
        <v>2977.54</v>
      </c>
      <c r="AA837">
        <v>1849.3</v>
      </c>
      <c r="AB837">
        <v>1128.24</v>
      </c>
      <c r="AC837" t="s">
        <v>119</v>
      </c>
      <c r="AD837" t="s">
        <v>120</v>
      </c>
      <c r="AE837">
        <f>ROUND((U837*V837)-(U837*V837*Y837),2)</f>
        <v>2977.54</v>
      </c>
      <c r="AF837">
        <f>AE837-AA837</f>
        <v>1128.24</v>
      </c>
      <c r="AG837" s="7">
        <f>ROUND((AF837/AE837),4)</f>
        <v>0.37890000000000001</v>
      </c>
      <c r="AH837">
        <f>IF(AND(C837&lt;&gt;"",E837&lt;&gt;""),E837 - C837,"")</f>
        <v>6</v>
      </c>
      <c r="AI837" t="str">
        <f>IF(C837="","",TEXT(C837, "mmmm"))</f>
        <v>March</v>
      </c>
      <c r="AJ837">
        <f>IF(C837="","",YEAR(C837))</f>
        <v>2025</v>
      </c>
      <c r="AM837" t="s">
        <v>4145</v>
      </c>
      <c r="AN837" t="s">
        <v>3596</v>
      </c>
    </row>
    <row r="838" spans="1:40">
      <c r="A838" t="s">
        <v>2879</v>
      </c>
      <c r="B838" t="s">
        <v>2880</v>
      </c>
      <c r="C838" s="6">
        <v>45690</v>
      </c>
      <c r="D838" t="s">
        <v>2531</v>
      </c>
      <c r="E838" s="6">
        <v>45694</v>
      </c>
      <c r="F838" t="s">
        <v>2881</v>
      </c>
      <c r="G838" t="s">
        <v>24</v>
      </c>
      <c r="H838" t="s">
        <v>24</v>
      </c>
      <c r="I838" t="s">
        <v>40</v>
      </c>
      <c r="J838" t="s">
        <v>40</v>
      </c>
      <c r="K838" t="s">
        <v>71</v>
      </c>
      <c r="L838" t="str">
        <f>IF(TRIM(K838)="","Unknown",PROPER(TRIM(K838)))</f>
        <v>West</v>
      </c>
      <c r="M838" t="s">
        <v>27</v>
      </c>
      <c r="N838" t="s">
        <v>129</v>
      </c>
      <c r="O838" t="s">
        <v>44</v>
      </c>
      <c r="P838" t="str">
        <f>IF(TRIM(O838)="","Unknown",PROPER(TRIM(O838)))</f>
        <v>Furniture</v>
      </c>
      <c r="Q838" t="s">
        <v>45</v>
      </c>
      <c r="R838" t="s">
        <v>2882</v>
      </c>
      <c r="S838" t="s">
        <v>32</v>
      </c>
      <c r="T838" t="str">
        <f>IF(TRIM(S838)="","Unknown",PROPER(TRIM(S838)))</f>
        <v>Second Class</v>
      </c>
      <c r="U838">
        <v>3</v>
      </c>
      <c r="V838">
        <v>997.34</v>
      </c>
      <c r="W838">
        <v>0.1</v>
      </c>
      <c r="Y838">
        <v>0.1</v>
      </c>
      <c r="Z838">
        <v>2692.82</v>
      </c>
      <c r="AA838">
        <v>1820.08</v>
      </c>
      <c r="AB838">
        <v>872.74</v>
      </c>
      <c r="AC838" t="s">
        <v>33</v>
      </c>
      <c r="AD838" t="s">
        <v>34</v>
      </c>
      <c r="AE838">
        <f>ROUND((U838*V838)-(U838*V838*Y838),2)</f>
        <v>2692.82</v>
      </c>
      <c r="AF838">
        <f>AE838-AA838</f>
        <v>872.74000000000024</v>
      </c>
      <c r="AG838" s="7">
        <f>ROUND((AF838/AE838),4)</f>
        <v>0.3241</v>
      </c>
      <c r="AH838">
        <f>IF(AND(C838&lt;&gt;"",E838&lt;&gt;""),E838 - C838,"")</f>
        <v>4</v>
      </c>
      <c r="AI838" t="str">
        <f>IF(C838="","",TEXT(C838, "mmmm"))</f>
        <v>February</v>
      </c>
      <c r="AJ838">
        <f>IF(C838="","",YEAR(C838))</f>
        <v>2025</v>
      </c>
      <c r="AM838" t="str">
        <f>IF(AN838="","clean","")</f>
        <v>clean</v>
      </c>
      <c r="AN838" t="s">
        <v>3595</v>
      </c>
    </row>
    <row r="839" spans="1:40">
      <c r="A839" t="s">
        <v>2897</v>
      </c>
      <c r="B839" t="s">
        <v>2898</v>
      </c>
      <c r="D839" t="s">
        <v>2079</v>
      </c>
      <c r="E839" s="6">
        <v>45834</v>
      </c>
      <c r="F839" t="s">
        <v>2899</v>
      </c>
      <c r="G839" t="s">
        <v>80</v>
      </c>
      <c r="H839" t="s">
        <v>80</v>
      </c>
      <c r="I839" t="s">
        <v>25</v>
      </c>
      <c r="J839" t="s">
        <v>25</v>
      </c>
      <c r="K839" t="s">
        <v>26</v>
      </c>
      <c r="L839" t="str">
        <f>IF(TRIM(K839)="","Unknown",PROPER(TRIM(K839)))</f>
        <v>North</v>
      </c>
      <c r="M839" t="s">
        <v>27</v>
      </c>
      <c r="N839" t="s">
        <v>28</v>
      </c>
      <c r="O839" t="s">
        <v>83</v>
      </c>
      <c r="P839" t="str">
        <f>IF(TRIM(O839)="","Unknown",PROPER(TRIM(O839)))</f>
        <v>Technology</v>
      </c>
      <c r="Q839" t="s">
        <v>84</v>
      </c>
      <c r="R839" t="s">
        <v>2900</v>
      </c>
      <c r="S839" t="s">
        <v>47</v>
      </c>
      <c r="T839" t="str">
        <f>IF(TRIM(S839)="","Unknown",PROPER(TRIM(S839)))</f>
        <v>Same Day</v>
      </c>
      <c r="U839">
        <v>5</v>
      </c>
      <c r="V839">
        <v>3722.66</v>
      </c>
      <c r="W839">
        <v>0.55000000000000004</v>
      </c>
      <c r="Y839">
        <v>0.1</v>
      </c>
      <c r="Z839">
        <v>16751.97</v>
      </c>
      <c r="AA839">
        <v>11678.32</v>
      </c>
      <c r="AB839">
        <v>5073.6499999999996</v>
      </c>
      <c r="AC839" t="s">
        <v>33</v>
      </c>
      <c r="AD839" t="s">
        <v>34</v>
      </c>
      <c r="AE839">
        <f>ROUND((U839*V839)-(U839*V839*Y839),2)</f>
        <v>16751.97</v>
      </c>
      <c r="AF839">
        <f>AE839-AA839</f>
        <v>5073.6500000000015</v>
      </c>
      <c r="AG839" s="7">
        <f>ROUND((AF839/AE839),4)</f>
        <v>0.3029</v>
      </c>
      <c r="AH839" t="str">
        <f>IF(AND(C839&lt;&gt;"",E839&lt;&gt;""),E839 - C839,"")</f>
        <v/>
      </c>
      <c r="AI839" t="str">
        <f>IF(C839="","",TEXT(C839, "mmmm"))</f>
        <v/>
      </c>
      <c r="AJ839" t="str">
        <f>IF(C839="","",YEAR(C839))</f>
        <v/>
      </c>
      <c r="AM839" t="s">
        <v>4144</v>
      </c>
      <c r="AN839" t="s">
        <v>4126</v>
      </c>
    </row>
    <row r="840" spans="1:40">
      <c r="A840" t="s">
        <v>2901</v>
      </c>
      <c r="B840" t="s">
        <v>4015</v>
      </c>
      <c r="C840" s="6">
        <v>45736</v>
      </c>
      <c r="D840" t="s">
        <v>2902</v>
      </c>
      <c r="E840" s="6">
        <v>45742</v>
      </c>
      <c r="F840" t="s">
        <v>2903</v>
      </c>
      <c r="G840" t="s">
        <v>158</v>
      </c>
      <c r="H840" t="s">
        <v>158</v>
      </c>
      <c r="I840" t="s">
        <v>25</v>
      </c>
      <c r="J840" t="s">
        <v>25</v>
      </c>
      <c r="K840" t="s">
        <v>41</v>
      </c>
      <c r="L840" t="str">
        <f>IF(TRIM(K840)="","Unknown",PROPER(TRIM(K840)))</f>
        <v>East</v>
      </c>
      <c r="M840" t="s">
        <v>201</v>
      </c>
      <c r="N840" t="s">
        <v>202</v>
      </c>
      <c r="O840" t="s">
        <v>44</v>
      </c>
      <c r="P840" t="str">
        <f>IF(TRIM(O840)="","Unknown",PROPER(TRIM(O840)))</f>
        <v>Furniture</v>
      </c>
      <c r="Q840" t="s">
        <v>190</v>
      </c>
      <c r="R840" t="s">
        <v>2904</v>
      </c>
      <c r="S840" t="s">
        <v>55</v>
      </c>
      <c r="T840" t="str">
        <f>IF(TRIM(S840)="","Unknown",PROPER(TRIM(S840)))</f>
        <v>First Class</v>
      </c>
      <c r="U840">
        <v>4</v>
      </c>
      <c r="V840">
        <v>4357.66</v>
      </c>
      <c r="W840">
        <v>0.05</v>
      </c>
      <c r="Y840">
        <v>0.05</v>
      </c>
      <c r="Z840">
        <v>16559.11</v>
      </c>
      <c r="AA840">
        <v>13233.79</v>
      </c>
      <c r="AB840">
        <v>3325.32</v>
      </c>
      <c r="AC840" t="s">
        <v>33</v>
      </c>
      <c r="AD840" t="s">
        <v>34</v>
      </c>
      <c r="AE840">
        <f>ROUND((U840*V840)-(U840*V840*Y840),2)</f>
        <v>16559.11</v>
      </c>
      <c r="AF840">
        <f>AE840-AA840</f>
        <v>3325.3199999999997</v>
      </c>
      <c r="AG840" s="7">
        <f>ROUND((AF840/AE840),4)</f>
        <v>0.20080000000000001</v>
      </c>
      <c r="AH840">
        <f>IF(AND(C840&lt;&gt;"",E840&lt;&gt;""),E840 - C840,"")</f>
        <v>6</v>
      </c>
      <c r="AI840" t="str">
        <f>IF(C840="","",TEXT(C840, "mmmm"))</f>
        <v>March</v>
      </c>
      <c r="AJ840">
        <f>IF(C840="","",YEAR(C840))</f>
        <v>2025</v>
      </c>
      <c r="AM840" t="str">
        <f>IF(AN840="","clean","")</f>
        <v>clean</v>
      </c>
      <c r="AN840" t="s">
        <v>3595</v>
      </c>
    </row>
    <row r="841" spans="1:40">
      <c r="A841" t="s">
        <v>2905</v>
      </c>
      <c r="B841" t="s">
        <v>3616</v>
      </c>
      <c r="C841" s="6">
        <v>45676</v>
      </c>
      <c r="D841" t="s">
        <v>172</v>
      </c>
      <c r="E841" s="6">
        <v>45680</v>
      </c>
      <c r="F841" t="s">
        <v>2906</v>
      </c>
      <c r="G841" t="s">
        <v>334</v>
      </c>
      <c r="H841" t="s">
        <v>334</v>
      </c>
      <c r="I841" t="s">
        <v>110</v>
      </c>
      <c r="J841" t="s">
        <v>110</v>
      </c>
      <c r="K841" t="s">
        <v>26</v>
      </c>
      <c r="L841" t="str">
        <f>IF(TRIM(K841)="","Unknown",PROPER(TRIM(K841)))</f>
        <v>North</v>
      </c>
      <c r="M841" t="s">
        <v>146</v>
      </c>
      <c r="N841" t="s">
        <v>147</v>
      </c>
      <c r="O841" t="s">
        <v>83</v>
      </c>
      <c r="P841" t="str">
        <f>IF(TRIM(O841)="","Unknown",PROPER(TRIM(O841)))</f>
        <v>Technology</v>
      </c>
      <c r="Q841" t="s">
        <v>207</v>
      </c>
      <c r="R841" t="s">
        <v>2907</v>
      </c>
      <c r="S841" t="s">
        <v>47</v>
      </c>
      <c r="T841" t="str">
        <f>IF(TRIM(S841)="","Unknown",PROPER(TRIM(S841)))</f>
        <v>Same Day</v>
      </c>
      <c r="U841">
        <v>7</v>
      </c>
      <c r="V841">
        <v>1363.04</v>
      </c>
      <c r="W841">
        <v>0.15</v>
      </c>
      <c r="Y841">
        <v>0.15</v>
      </c>
      <c r="Z841">
        <v>8110.09</v>
      </c>
      <c r="AA841">
        <v>6417.32</v>
      </c>
      <c r="AB841">
        <v>1692.77</v>
      </c>
      <c r="AC841" t="s">
        <v>33</v>
      </c>
      <c r="AD841" t="s">
        <v>76</v>
      </c>
      <c r="AE841">
        <f>ROUND((U841*V841)-(U841*V841*Y841),2)</f>
        <v>8110.09</v>
      </c>
      <c r="AF841">
        <f>AE841-AA841</f>
        <v>1692.7700000000004</v>
      </c>
      <c r="AG841" s="7">
        <f>ROUND((AF841/AE841),4)</f>
        <v>0.2087</v>
      </c>
      <c r="AH841">
        <f>IF(AND(C841&lt;&gt;"",E841&lt;&gt;""),E841 - C841,"")</f>
        <v>4</v>
      </c>
      <c r="AI841" t="str">
        <f>IF(C841="","",TEXT(C841, "mmmm"))</f>
        <v>January</v>
      </c>
      <c r="AJ841">
        <f>IF(C841="","",YEAR(C841))</f>
        <v>2025</v>
      </c>
      <c r="AM841" t="str">
        <f>IF(AN841="","clean","")</f>
        <v>clean</v>
      </c>
      <c r="AN841" t="s">
        <v>3595</v>
      </c>
    </row>
    <row r="842" spans="1:40">
      <c r="A842" t="s">
        <v>2912</v>
      </c>
      <c r="B842" t="s">
        <v>4017</v>
      </c>
      <c r="C842" s="6">
        <v>45690</v>
      </c>
      <c r="D842" t="s">
        <v>2880</v>
      </c>
      <c r="E842" s="6">
        <v>45690</v>
      </c>
      <c r="F842" t="s">
        <v>2913</v>
      </c>
      <c r="G842" t="s">
        <v>334</v>
      </c>
      <c r="H842" t="s">
        <v>334</v>
      </c>
      <c r="I842" t="s">
        <v>104</v>
      </c>
      <c r="J842" t="s">
        <v>104</v>
      </c>
      <c r="K842" t="s">
        <v>41</v>
      </c>
      <c r="L842" t="str">
        <f>IF(TRIM(K842)="","Unknown",PROPER(TRIM(K842)))</f>
        <v>East</v>
      </c>
      <c r="M842" t="s">
        <v>116</v>
      </c>
      <c r="N842" t="s">
        <v>117</v>
      </c>
      <c r="O842" t="s">
        <v>83</v>
      </c>
      <c r="P842" t="str">
        <f>IF(TRIM(O842)="","Unknown",PROPER(TRIM(O842)))</f>
        <v>Technology</v>
      </c>
      <c r="Q842" t="s">
        <v>347</v>
      </c>
      <c r="R842" t="s">
        <v>2914</v>
      </c>
      <c r="S842" t="s">
        <v>55</v>
      </c>
      <c r="T842" t="str">
        <f>IF(TRIM(S842)="","Unknown",PROPER(TRIM(S842)))</f>
        <v>First Class</v>
      </c>
      <c r="U842">
        <v>1</v>
      </c>
      <c r="V842">
        <v>4326.75</v>
      </c>
      <c r="W842">
        <v>0.05</v>
      </c>
      <c r="Y842">
        <v>0.05</v>
      </c>
      <c r="Z842">
        <v>4110.41</v>
      </c>
      <c r="AA842">
        <v>2394.14</v>
      </c>
      <c r="AB842">
        <v>1716.27</v>
      </c>
      <c r="AC842" t="s">
        <v>131</v>
      </c>
      <c r="AD842" t="s">
        <v>120</v>
      </c>
      <c r="AE842">
        <f>ROUND((U842*V842)-(U842*V842*Y842),2)</f>
        <v>4110.41</v>
      </c>
      <c r="AF842">
        <f>AE842-AA842</f>
        <v>1716.27</v>
      </c>
      <c r="AG842" s="7">
        <f>ROUND((AF842/AE842),4)</f>
        <v>0.41749999999999998</v>
      </c>
      <c r="AH842">
        <f>IF(AND(C842&lt;&gt;"",E842&lt;&gt;""),E842 - C842,"")</f>
        <v>0</v>
      </c>
      <c r="AI842" t="str">
        <f>IF(C842="","",TEXT(C842, "mmmm"))</f>
        <v>February</v>
      </c>
      <c r="AJ842">
        <f>IF(C842="","",YEAR(C842))</f>
        <v>2025</v>
      </c>
      <c r="AM842" t="str">
        <f>IF(AN842="","clean","")</f>
        <v>clean</v>
      </c>
      <c r="AN842" t="s">
        <v>3595</v>
      </c>
    </row>
    <row r="843" spans="1:40">
      <c r="A843" t="s">
        <v>2919</v>
      </c>
      <c r="B843" t="s">
        <v>4018</v>
      </c>
      <c r="C843" s="6">
        <v>45814</v>
      </c>
      <c r="D843" t="s">
        <v>2787</v>
      </c>
      <c r="E843" s="6">
        <v>45818</v>
      </c>
      <c r="F843" t="s">
        <v>800</v>
      </c>
      <c r="G843" t="s">
        <v>39</v>
      </c>
      <c r="H843" t="s">
        <v>39</v>
      </c>
      <c r="I843" t="s">
        <v>25</v>
      </c>
      <c r="J843" t="s">
        <v>25</v>
      </c>
      <c r="K843" t="s">
        <v>71</v>
      </c>
      <c r="L843" t="str">
        <f>IF(TRIM(K843)="","Unknown",PROPER(TRIM(K843)))</f>
        <v>West</v>
      </c>
      <c r="M843" t="s">
        <v>27</v>
      </c>
      <c r="N843" t="s">
        <v>129</v>
      </c>
      <c r="O843" t="s">
        <v>83</v>
      </c>
      <c r="P843" t="str">
        <f>IF(TRIM(O843)="","Unknown",PROPER(TRIM(O843)))</f>
        <v>Technology</v>
      </c>
      <c r="Q843" t="s">
        <v>347</v>
      </c>
      <c r="R843" t="s">
        <v>2920</v>
      </c>
      <c r="S843" t="s">
        <v>32</v>
      </c>
      <c r="T843" t="str">
        <f>IF(TRIM(S843)="","Unknown",PROPER(TRIM(S843)))</f>
        <v>Second Class</v>
      </c>
      <c r="U843">
        <v>1</v>
      </c>
      <c r="V843">
        <v>289.97000000000003</v>
      </c>
      <c r="W843">
        <v>0.25</v>
      </c>
      <c r="Y843">
        <v>0.25</v>
      </c>
      <c r="Z843">
        <v>217.48</v>
      </c>
      <c r="AA843">
        <v>132.13</v>
      </c>
      <c r="AB843">
        <v>85.35</v>
      </c>
      <c r="AC843" t="s">
        <v>33</v>
      </c>
      <c r="AD843" t="s">
        <v>34</v>
      </c>
      <c r="AE843">
        <f>ROUND((U843*V843)-(U843*V843*Y843),2)</f>
        <v>217.48</v>
      </c>
      <c r="AF843">
        <f>AE843-AA843</f>
        <v>85.35</v>
      </c>
      <c r="AG843" s="7">
        <f>ROUND((AF843/AE843),4)</f>
        <v>0.39240000000000003</v>
      </c>
      <c r="AH843">
        <f>IF(AND(C843&lt;&gt;"",E843&lt;&gt;""),E843 - C843,"")</f>
        <v>4</v>
      </c>
      <c r="AI843" t="str">
        <f>IF(C843="","",TEXT(C843, "mmmm"))</f>
        <v>June</v>
      </c>
      <c r="AJ843">
        <f>IF(C843="","",YEAR(C843))</f>
        <v>2025</v>
      </c>
      <c r="AM843" t="str">
        <f>IF(AN843="","clean","")</f>
        <v>clean</v>
      </c>
      <c r="AN843" t="s">
        <v>3595</v>
      </c>
    </row>
    <row r="844" spans="1:40">
      <c r="A844" t="s">
        <v>2921</v>
      </c>
      <c r="B844" t="s">
        <v>1861</v>
      </c>
      <c r="C844" s="6">
        <v>45738</v>
      </c>
      <c r="D844" t="s">
        <v>1961</v>
      </c>
      <c r="E844" s="6">
        <v>45739</v>
      </c>
      <c r="F844" t="s">
        <v>2922</v>
      </c>
      <c r="G844" t="s">
        <v>24</v>
      </c>
      <c r="H844" t="s">
        <v>24</v>
      </c>
      <c r="I844" t="s">
        <v>110</v>
      </c>
      <c r="J844" t="s">
        <v>110</v>
      </c>
      <c r="K844" t="s">
        <v>26</v>
      </c>
      <c r="L844" t="str">
        <f>IF(TRIM(K844)="","Unknown",PROPER(TRIM(K844)))</f>
        <v>North</v>
      </c>
      <c r="M844" t="s">
        <v>454</v>
      </c>
      <c r="N844" t="s">
        <v>455</v>
      </c>
      <c r="O844" t="s">
        <v>83</v>
      </c>
      <c r="P844" t="str">
        <f>IF(TRIM(O844)="","Unknown",PROPER(TRIM(O844)))</f>
        <v>Technology</v>
      </c>
      <c r="Q844" t="s">
        <v>91</v>
      </c>
      <c r="R844" t="s">
        <v>2923</v>
      </c>
      <c r="S844" t="s">
        <v>65</v>
      </c>
      <c r="T844" t="str">
        <f>IF(TRIM(S844)="","Unknown",PROPER(TRIM(S844)))</f>
        <v>Standard Class</v>
      </c>
      <c r="U844">
        <v>9</v>
      </c>
      <c r="V844">
        <v>2075.02</v>
      </c>
      <c r="W844">
        <v>0</v>
      </c>
      <c r="Y844">
        <v>0</v>
      </c>
      <c r="Z844">
        <v>18675.18</v>
      </c>
      <c r="AA844">
        <v>13974.7</v>
      </c>
      <c r="AB844">
        <v>4700.4799999999996</v>
      </c>
      <c r="AC844" t="s">
        <v>33</v>
      </c>
      <c r="AD844" t="s">
        <v>34</v>
      </c>
      <c r="AE844">
        <f>ROUND((U844*V844)-(U844*V844*Y844),2)</f>
        <v>18675.18</v>
      </c>
      <c r="AF844">
        <f>AE844-AA844</f>
        <v>4700.4799999999996</v>
      </c>
      <c r="AG844" s="7">
        <f>ROUND((AF844/AE844),4)</f>
        <v>0.25169999999999998</v>
      </c>
      <c r="AH844">
        <f>IF(AND(C844&lt;&gt;"",E844&lt;&gt;""),E844 - C844,"")</f>
        <v>1</v>
      </c>
      <c r="AI844" t="str">
        <f>IF(C844="","",TEXT(C844, "mmmm"))</f>
        <v>March</v>
      </c>
      <c r="AJ844">
        <f>IF(C844="","",YEAR(C844))</f>
        <v>2025</v>
      </c>
      <c r="AM844" t="str">
        <f>IF(AN844="","clean","")</f>
        <v>clean</v>
      </c>
      <c r="AN844" t="s">
        <v>3595</v>
      </c>
    </row>
    <row r="845" spans="1:40">
      <c r="A845" t="s">
        <v>2924</v>
      </c>
      <c r="B845" t="s">
        <v>3647</v>
      </c>
      <c r="C845" s="6">
        <v>45891</v>
      </c>
      <c r="D845" t="s">
        <v>410</v>
      </c>
      <c r="E845" s="6">
        <v>45896</v>
      </c>
      <c r="F845" t="s">
        <v>2925</v>
      </c>
      <c r="G845" t="s">
        <v>136</v>
      </c>
      <c r="H845" t="s">
        <v>136</v>
      </c>
      <c r="I845" t="s">
        <v>25</v>
      </c>
      <c r="J845" t="s">
        <v>25</v>
      </c>
      <c r="K845" t="s">
        <v>26</v>
      </c>
      <c r="L845" t="str">
        <f>IF(TRIM(K845)="","Unknown",PROPER(TRIM(K845)))</f>
        <v>North</v>
      </c>
      <c r="M845" t="s">
        <v>294</v>
      </c>
      <c r="N845" t="s">
        <v>295</v>
      </c>
      <c r="O845" t="s">
        <v>44</v>
      </c>
      <c r="P845" t="str">
        <f>IF(TRIM(O845)="","Unknown",PROPER(TRIM(O845)))</f>
        <v>Furniture</v>
      </c>
      <c r="Q845" t="s">
        <v>74</v>
      </c>
      <c r="R845" t="s">
        <v>2926</v>
      </c>
      <c r="S845" t="s">
        <v>32</v>
      </c>
      <c r="T845" t="str">
        <f>IF(TRIM(S845)="","Unknown",PROPER(TRIM(S845)))</f>
        <v>Second Class</v>
      </c>
      <c r="U845">
        <v>7</v>
      </c>
      <c r="V845">
        <v>2843.09</v>
      </c>
      <c r="W845">
        <v>0</v>
      </c>
      <c r="Y845">
        <v>0</v>
      </c>
      <c r="Z845">
        <v>19901.63</v>
      </c>
      <c r="AA845">
        <v>15492.03</v>
      </c>
      <c r="AB845">
        <v>4409.6000000000004</v>
      </c>
      <c r="AC845" t="s">
        <v>119</v>
      </c>
      <c r="AD845" t="s">
        <v>76</v>
      </c>
      <c r="AE845">
        <f>ROUND((U845*V845)-(U845*V845*Y845),2)</f>
        <v>19901.63</v>
      </c>
      <c r="AF845">
        <f>AE845-AA845</f>
        <v>4409.6000000000004</v>
      </c>
      <c r="AG845" s="7">
        <f>ROUND((AF845/AE845),4)</f>
        <v>0.22159999999999999</v>
      </c>
      <c r="AH845">
        <f>IF(AND(C845&lt;&gt;"",E845&lt;&gt;""),E845 - C845,"")</f>
        <v>5</v>
      </c>
      <c r="AI845" t="str">
        <f>IF(C845="","",TEXT(C845, "mmmm"))</f>
        <v>August</v>
      </c>
      <c r="AJ845">
        <f>IF(C845="","",YEAR(C845))</f>
        <v>2025</v>
      </c>
      <c r="AM845" t="str">
        <f>IF(AN845="","clean","")</f>
        <v>clean</v>
      </c>
      <c r="AN845" t="s">
        <v>3595</v>
      </c>
    </row>
    <row r="846" spans="1:40">
      <c r="A846" t="s">
        <v>2927</v>
      </c>
      <c r="B846" t="s">
        <v>4019</v>
      </c>
      <c r="C846" s="6">
        <v>45895</v>
      </c>
      <c r="D846" t="s">
        <v>188</v>
      </c>
      <c r="F846" t="s">
        <v>2928</v>
      </c>
      <c r="G846" t="s">
        <v>196</v>
      </c>
      <c r="H846" t="s">
        <v>196</v>
      </c>
      <c r="I846" t="s">
        <v>40</v>
      </c>
      <c r="J846" t="s">
        <v>40</v>
      </c>
      <c r="K846" t="s">
        <v>26</v>
      </c>
      <c r="L846" t="str">
        <f>IF(TRIM(K846)="","Unknown",PROPER(TRIM(K846)))</f>
        <v>North</v>
      </c>
      <c r="M846" t="s">
        <v>294</v>
      </c>
      <c r="N846" t="s">
        <v>295</v>
      </c>
      <c r="O846" t="s">
        <v>83</v>
      </c>
      <c r="P846" t="str">
        <f>IF(TRIM(O846)="","Unknown",PROPER(TRIM(O846)))</f>
        <v>Technology</v>
      </c>
      <c r="Q846" t="s">
        <v>207</v>
      </c>
      <c r="R846" t="s">
        <v>2929</v>
      </c>
      <c r="S846" t="s">
        <v>55</v>
      </c>
      <c r="T846" t="str">
        <f>IF(TRIM(S846)="","Unknown",PROPER(TRIM(S846)))</f>
        <v>First Class</v>
      </c>
      <c r="U846">
        <v>1</v>
      </c>
      <c r="V846">
        <v>3388.02</v>
      </c>
      <c r="W846">
        <v>0.15</v>
      </c>
      <c r="Y846">
        <v>0.15</v>
      </c>
      <c r="Z846">
        <v>2879.82</v>
      </c>
      <c r="AA846">
        <v>1824.88</v>
      </c>
      <c r="AB846">
        <v>1054.94</v>
      </c>
      <c r="AC846" t="s">
        <v>33</v>
      </c>
      <c r="AD846" t="s">
        <v>34</v>
      </c>
      <c r="AE846">
        <f>ROUND((U846*V846)-(U846*V846*Y846),2)</f>
        <v>2879.82</v>
      </c>
      <c r="AF846">
        <f>AE846-AA846</f>
        <v>1054.94</v>
      </c>
      <c r="AG846" s="7">
        <f>ROUND((AF846/AE846),4)</f>
        <v>0.36630000000000001</v>
      </c>
      <c r="AH846" t="str">
        <f>IF(AND(C846&lt;&gt;"",E846&lt;&gt;""),E846 - C846,"")</f>
        <v/>
      </c>
      <c r="AI846" t="str">
        <f>IF(C846="","",TEXT(C846, "mmmm"))</f>
        <v>August</v>
      </c>
      <c r="AJ846">
        <f>IF(C846="","",YEAR(C846))</f>
        <v>2025</v>
      </c>
      <c r="AM846" t="s">
        <v>4144</v>
      </c>
      <c r="AN846" t="s">
        <v>4136</v>
      </c>
    </row>
    <row r="847" spans="1:40">
      <c r="A847" t="s">
        <v>2930</v>
      </c>
      <c r="B847" t="s">
        <v>4020</v>
      </c>
      <c r="C847" s="6">
        <v>45942</v>
      </c>
      <c r="D847" t="s">
        <v>282</v>
      </c>
      <c r="E847" s="6">
        <v>45945</v>
      </c>
      <c r="F847" t="s">
        <v>2931</v>
      </c>
      <c r="G847" t="s">
        <v>334</v>
      </c>
      <c r="H847" t="s">
        <v>334</v>
      </c>
      <c r="I847" t="s">
        <v>40</v>
      </c>
      <c r="J847" t="s">
        <v>40</v>
      </c>
      <c r="K847" t="s">
        <v>26</v>
      </c>
      <c r="L847" t="str">
        <f>IF(TRIM(K847)="","Unknown",PROPER(TRIM(K847)))</f>
        <v>North</v>
      </c>
      <c r="M847" t="s">
        <v>294</v>
      </c>
      <c r="N847" t="s">
        <v>295</v>
      </c>
      <c r="O847" t="s">
        <v>83</v>
      </c>
      <c r="P847" t="str">
        <f>IF(TRIM(O847)="","Unknown",PROPER(TRIM(O847)))</f>
        <v>Technology</v>
      </c>
      <c r="Q847" t="s">
        <v>347</v>
      </c>
      <c r="R847" t="s">
        <v>2932</v>
      </c>
      <c r="S847" t="s">
        <v>65</v>
      </c>
      <c r="T847" t="str">
        <f>IF(TRIM(S847)="","Unknown",PROPER(TRIM(S847)))</f>
        <v>Standard Class</v>
      </c>
      <c r="U847">
        <v>9</v>
      </c>
      <c r="V847">
        <v>2598.92</v>
      </c>
      <c r="W847">
        <v>0.2</v>
      </c>
      <c r="Y847">
        <v>0.2</v>
      </c>
      <c r="Z847">
        <v>18712.22</v>
      </c>
      <c r="AA847">
        <v>11852.22</v>
      </c>
      <c r="AB847">
        <v>6860</v>
      </c>
      <c r="AC847" t="s">
        <v>131</v>
      </c>
      <c r="AD847" t="s">
        <v>76</v>
      </c>
      <c r="AE847">
        <f>ROUND((U847*V847)-(U847*V847*Y847),2)</f>
        <v>18712.22</v>
      </c>
      <c r="AF847">
        <f>AE847-AA847</f>
        <v>6860.0000000000018</v>
      </c>
      <c r="AG847" s="7">
        <f>ROUND((AF847/AE847),4)</f>
        <v>0.36659999999999998</v>
      </c>
      <c r="AH847">
        <f>IF(AND(C847&lt;&gt;"",E847&lt;&gt;""),E847 - C847,"")</f>
        <v>3</v>
      </c>
      <c r="AI847" t="str">
        <f>IF(C847="","",TEXT(C847, "mmmm"))</f>
        <v>October</v>
      </c>
      <c r="AJ847">
        <f>IF(C847="","",YEAR(C847))</f>
        <v>2025</v>
      </c>
      <c r="AM847" t="str">
        <f>IF(AN847="","clean","")</f>
        <v>clean</v>
      </c>
      <c r="AN847" t="s">
        <v>3595</v>
      </c>
    </row>
    <row r="848" spans="1:40">
      <c r="A848" t="s">
        <v>2936</v>
      </c>
      <c r="B848" t="s">
        <v>3812</v>
      </c>
      <c r="C848" s="6">
        <v>45908</v>
      </c>
      <c r="D848" t="s">
        <v>1515</v>
      </c>
      <c r="E848" s="6">
        <v>45909</v>
      </c>
      <c r="F848" t="s">
        <v>173</v>
      </c>
      <c r="G848" t="s">
        <v>334</v>
      </c>
      <c r="H848" t="s">
        <v>334</v>
      </c>
      <c r="I848" t="s">
        <v>104</v>
      </c>
      <c r="J848" t="s">
        <v>104</v>
      </c>
      <c r="K848" t="s">
        <v>71</v>
      </c>
      <c r="L848" t="str">
        <f>IF(TRIM(K848)="","Unknown",PROPER(TRIM(K848)))</f>
        <v>West</v>
      </c>
      <c r="M848" t="s">
        <v>218</v>
      </c>
      <c r="N848" t="s">
        <v>219</v>
      </c>
      <c r="O848" t="s">
        <v>29</v>
      </c>
      <c r="P848" t="str">
        <f>IF(TRIM(O848)="","Unknown",PROPER(TRIM(O848)))</f>
        <v>Office Supplies</v>
      </c>
      <c r="Q848" t="s">
        <v>53</v>
      </c>
      <c r="R848" t="s">
        <v>2937</v>
      </c>
      <c r="S848" t="s">
        <v>47</v>
      </c>
      <c r="T848" t="str">
        <f>IF(TRIM(S848)="","Unknown",PROPER(TRIM(S848)))</f>
        <v>Same Day</v>
      </c>
      <c r="U848">
        <v>2</v>
      </c>
      <c r="V848">
        <v>2372.41</v>
      </c>
      <c r="W848">
        <v>0.2</v>
      </c>
      <c r="Y848">
        <v>0.2</v>
      </c>
      <c r="Z848">
        <v>3795.86</v>
      </c>
      <c r="AA848">
        <v>2264.92</v>
      </c>
      <c r="AB848">
        <v>1530.94</v>
      </c>
      <c r="AC848" t="s">
        <v>33</v>
      </c>
      <c r="AD848" t="s">
        <v>34</v>
      </c>
      <c r="AE848">
        <f>ROUND((U848*V848)-(U848*V848*Y848),2)</f>
        <v>3795.86</v>
      </c>
      <c r="AF848">
        <f>AE848-AA848</f>
        <v>1530.94</v>
      </c>
      <c r="AG848" s="7">
        <f>ROUND((AF848/AE848),4)</f>
        <v>0.40329999999999999</v>
      </c>
      <c r="AH848">
        <f>IF(AND(C848&lt;&gt;"",E848&lt;&gt;""),E848 - C848,"")</f>
        <v>1</v>
      </c>
      <c r="AI848" t="str">
        <f>IF(C848="","",TEXT(C848, "mmmm"))</f>
        <v>September</v>
      </c>
      <c r="AJ848">
        <f>IF(C848="","",YEAR(C848))</f>
        <v>2025</v>
      </c>
      <c r="AM848" t="str">
        <f>IF(AN848="","clean","")</f>
        <v>clean</v>
      </c>
      <c r="AN848" t="s">
        <v>3595</v>
      </c>
    </row>
    <row r="849" spans="1:40">
      <c r="A849" t="s">
        <v>2936</v>
      </c>
      <c r="B849" t="s">
        <v>3812</v>
      </c>
      <c r="C849" s="6">
        <v>45908</v>
      </c>
      <c r="D849" t="s">
        <v>1515</v>
      </c>
      <c r="E849" s="6">
        <v>45909</v>
      </c>
      <c r="F849" t="s">
        <v>173</v>
      </c>
      <c r="G849" t="s">
        <v>334</v>
      </c>
      <c r="H849" t="s">
        <v>334</v>
      </c>
      <c r="I849" t="s">
        <v>104</v>
      </c>
      <c r="J849" t="s">
        <v>104</v>
      </c>
      <c r="K849" t="s">
        <v>71</v>
      </c>
      <c r="L849" t="str">
        <f>IF(TRIM(K849)="","Unknown",PROPER(TRIM(K849)))</f>
        <v>West</v>
      </c>
      <c r="M849" t="s">
        <v>218</v>
      </c>
      <c r="N849" t="s">
        <v>219</v>
      </c>
      <c r="O849" t="s">
        <v>29</v>
      </c>
      <c r="P849" t="str">
        <f>IF(TRIM(O849)="","Unknown",PROPER(TRIM(O849)))</f>
        <v>Office Supplies</v>
      </c>
      <c r="Q849" t="s">
        <v>53</v>
      </c>
      <c r="R849" t="s">
        <v>2937</v>
      </c>
      <c r="S849" t="s">
        <v>47</v>
      </c>
      <c r="T849" t="str">
        <f>IF(TRIM(S849)="","Unknown",PROPER(TRIM(S849)))</f>
        <v>Same Day</v>
      </c>
      <c r="U849">
        <v>2</v>
      </c>
      <c r="V849">
        <v>2372.41</v>
      </c>
      <c r="W849">
        <v>0.2</v>
      </c>
      <c r="Y849">
        <v>0.2</v>
      </c>
      <c r="Z849">
        <v>3795.86</v>
      </c>
      <c r="AA849">
        <v>2264.92</v>
      </c>
      <c r="AB849">
        <v>1530.94</v>
      </c>
      <c r="AC849" t="s">
        <v>33</v>
      </c>
      <c r="AD849" t="s">
        <v>34</v>
      </c>
      <c r="AE849">
        <f>ROUND((U849*V849)-(U849*V849*Y849),2)</f>
        <v>3795.86</v>
      </c>
      <c r="AF849">
        <f>AE849-AA849</f>
        <v>1530.94</v>
      </c>
      <c r="AG849" s="7">
        <f>ROUND((AF849/AE849),4)</f>
        <v>0.40329999999999999</v>
      </c>
      <c r="AH849">
        <f>IF(AND(C849&lt;&gt;"",E849&lt;&gt;""),E849 - C849,"")</f>
        <v>1</v>
      </c>
      <c r="AI849" t="str">
        <f>IF(C849="","",TEXT(C849, "mmmm"))</f>
        <v>September</v>
      </c>
      <c r="AJ849">
        <f>IF(C849="","",YEAR(C849))</f>
        <v>2025</v>
      </c>
      <c r="AL849" t="s">
        <v>4152</v>
      </c>
      <c r="AM849" t="s">
        <v>4144</v>
      </c>
      <c r="AN849" t="s">
        <v>4149</v>
      </c>
    </row>
    <row r="850" spans="1:40">
      <c r="A850" t="s">
        <v>2942</v>
      </c>
      <c r="B850" t="s">
        <v>234</v>
      </c>
      <c r="C850" s="6">
        <v>45827</v>
      </c>
      <c r="D850" t="s">
        <v>2943</v>
      </c>
      <c r="F850" t="s">
        <v>2944</v>
      </c>
      <c r="G850" t="s">
        <v>158</v>
      </c>
      <c r="H850" t="s">
        <v>158</v>
      </c>
      <c r="I850" t="s">
        <v>25</v>
      </c>
      <c r="J850" t="s">
        <v>25</v>
      </c>
      <c r="K850" t="s">
        <v>60</v>
      </c>
      <c r="L850" t="str">
        <f>IF(TRIM(K850)="","Unknown",PROPER(TRIM(K850)))</f>
        <v>South</v>
      </c>
      <c r="M850" t="s">
        <v>212</v>
      </c>
      <c r="N850" t="s">
        <v>213</v>
      </c>
      <c r="O850" t="s">
        <v>83</v>
      </c>
      <c r="P850" t="str">
        <f>IF(TRIM(O850)="","Unknown",PROPER(TRIM(O850)))</f>
        <v>Technology</v>
      </c>
      <c r="Q850" t="s">
        <v>91</v>
      </c>
      <c r="R850" t="s">
        <v>2945</v>
      </c>
      <c r="S850" t="s">
        <v>55</v>
      </c>
      <c r="T850" t="str">
        <f>IF(TRIM(S850)="","Unknown",PROPER(TRIM(S850)))</f>
        <v>First Class</v>
      </c>
      <c r="U850">
        <v>5</v>
      </c>
      <c r="V850">
        <v>2729.95</v>
      </c>
      <c r="W850">
        <v>0</v>
      </c>
      <c r="Y850">
        <v>0</v>
      </c>
      <c r="Z850">
        <v>13649.75</v>
      </c>
      <c r="AA850">
        <v>10288.030000000001</v>
      </c>
      <c r="AB850">
        <v>3361.72</v>
      </c>
      <c r="AC850" t="s">
        <v>33</v>
      </c>
      <c r="AD850" t="s">
        <v>34</v>
      </c>
      <c r="AE850">
        <f>ROUND((U850*V850)-(U850*V850*Y850),2)</f>
        <v>13649.75</v>
      </c>
      <c r="AF850">
        <f>AE850-AA850</f>
        <v>3361.7199999999993</v>
      </c>
      <c r="AG850" s="7">
        <f>ROUND((AF850/AE850),4)</f>
        <v>0.24629999999999999</v>
      </c>
      <c r="AH850" t="str">
        <f>IF(AND(C850&lt;&gt;"",E850&lt;&gt;""),E850 - C850,"")</f>
        <v/>
      </c>
      <c r="AI850" t="str">
        <f>IF(C850="","",TEXT(C850, "mmmm"))</f>
        <v>June</v>
      </c>
      <c r="AJ850">
        <f>IF(C850="","",YEAR(C850))</f>
        <v>2025</v>
      </c>
      <c r="AM850" t="s">
        <v>4144</v>
      </c>
      <c r="AN850" t="s">
        <v>4136</v>
      </c>
    </row>
    <row r="851" spans="1:40">
      <c r="A851" t="s">
        <v>2950</v>
      </c>
      <c r="B851" t="s">
        <v>786</v>
      </c>
      <c r="C851" s="6">
        <v>45936</v>
      </c>
      <c r="D851" t="s">
        <v>2951</v>
      </c>
      <c r="E851" s="6">
        <v>45943</v>
      </c>
      <c r="F851" t="s">
        <v>2952</v>
      </c>
      <c r="G851" t="s">
        <v>334</v>
      </c>
      <c r="H851" t="s">
        <v>334</v>
      </c>
      <c r="I851" t="s">
        <v>110</v>
      </c>
      <c r="J851" t="s">
        <v>110</v>
      </c>
      <c r="K851" t="s">
        <v>41</v>
      </c>
      <c r="L851" t="str">
        <f>IF(TRIM(K851)="","Unknown",PROPER(TRIM(K851)))</f>
        <v>East</v>
      </c>
      <c r="M851" t="s">
        <v>284</v>
      </c>
      <c r="N851" t="s">
        <v>285</v>
      </c>
      <c r="O851" t="s">
        <v>83</v>
      </c>
      <c r="P851" t="str">
        <f>IF(TRIM(O851)="","Unknown",PROPER(TRIM(O851)))</f>
        <v>Technology</v>
      </c>
      <c r="Q851" t="s">
        <v>84</v>
      </c>
      <c r="R851" t="s">
        <v>2953</v>
      </c>
      <c r="S851" t="s">
        <v>65</v>
      </c>
      <c r="T851" t="str">
        <f>IF(TRIM(S851)="","Unknown",PROPER(TRIM(S851)))</f>
        <v>Standard Class</v>
      </c>
      <c r="U851">
        <v>6</v>
      </c>
      <c r="V851">
        <v>2391.9299999999998</v>
      </c>
      <c r="W851">
        <v>0.05</v>
      </c>
      <c r="Y851">
        <v>0.05</v>
      </c>
      <c r="Z851">
        <v>13634</v>
      </c>
      <c r="AA851">
        <v>9589.81</v>
      </c>
      <c r="AB851">
        <v>4044.19</v>
      </c>
      <c r="AC851" t="s">
        <v>186</v>
      </c>
      <c r="AD851" t="s">
        <v>120</v>
      </c>
      <c r="AE851">
        <f>ROUND((U851*V851)-(U851*V851*Y851),2)</f>
        <v>13634</v>
      </c>
      <c r="AF851">
        <f>AE851-AA851</f>
        <v>4044.1900000000005</v>
      </c>
      <c r="AG851" s="7">
        <f>ROUND((AF851/AE851),4)</f>
        <v>0.29659999999999997</v>
      </c>
      <c r="AH851">
        <f>IF(AND(C851&lt;&gt;"",E851&lt;&gt;""),E851 - C851,"")</f>
        <v>7</v>
      </c>
      <c r="AI851" t="str">
        <f>IF(C851="","",TEXT(C851, "mmmm"))</f>
        <v>October</v>
      </c>
      <c r="AJ851">
        <f>IF(C851="","",YEAR(C851))</f>
        <v>2025</v>
      </c>
      <c r="AM851" t="str">
        <f>IF(AN851="","clean","")</f>
        <v>clean</v>
      </c>
      <c r="AN851" t="s">
        <v>3595</v>
      </c>
    </row>
    <row r="852" spans="1:40">
      <c r="A852" t="s">
        <v>2957</v>
      </c>
      <c r="B852" t="s">
        <v>4023</v>
      </c>
      <c r="C852" s="6">
        <v>45935</v>
      </c>
      <c r="D852" t="s">
        <v>133</v>
      </c>
      <c r="E852" s="6">
        <v>45942</v>
      </c>
      <c r="F852" t="s">
        <v>2958</v>
      </c>
      <c r="G852" t="s">
        <v>136</v>
      </c>
      <c r="H852" t="s">
        <v>136</v>
      </c>
      <c r="I852" t="s">
        <v>104</v>
      </c>
      <c r="J852" t="s">
        <v>104</v>
      </c>
      <c r="K852" t="s">
        <v>60</v>
      </c>
      <c r="L852" t="str">
        <f>IF(TRIM(K852)="","Unknown",PROPER(TRIM(K852)))</f>
        <v>South</v>
      </c>
      <c r="M852" t="s">
        <v>212</v>
      </c>
      <c r="N852" t="s">
        <v>213</v>
      </c>
      <c r="O852" t="s">
        <v>44</v>
      </c>
      <c r="P852" t="str">
        <f>IF(TRIM(O852)="","Unknown",PROPER(TRIM(O852)))</f>
        <v>Furniture</v>
      </c>
      <c r="Q852" t="s">
        <v>45</v>
      </c>
      <c r="R852" t="s">
        <v>2959</v>
      </c>
      <c r="S852" t="s">
        <v>32</v>
      </c>
      <c r="T852" t="str">
        <f>IF(TRIM(S852)="","Unknown",PROPER(TRIM(S852)))</f>
        <v>Second Class</v>
      </c>
      <c r="U852">
        <v>7</v>
      </c>
      <c r="V852">
        <v>2134.73</v>
      </c>
      <c r="W852">
        <v>0</v>
      </c>
      <c r="Y852">
        <v>0</v>
      </c>
      <c r="Z852">
        <v>14943.11</v>
      </c>
      <c r="AA852">
        <v>8521.5</v>
      </c>
      <c r="AB852">
        <v>6421.61</v>
      </c>
      <c r="AC852" t="s">
        <v>33</v>
      </c>
      <c r="AD852" t="s">
        <v>34</v>
      </c>
      <c r="AE852">
        <f>ROUND((U852*V852)-(U852*V852*Y852),2)</f>
        <v>14943.11</v>
      </c>
      <c r="AF852">
        <f>AE852-AA852</f>
        <v>6421.6100000000006</v>
      </c>
      <c r="AG852" s="7">
        <f>ROUND((AF852/AE852),4)</f>
        <v>0.42970000000000003</v>
      </c>
      <c r="AH852">
        <f>IF(AND(C852&lt;&gt;"",E852&lt;&gt;""),E852 - C852,"")</f>
        <v>7</v>
      </c>
      <c r="AI852" t="str">
        <f>IF(C852="","",TEXT(C852, "mmmm"))</f>
        <v>October</v>
      </c>
      <c r="AJ852">
        <f>IF(C852="","",YEAR(C852))</f>
        <v>2025</v>
      </c>
      <c r="AM852" t="str">
        <f>IF(AN852="","clean","")</f>
        <v>clean</v>
      </c>
      <c r="AN852" t="s">
        <v>3595</v>
      </c>
    </row>
    <row r="853" spans="1:40">
      <c r="A853" t="s">
        <v>2971</v>
      </c>
      <c r="B853" t="s">
        <v>4025</v>
      </c>
      <c r="C853" s="6">
        <v>45794</v>
      </c>
      <c r="D853" t="s">
        <v>2972</v>
      </c>
      <c r="E853" s="6">
        <v>45802</v>
      </c>
      <c r="F853" t="s">
        <v>2973</v>
      </c>
      <c r="G853" t="s">
        <v>70</v>
      </c>
      <c r="H853" t="s">
        <v>70</v>
      </c>
      <c r="I853" t="s">
        <v>104</v>
      </c>
      <c r="J853" t="s">
        <v>104</v>
      </c>
      <c r="K853" t="s">
        <v>60</v>
      </c>
      <c r="L853" t="str">
        <f>IF(TRIM(K853)="","Unknown",PROPER(TRIM(K853)))</f>
        <v>South</v>
      </c>
      <c r="M853" t="s">
        <v>309</v>
      </c>
      <c r="N853" t="s">
        <v>310</v>
      </c>
      <c r="O853" t="s">
        <v>83</v>
      </c>
      <c r="P853" t="str">
        <f>IF(TRIM(O853)="","Unknown",PROPER(TRIM(O853)))</f>
        <v>Technology</v>
      </c>
      <c r="Q853" t="s">
        <v>347</v>
      </c>
      <c r="R853" t="s">
        <v>2974</v>
      </c>
      <c r="S853" t="s">
        <v>47</v>
      </c>
      <c r="T853" t="str">
        <f>IF(TRIM(S853)="","Unknown",PROPER(TRIM(S853)))</f>
        <v>Same Day</v>
      </c>
      <c r="U853">
        <v>6</v>
      </c>
      <c r="V853">
        <v>1810.63</v>
      </c>
      <c r="W853">
        <v>0.15</v>
      </c>
      <c r="Y853">
        <v>0.15</v>
      </c>
      <c r="Z853">
        <v>9234.2099999999991</v>
      </c>
      <c r="AA853">
        <v>5516.52</v>
      </c>
      <c r="AB853">
        <v>3717.69</v>
      </c>
      <c r="AC853" t="s">
        <v>33</v>
      </c>
      <c r="AD853" t="s">
        <v>34</v>
      </c>
      <c r="AE853">
        <f>ROUND((U853*V853)-(U853*V853*Y853),2)</f>
        <v>9234.2099999999991</v>
      </c>
      <c r="AF853">
        <f>AE853-AA853</f>
        <v>3717.6899999999987</v>
      </c>
      <c r="AG853" s="7">
        <f>ROUND((AF853/AE853),4)</f>
        <v>0.40260000000000001</v>
      </c>
      <c r="AH853">
        <f>IF(AND(C853&lt;&gt;"",E853&lt;&gt;""),E853 - C853,"")</f>
        <v>8</v>
      </c>
      <c r="AI853" t="str">
        <f>IF(C853="","",TEXT(C853, "mmmm"))</f>
        <v>May</v>
      </c>
      <c r="AJ853">
        <f>IF(C853="","",YEAR(C853))</f>
        <v>2025</v>
      </c>
      <c r="AM853" t="str">
        <f>IF(AN853="","clean","")</f>
        <v>clean</v>
      </c>
      <c r="AN853" t="s">
        <v>3595</v>
      </c>
    </row>
    <row r="854" spans="1:40">
      <c r="A854" t="s">
        <v>2971</v>
      </c>
      <c r="B854" t="s">
        <v>4025</v>
      </c>
      <c r="C854" s="6">
        <v>45794</v>
      </c>
      <c r="D854" t="s">
        <v>2972</v>
      </c>
      <c r="E854" s="6">
        <v>45802</v>
      </c>
      <c r="F854" t="s">
        <v>2973</v>
      </c>
      <c r="G854" t="s">
        <v>70</v>
      </c>
      <c r="H854" t="s">
        <v>70</v>
      </c>
      <c r="I854" t="s">
        <v>104</v>
      </c>
      <c r="J854" t="s">
        <v>104</v>
      </c>
      <c r="K854" t="s">
        <v>60</v>
      </c>
      <c r="L854" t="str">
        <f>IF(TRIM(K854)="","Unknown",PROPER(TRIM(K854)))</f>
        <v>South</v>
      </c>
      <c r="M854" t="s">
        <v>309</v>
      </c>
      <c r="N854" t="s">
        <v>310</v>
      </c>
      <c r="O854" t="s">
        <v>83</v>
      </c>
      <c r="P854" t="str">
        <f>IF(TRIM(O854)="","Unknown",PROPER(TRIM(O854)))</f>
        <v>Technology</v>
      </c>
      <c r="Q854" t="s">
        <v>347</v>
      </c>
      <c r="R854" t="s">
        <v>2974</v>
      </c>
      <c r="S854" t="s">
        <v>47</v>
      </c>
      <c r="T854" t="str">
        <f>IF(TRIM(S854)="","Unknown",PROPER(TRIM(S854)))</f>
        <v>Same Day</v>
      </c>
      <c r="U854">
        <v>6</v>
      </c>
      <c r="V854">
        <v>1810.63</v>
      </c>
      <c r="W854">
        <v>0.15</v>
      </c>
      <c r="Y854">
        <v>0.15</v>
      </c>
      <c r="Z854">
        <v>9234.2099999999991</v>
      </c>
      <c r="AA854">
        <v>5516.52</v>
      </c>
      <c r="AB854">
        <v>3717.69</v>
      </c>
      <c r="AC854" t="s">
        <v>33</v>
      </c>
      <c r="AD854" t="s">
        <v>34</v>
      </c>
      <c r="AE854">
        <f>ROUND((U854*V854)-(U854*V854*Y854),2)</f>
        <v>9234.2099999999991</v>
      </c>
      <c r="AF854">
        <f>AE854-AA854</f>
        <v>3717.6899999999987</v>
      </c>
      <c r="AG854" s="7">
        <f>ROUND((AF854/AE854),4)</f>
        <v>0.40260000000000001</v>
      </c>
      <c r="AH854">
        <f>IF(AND(C854&lt;&gt;"",E854&lt;&gt;""),E854 - C854,"")</f>
        <v>8</v>
      </c>
      <c r="AI854" t="str">
        <f>IF(C854="","",TEXT(C854, "mmmm"))</f>
        <v>May</v>
      </c>
      <c r="AJ854">
        <f>IF(C854="","",YEAR(C854))</f>
        <v>2025</v>
      </c>
      <c r="AL854" t="s">
        <v>4152</v>
      </c>
      <c r="AM854" t="s">
        <v>4144</v>
      </c>
      <c r="AN854" t="s">
        <v>4149</v>
      </c>
    </row>
    <row r="855" spans="1:40">
      <c r="A855" t="s">
        <v>2975</v>
      </c>
      <c r="B855" t="s">
        <v>4026</v>
      </c>
      <c r="C855" s="6">
        <v>45827</v>
      </c>
      <c r="D855" t="s">
        <v>2898</v>
      </c>
      <c r="F855" t="s">
        <v>2976</v>
      </c>
      <c r="G855" t="s">
        <v>59</v>
      </c>
      <c r="H855" t="s">
        <v>59</v>
      </c>
      <c r="I855" t="s">
        <v>25</v>
      </c>
      <c r="J855" t="s">
        <v>25</v>
      </c>
      <c r="K855" t="s">
        <v>41</v>
      </c>
      <c r="L855" t="str">
        <f>IF(TRIM(K855)="","Unknown",PROPER(TRIM(K855)))</f>
        <v>East</v>
      </c>
      <c r="M855" t="s">
        <v>116</v>
      </c>
      <c r="N855" t="s">
        <v>117</v>
      </c>
      <c r="O855" t="s">
        <v>29</v>
      </c>
      <c r="P855" t="str">
        <f>IF(TRIM(O855)="","Unknown",PROPER(TRIM(O855)))</f>
        <v>Office Supplies</v>
      </c>
      <c r="Q855" t="s">
        <v>53</v>
      </c>
      <c r="R855" t="s">
        <v>2977</v>
      </c>
      <c r="S855" t="s">
        <v>32</v>
      </c>
      <c r="T855" t="str">
        <f>IF(TRIM(S855)="","Unknown",PROPER(TRIM(S855)))</f>
        <v>Second Class</v>
      </c>
      <c r="U855">
        <v>4</v>
      </c>
      <c r="V855">
        <v>782.01</v>
      </c>
      <c r="W855">
        <v>0.15</v>
      </c>
      <c r="Y855">
        <v>0.15</v>
      </c>
      <c r="Z855">
        <v>2658.83</v>
      </c>
      <c r="AA855">
        <v>2226.9699999999998</v>
      </c>
      <c r="AB855">
        <v>431.86</v>
      </c>
      <c r="AC855" t="s">
        <v>119</v>
      </c>
      <c r="AD855" t="s">
        <v>120</v>
      </c>
      <c r="AE855">
        <f>ROUND((U855*V855)-(U855*V855*Y855),2)</f>
        <v>2658.83</v>
      </c>
      <c r="AF855">
        <f>AE855-AA855</f>
        <v>431.86000000000013</v>
      </c>
      <c r="AG855" s="7">
        <f>ROUND((AF855/AE855),4)</f>
        <v>0.16239999999999999</v>
      </c>
      <c r="AH855" t="str">
        <f>IF(AND(C855&lt;&gt;"",E855&lt;&gt;""),E855 - C855,"")</f>
        <v/>
      </c>
      <c r="AI855" t="str">
        <f>IF(C855="","",TEXT(C855, "mmmm"))</f>
        <v>June</v>
      </c>
      <c r="AJ855">
        <f>IF(C855="","",YEAR(C855))</f>
        <v>2025</v>
      </c>
      <c r="AM855" t="s">
        <v>4144</v>
      </c>
      <c r="AN855" t="s">
        <v>4136</v>
      </c>
    </row>
    <row r="856" spans="1:40">
      <c r="A856" t="s">
        <v>3003</v>
      </c>
      <c r="B856" t="s">
        <v>3788</v>
      </c>
      <c r="C856" s="6">
        <v>45708</v>
      </c>
      <c r="D856" t="s">
        <v>3004</v>
      </c>
      <c r="E856" s="6">
        <v>45710</v>
      </c>
      <c r="F856" t="s">
        <v>3005</v>
      </c>
      <c r="G856" t="s">
        <v>136</v>
      </c>
      <c r="H856" t="s">
        <v>136</v>
      </c>
      <c r="I856" t="s">
        <v>104</v>
      </c>
      <c r="J856" t="s">
        <v>104</v>
      </c>
      <c r="K856" t="s">
        <v>60</v>
      </c>
      <c r="L856" t="str">
        <f>IF(TRIM(K856)="","Unknown",PROPER(TRIM(K856)))</f>
        <v>South</v>
      </c>
      <c r="M856" t="s">
        <v>224</v>
      </c>
      <c r="N856" t="s">
        <v>225</v>
      </c>
      <c r="O856" t="s">
        <v>29</v>
      </c>
      <c r="P856" t="str">
        <f>IF(TRIM(O856)="","Unknown",PROPER(TRIM(O856)))</f>
        <v>Office Supplies</v>
      </c>
      <c r="Q856" t="s">
        <v>30</v>
      </c>
      <c r="R856" t="s">
        <v>3006</v>
      </c>
      <c r="S856" t="s">
        <v>55</v>
      </c>
      <c r="T856" t="str">
        <f>IF(TRIM(S856)="","Unknown",PROPER(TRIM(S856)))</f>
        <v>First Class</v>
      </c>
      <c r="U856">
        <v>1</v>
      </c>
      <c r="V856">
        <v>2188.19</v>
      </c>
      <c r="W856">
        <v>0</v>
      </c>
      <c r="Y856">
        <v>0</v>
      </c>
      <c r="Z856">
        <v>2188.19</v>
      </c>
      <c r="AA856">
        <v>1298.8399999999999</v>
      </c>
      <c r="AB856">
        <v>889.35</v>
      </c>
      <c r="AC856" t="s">
        <v>33</v>
      </c>
      <c r="AD856" t="s">
        <v>34</v>
      </c>
      <c r="AE856">
        <f>ROUND((U856*V856)-(U856*V856*Y856),2)</f>
        <v>2188.19</v>
      </c>
      <c r="AF856">
        <f>AE856-AA856</f>
        <v>889.35000000000014</v>
      </c>
      <c r="AG856" s="7">
        <f>ROUND((AF856/AE856),4)</f>
        <v>0.40639999999999998</v>
      </c>
      <c r="AH856">
        <f>IF(AND(C856&lt;&gt;"",E856&lt;&gt;""),E856 - C856,"")</f>
        <v>2</v>
      </c>
      <c r="AI856" t="str">
        <f>IF(C856="","",TEXT(C856, "mmmm"))</f>
        <v>February</v>
      </c>
      <c r="AJ856">
        <f>IF(C856="","",YEAR(C856))</f>
        <v>2025</v>
      </c>
      <c r="AM856" t="str">
        <f>IF(AN856="","clean","")</f>
        <v>clean</v>
      </c>
      <c r="AN856" t="s">
        <v>3595</v>
      </c>
    </row>
    <row r="857" spans="1:40">
      <c r="A857" t="s">
        <v>3013</v>
      </c>
      <c r="B857" t="s">
        <v>4032</v>
      </c>
      <c r="C857" s="6">
        <v>45770</v>
      </c>
      <c r="D857" t="s">
        <v>3014</v>
      </c>
      <c r="E857" s="6">
        <v>45772</v>
      </c>
      <c r="F857" t="s">
        <v>3015</v>
      </c>
      <c r="G857" t="s">
        <v>52</v>
      </c>
      <c r="H857" t="s">
        <v>52</v>
      </c>
      <c r="I857" t="s">
        <v>110</v>
      </c>
      <c r="J857" t="s">
        <v>110</v>
      </c>
      <c r="K857" t="s">
        <v>60</v>
      </c>
      <c r="L857" t="str">
        <f>IF(TRIM(K857)="","Unknown",PROPER(TRIM(K857)))</f>
        <v>South</v>
      </c>
      <c r="M857" t="s">
        <v>309</v>
      </c>
      <c r="N857" t="s">
        <v>310</v>
      </c>
      <c r="O857" t="s">
        <v>44</v>
      </c>
      <c r="P857" t="str">
        <f>IF(TRIM(O857)="","Unknown",PROPER(TRIM(O857)))</f>
        <v>Furniture</v>
      </c>
      <c r="Q857" t="s">
        <v>74</v>
      </c>
      <c r="R857" t="s">
        <v>3016</v>
      </c>
      <c r="S857" t="s">
        <v>32</v>
      </c>
      <c r="T857" t="str">
        <f>IF(TRIM(S857)="","Unknown",PROPER(TRIM(S857)))</f>
        <v>Second Class</v>
      </c>
      <c r="U857">
        <v>3</v>
      </c>
      <c r="V857">
        <v>2951.12</v>
      </c>
      <c r="Y857">
        <v>0.2</v>
      </c>
      <c r="Z857">
        <v>7082.69</v>
      </c>
      <c r="AA857">
        <v>5596.34</v>
      </c>
      <c r="AB857">
        <v>1486.35</v>
      </c>
      <c r="AC857" t="s">
        <v>33</v>
      </c>
      <c r="AD857" t="s">
        <v>76</v>
      </c>
      <c r="AE857">
        <f>ROUND((U857*V857)-(U857*V857*Y857),2)</f>
        <v>7082.69</v>
      </c>
      <c r="AF857">
        <f>AE857-AA857</f>
        <v>1486.3499999999995</v>
      </c>
      <c r="AG857" s="7">
        <f>ROUND((AF857/AE857),4)</f>
        <v>0.2099</v>
      </c>
      <c r="AH857">
        <f>IF(AND(C857&lt;&gt;"",E857&lt;&gt;""),E857 - C857,"")</f>
        <v>2</v>
      </c>
      <c r="AI857" t="str">
        <f>IF(C857="","",TEXT(C857, "mmmm"))</f>
        <v>April</v>
      </c>
      <c r="AJ857">
        <f>IF(C857="","",YEAR(C857))</f>
        <v>2025</v>
      </c>
      <c r="AM857" t="s">
        <v>4145</v>
      </c>
      <c r="AN857" t="s">
        <v>3596</v>
      </c>
    </row>
    <row r="858" spans="1:40">
      <c r="A858" t="s">
        <v>3022</v>
      </c>
      <c r="B858" t="s">
        <v>1227</v>
      </c>
      <c r="C858" s="6">
        <v>45700</v>
      </c>
      <c r="D858" t="s">
        <v>1709</v>
      </c>
      <c r="E858" s="6">
        <v>45702</v>
      </c>
      <c r="F858" t="s">
        <v>3023</v>
      </c>
      <c r="G858" t="s">
        <v>158</v>
      </c>
      <c r="H858" t="s">
        <v>158</v>
      </c>
      <c r="I858" t="s">
        <v>25</v>
      </c>
      <c r="J858" t="s">
        <v>25</v>
      </c>
      <c r="K858" t="s">
        <v>26</v>
      </c>
      <c r="L858" t="str">
        <f>IF(TRIM(K858)="","Unknown",PROPER(TRIM(K858)))</f>
        <v>North</v>
      </c>
      <c r="M858" t="s">
        <v>163</v>
      </c>
      <c r="N858" t="s">
        <v>164</v>
      </c>
      <c r="O858" t="s">
        <v>29</v>
      </c>
      <c r="P858" t="str">
        <f>IF(TRIM(O858)="","Unknown",PROPER(TRIM(O858)))</f>
        <v>Office Supplies</v>
      </c>
      <c r="Q858" t="s">
        <v>53</v>
      </c>
      <c r="R858" t="s">
        <v>3024</v>
      </c>
      <c r="S858" t="s">
        <v>65</v>
      </c>
      <c r="T858" t="str">
        <f>IF(TRIM(S858)="","Unknown",PROPER(TRIM(S858)))</f>
        <v>Standard Class</v>
      </c>
      <c r="U858">
        <v>6</v>
      </c>
      <c r="V858">
        <v>491.4</v>
      </c>
      <c r="W858">
        <v>0.25</v>
      </c>
      <c r="Y858">
        <v>0.25</v>
      </c>
      <c r="Z858">
        <v>2211.3000000000002</v>
      </c>
      <c r="AA858">
        <v>1735.64</v>
      </c>
      <c r="AB858">
        <v>475.66</v>
      </c>
      <c r="AC858" t="s">
        <v>33</v>
      </c>
      <c r="AD858" t="s">
        <v>34</v>
      </c>
      <c r="AE858">
        <f>ROUND((U858*V858)-(U858*V858*Y858),2)</f>
        <v>2211.3000000000002</v>
      </c>
      <c r="AF858">
        <f>AE858-AA858</f>
        <v>475.66000000000008</v>
      </c>
      <c r="AG858" s="7">
        <f>ROUND((AF858/AE858),4)</f>
        <v>0.21510000000000001</v>
      </c>
      <c r="AH858">
        <f>IF(AND(C858&lt;&gt;"",E858&lt;&gt;""),E858 - C858,"")</f>
        <v>2</v>
      </c>
      <c r="AI858" t="str">
        <f>IF(C858="","",TEXT(C858, "mmmm"))</f>
        <v>February</v>
      </c>
      <c r="AJ858">
        <f>IF(C858="","",YEAR(C858))</f>
        <v>2025</v>
      </c>
      <c r="AM858" t="str">
        <f>IF(AN858="","clean","")</f>
        <v>clean</v>
      </c>
      <c r="AN858" t="s">
        <v>3595</v>
      </c>
    </row>
    <row r="859" spans="1:40">
      <c r="A859" t="s">
        <v>3025</v>
      </c>
      <c r="B859" t="s">
        <v>4034</v>
      </c>
      <c r="C859" s="6">
        <v>45886</v>
      </c>
      <c r="D859" t="s">
        <v>1293</v>
      </c>
      <c r="E859" s="6">
        <v>45889</v>
      </c>
      <c r="F859" t="s">
        <v>3026</v>
      </c>
      <c r="G859" t="s">
        <v>39</v>
      </c>
      <c r="H859" t="s">
        <v>39</v>
      </c>
      <c r="I859" t="s">
        <v>110</v>
      </c>
      <c r="J859" t="s">
        <v>110</v>
      </c>
      <c r="K859" t="s">
        <v>26</v>
      </c>
      <c r="L859" t="str">
        <f>IF(TRIM(K859)="","Unknown",PROPER(TRIM(K859)))</f>
        <v>North</v>
      </c>
      <c r="M859" t="s">
        <v>146</v>
      </c>
      <c r="N859" t="s">
        <v>147</v>
      </c>
      <c r="O859" t="s">
        <v>29</v>
      </c>
      <c r="P859" t="str">
        <f>IF(TRIM(O859)="","Unknown",PROPER(TRIM(O859)))</f>
        <v>Office Supplies</v>
      </c>
      <c r="Q859" t="s">
        <v>184</v>
      </c>
      <c r="R859" t="s">
        <v>3027</v>
      </c>
      <c r="S859" t="s">
        <v>55</v>
      </c>
      <c r="T859" t="str">
        <f>IF(TRIM(S859)="","Unknown",PROPER(TRIM(S859)))</f>
        <v>First Class</v>
      </c>
      <c r="U859">
        <v>5</v>
      </c>
      <c r="V859">
        <v>2701.89</v>
      </c>
      <c r="W859">
        <v>0.1</v>
      </c>
      <c r="Y859">
        <v>0.1</v>
      </c>
      <c r="Z859">
        <v>12158.5</v>
      </c>
      <c r="AA859">
        <v>10260.07</v>
      </c>
      <c r="AB859">
        <v>1898.43</v>
      </c>
      <c r="AC859" t="s">
        <v>33</v>
      </c>
      <c r="AD859" t="s">
        <v>76</v>
      </c>
      <c r="AE859">
        <f>ROUND((U859*V859)-(U859*V859*Y859),2)</f>
        <v>12158.51</v>
      </c>
      <c r="AF859">
        <f>AE859-AA859</f>
        <v>1898.4400000000005</v>
      </c>
      <c r="AG859" s="7">
        <f>ROUND((AF859/AE859),4)</f>
        <v>0.15609999999999999</v>
      </c>
      <c r="AH859">
        <f>IF(AND(C859&lt;&gt;"",E859&lt;&gt;""),E859 - C859,"")</f>
        <v>3</v>
      </c>
      <c r="AI859" t="str">
        <f>IF(C859="","",TEXT(C859, "mmmm"))</f>
        <v>August</v>
      </c>
      <c r="AJ859">
        <f>IF(C859="","",YEAR(C859))</f>
        <v>2025</v>
      </c>
      <c r="AM859" t="str">
        <f>IF(AN859="","clean","")</f>
        <v>clean</v>
      </c>
    </row>
    <row r="860" spans="1:40">
      <c r="A860" t="s">
        <v>3032</v>
      </c>
      <c r="B860" t="s">
        <v>1184</v>
      </c>
      <c r="C860" s="6">
        <v>45661</v>
      </c>
      <c r="D860" t="s">
        <v>3033</v>
      </c>
      <c r="E860" s="6">
        <v>45667</v>
      </c>
      <c r="F860" t="s">
        <v>2680</v>
      </c>
      <c r="G860" t="s">
        <v>153</v>
      </c>
      <c r="H860" t="s">
        <v>153</v>
      </c>
      <c r="I860" t="s">
        <v>110</v>
      </c>
      <c r="J860" t="s">
        <v>110</v>
      </c>
      <c r="K860" t="s">
        <v>41</v>
      </c>
      <c r="L860" t="str">
        <f>IF(TRIM(K860)="","Unknown",PROPER(TRIM(K860)))</f>
        <v>East</v>
      </c>
      <c r="M860" t="s">
        <v>116</v>
      </c>
      <c r="N860" t="s">
        <v>117</v>
      </c>
      <c r="O860" t="s">
        <v>29</v>
      </c>
      <c r="P860" t="str">
        <f>IF(TRIM(O860)="","Unknown",PROPER(TRIM(O860)))</f>
        <v>Office Supplies</v>
      </c>
      <c r="Q860" t="s">
        <v>30</v>
      </c>
      <c r="R860" t="s">
        <v>3034</v>
      </c>
      <c r="S860" t="s">
        <v>65</v>
      </c>
      <c r="T860" t="str">
        <f>IF(TRIM(S860)="","Unknown",PROPER(TRIM(S860)))</f>
        <v>Standard Class</v>
      </c>
      <c r="U860">
        <v>4</v>
      </c>
      <c r="V860">
        <v>2583.19</v>
      </c>
      <c r="W860">
        <v>0.2</v>
      </c>
      <c r="Y860">
        <v>0.2</v>
      </c>
      <c r="Z860">
        <v>8266.2099999999991</v>
      </c>
      <c r="AA860">
        <v>6236.32</v>
      </c>
      <c r="AB860">
        <v>2029.89</v>
      </c>
      <c r="AC860" t="s">
        <v>33</v>
      </c>
      <c r="AD860" t="s">
        <v>34</v>
      </c>
      <c r="AE860">
        <f>ROUND((U860*V860)-(U860*V860*Y860),2)</f>
        <v>8266.2099999999991</v>
      </c>
      <c r="AF860">
        <f>AE860-AA860</f>
        <v>2029.8899999999994</v>
      </c>
      <c r="AG860" s="7">
        <f>ROUND((AF860/AE860),4)</f>
        <v>0.24560000000000001</v>
      </c>
      <c r="AH860">
        <f>IF(AND(C860&lt;&gt;"",E860&lt;&gt;""),E860 - C860,"")</f>
        <v>6</v>
      </c>
      <c r="AI860" t="str">
        <f>IF(C860="","",TEXT(C860, "mmmm"))</f>
        <v>January</v>
      </c>
      <c r="AJ860">
        <f>IF(C860="","",YEAR(C860))</f>
        <v>2025</v>
      </c>
      <c r="AM860" t="str">
        <f>IF(AN860="","clean","")</f>
        <v>clean</v>
      </c>
      <c r="AN860" t="s">
        <v>3595</v>
      </c>
    </row>
    <row r="861" spans="1:40">
      <c r="A861" t="s">
        <v>3047</v>
      </c>
      <c r="B861" t="s">
        <v>4039</v>
      </c>
      <c r="C861" s="6">
        <v>45810</v>
      </c>
      <c r="D861" t="s">
        <v>341</v>
      </c>
      <c r="E861" s="6">
        <v>45810</v>
      </c>
      <c r="F861" t="s">
        <v>3048</v>
      </c>
      <c r="G861" t="s">
        <v>153</v>
      </c>
      <c r="H861" t="s">
        <v>153</v>
      </c>
      <c r="I861" t="s">
        <v>110</v>
      </c>
      <c r="J861" t="s">
        <v>110</v>
      </c>
      <c r="K861" t="s">
        <v>60</v>
      </c>
      <c r="L861" t="str">
        <f>IF(TRIM(K861)="","Unknown",PROPER(TRIM(K861)))</f>
        <v>South</v>
      </c>
      <c r="M861" t="s">
        <v>61</v>
      </c>
      <c r="N861" t="s">
        <v>62</v>
      </c>
      <c r="O861" t="s">
        <v>83</v>
      </c>
      <c r="P861" t="str">
        <f>IF(TRIM(O861)="","Unknown",PROPER(TRIM(O861)))</f>
        <v>Technology</v>
      </c>
      <c r="Q861" t="s">
        <v>84</v>
      </c>
      <c r="R861" t="s">
        <v>3049</v>
      </c>
      <c r="S861" t="s">
        <v>55</v>
      </c>
      <c r="T861" t="str">
        <f>IF(TRIM(S861)="","Unknown",PROPER(TRIM(S861)))</f>
        <v>First Class</v>
      </c>
      <c r="U861">
        <v>8</v>
      </c>
      <c r="V861">
        <v>3925.93</v>
      </c>
      <c r="W861">
        <v>0.15</v>
      </c>
      <c r="Y861">
        <v>0.15</v>
      </c>
      <c r="Z861">
        <v>26696.32</v>
      </c>
      <c r="AA861">
        <v>22724.52</v>
      </c>
      <c r="AB861">
        <v>3971.8</v>
      </c>
      <c r="AC861" t="s">
        <v>33</v>
      </c>
      <c r="AD861" t="s">
        <v>34</v>
      </c>
      <c r="AE861">
        <f>ROUND((U861*V861)-(U861*V861*Y861),2)</f>
        <v>26696.32</v>
      </c>
      <c r="AF861">
        <f>AE861-AA861</f>
        <v>3971.7999999999993</v>
      </c>
      <c r="AG861" s="7">
        <f>ROUND((AF861/AE861),4)</f>
        <v>0.14879999999999999</v>
      </c>
      <c r="AH861">
        <f>IF(AND(C861&lt;&gt;"",E861&lt;&gt;""),E861 - C861,"")</f>
        <v>0</v>
      </c>
      <c r="AI861" t="str">
        <f>IF(C861="","",TEXT(C861, "mmmm"))</f>
        <v>June</v>
      </c>
      <c r="AJ861">
        <f>IF(C861="","",YEAR(C861))</f>
        <v>2025</v>
      </c>
      <c r="AM861" t="str">
        <f>IF(AN861="","clean","")</f>
        <v>clean</v>
      </c>
      <c r="AN861" t="s">
        <v>3595</v>
      </c>
    </row>
    <row r="862" spans="1:40">
      <c r="A862" t="s">
        <v>3050</v>
      </c>
      <c r="B862" t="s">
        <v>642</v>
      </c>
      <c r="C862" s="6">
        <v>45856</v>
      </c>
      <c r="D862" t="s">
        <v>3051</v>
      </c>
      <c r="E862" s="6">
        <v>45857</v>
      </c>
      <c r="F862" t="s">
        <v>3052</v>
      </c>
      <c r="G862" t="s">
        <v>136</v>
      </c>
      <c r="H862" t="s">
        <v>136</v>
      </c>
      <c r="I862" t="s">
        <v>110</v>
      </c>
      <c r="J862" t="s">
        <v>110</v>
      </c>
      <c r="L862" t="str">
        <f>IF(TRIM(K862)="","Unknown",PROPER(TRIM(K862)))</f>
        <v>Unknown</v>
      </c>
      <c r="M862" t="s">
        <v>163</v>
      </c>
      <c r="N862" t="s">
        <v>164</v>
      </c>
      <c r="O862" t="s">
        <v>83</v>
      </c>
      <c r="P862" t="str">
        <f>IF(TRIM(O862)="","Unknown",PROPER(TRIM(O862)))</f>
        <v>Technology</v>
      </c>
      <c r="Q862" t="s">
        <v>347</v>
      </c>
      <c r="R862" t="s">
        <v>3053</v>
      </c>
      <c r="T862" t="str">
        <f>IF(TRIM(S862)="","Unknown",PROPER(TRIM(S862)))</f>
        <v>Unknown</v>
      </c>
      <c r="U862">
        <v>3</v>
      </c>
      <c r="V862">
        <v>2963.25</v>
      </c>
      <c r="W862">
        <v>0.05</v>
      </c>
      <c r="Y862">
        <v>0.05</v>
      </c>
      <c r="Z862">
        <v>8445.26</v>
      </c>
      <c r="AA862">
        <v>6937.6</v>
      </c>
      <c r="AB862">
        <v>1507.66</v>
      </c>
      <c r="AC862" t="s">
        <v>33</v>
      </c>
      <c r="AD862" t="s">
        <v>34</v>
      </c>
      <c r="AE862">
        <f>ROUND((U862*V862)-(U862*V862*Y862),2)</f>
        <v>8445.26</v>
      </c>
      <c r="AF862">
        <f>AE862-AA862</f>
        <v>1507.6599999999999</v>
      </c>
      <c r="AG862" s="7">
        <f>ROUND((AF862/AE862),4)</f>
        <v>0.17849999999999999</v>
      </c>
      <c r="AH862">
        <f>IF(AND(C862&lt;&gt;"",E862&lt;&gt;""),E862 - C862,"")</f>
        <v>1</v>
      </c>
      <c r="AI862" t="str">
        <f>IF(C862="","",TEXT(C862, "mmmm"))</f>
        <v>July</v>
      </c>
      <c r="AJ862">
        <f>IF(C862="","",YEAR(C862))</f>
        <v>2025</v>
      </c>
      <c r="AM862" t="s">
        <v>4145</v>
      </c>
      <c r="AN862" t="s">
        <v>3601</v>
      </c>
    </row>
    <row r="863" spans="1:40">
      <c r="A863" t="s">
        <v>3060</v>
      </c>
      <c r="B863" t="s">
        <v>3061</v>
      </c>
      <c r="C863" s="6">
        <v>45812</v>
      </c>
      <c r="D863" t="s">
        <v>3061</v>
      </c>
      <c r="E863" s="6">
        <v>45812</v>
      </c>
      <c r="F863" t="s">
        <v>3062</v>
      </c>
      <c r="G863" t="s">
        <v>90</v>
      </c>
      <c r="H863" t="s">
        <v>90</v>
      </c>
      <c r="I863" t="s">
        <v>104</v>
      </c>
      <c r="J863" t="s">
        <v>104</v>
      </c>
      <c r="K863" t="s">
        <v>60</v>
      </c>
      <c r="L863" t="str">
        <f>IF(TRIM(K863)="","Unknown",PROPER(TRIM(K863)))</f>
        <v>South</v>
      </c>
      <c r="M863" t="s">
        <v>224</v>
      </c>
      <c r="N863" t="s">
        <v>225</v>
      </c>
      <c r="O863" t="s">
        <v>29</v>
      </c>
      <c r="P863" t="str">
        <f>IF(TRIM(O863)="","Unknown",PROPER(TRIM(O863)))</f>
        <v>Office Supplies</v>
      </c>
      <c r="Q863" t="s">
        <v>148</v>
      </c>
      <c r="R863" t="s">
        <v>3063</v>
      </c>
      <c r="S863" t="s">
        <v>65</v>
      </c>
      <c r="T863" t="str">
        <f>IF(TRIM(S863)="","Unknown",PROPER(TRIM(S863)))</f>
        <v>Standard Class</v>
      </c>
      <c r="U863">
        <v>4</v>
      </c>
      <c r="V863">
        <v>891.34</v>
      </c>
      <c r="W863">
        <v>0.25</v>
      </c>
      <c r="Y863">
        <v>0.25</v>
      </c>
      <c r="Z863">
        <v>2674.02</v>
      </c>
      <c r="AA863">
        <v>2207.5700000000002</v>
      </c>
      <c r="AB863">
        <v>466.45</v>
      </c>
      <c r="AC863" t="s">
        <v>33</v>
      </c>
      <c r="AD863" t="s">
        <v>34</v>
      </c>
      <c r="AE863">
        <f>ROUND((U863*V863)-(U863*V863*Y863),2)</f>
        <v>2674.02</v>
      </c>
      <c r="AF863">
        <f>AE863-AA863</f>
        <v>466.44999999999982</v>
      </c>
      <c r="AG863" s="7">
        <f>ROUND((AF863/AE863),4)</f>
        <v>0.1744</v>
      </c>
      <c r="AH863">
        <f>IF(AND(C863&lt;&gt;"",E863&lt;&gt;""),E863 - C863,"")</f>
        <v>0</v>
      </c>
      <c r="AI863" t="str">
        <f>IF(C863="","",TEXT(C863, "mmmm"))</f>
        <v>June</v>
      </c>
      <c r="AJ863">
        <f>IF(C863="","",YEAR(C863))</f>
        <v>2025</v>
      </c>
      <c r="AM863" t="str">
        <f>IF(AN863="","clean","")</f>
        <v>clean</v>
      </c>
      <c r="AN863" t="s">
        <v>3595</v>
      </c>
    </row>
    <row r="864" spans="1:40">
      <c r="A864" t="s">
        <v>3064</v>
      </c>
      <c r="B864" t="s">
        <v>3730</v>
      </c>
      <c r="D864" t="s">
        <v>1519</v>
      </c>
      <c r="F864" t="s">
        <v>3065</v>
      </c>
      <c r="G864" t="s">
        <v>136</v>
      </c>
      <c r="H864" t="s">
        <v>136</v>
      </c>
      <c r="I864" t="s">
        <v>110</v>
      </c>
      <c r="J864" t="s">
        <v>110</v>
      </c>
      <c r="K864" t="s">
        <v>71</v>
      </c>
      <c r="L864" t="str">
        <f>IF(TRIM(K864)="","Unknown",PROPER(TRIM(K864)))</f>
        <v>West</v>
      </c>
      <c r="M864" t="s">
        <v>81</v>
      </c>
      <c r="N864" t="s">
        <v>82</v>
      </c>
      <c r="O864" t="s">
        <v>29</v>
      </c>
      <c r="P864" t="str">
        <f>IF(TRIM(O864)="","Unknown",PROPER(TRIM(O864)))</f>
        <v>Office Supplies</v>
      </c>
      <c r="Q864" t="s">
        <v>148</v>
      </c>
      <c r="R864" t="s">
        <v>3066</v>
      </c>
      <c r="S864" t="s">
        <v>32</v>
      </c>
      <c r="T864" t="str">
        <f>IF(TRIM(S864)="","Unknown",PROPER(TRIM(S864)))</f>
        <v>Second Class</v>
      </c>
      <c r="U864">
        <v>5</v>
      </c>
      <c r="V864">
        <v>2481.7399999999998</v>
      </c>
      <c r="W864">
        <v>0.2</v>
      </c>
      <c r="Y864">
        <v>0.2</v>
      </c>
      <c r="Z864">
        <v>9926.9599999999991</v>
      </c>
      <c r="AA864">
        <v>7994.98</v>
      </c>
      <c r="AB864">
        <v>1931.98</v>
      </c>
      <c r="AC864" t="s">
        <v>33</v>
      </c>
      <c r="AD864" t="s">
        <v>34</v>
      </c>
      <c r="AE864">
        <f>ROUND((U864*V864)-(U864*V864*Y864),2)</f>
        <v>9926.9599999999991</v>
      </c>
      <c r="AF864">
        <f>AE864-AA864</f>
        <v>1931.9799999999996</v>
      </c>
      <c r="AG864" s="7">
        <f>ROUND((AF864/AE864),4)</f>
        <v>0.1946</v>
      </c>
      <c r="AH864" t="str">
        <f>IF(AND(C864&lt;&gt;"",E864&lt;&gt;""),E864 - C864,"")</f>
        <v/>
      </c>
      <c r="AI864" t="str">
        <f>IF(C864="","",TEXT(C864, "mmmm"))</f>
        <v/>
      </c>
      <c r="AJ864" t="str">
        <f>IF(C864="","",YEAR(C864))</f>
        <v/>
      </c>
      <c r="AM864" t="s">
        <v>4144</v>
      </c>
      <c r="AN864" t="s">
        <v>4123</v>
      </c>
    </row>
    <row r="865" spans="1:40">
      <c r="A865" t="s">
        <v>3071</v>
      </c>
      <c r="B865" t="s">
        <v>4041</v>
      </c>
      <c r="C865" s="6">
        <v>45870</v>
      </c>
      <c r="D865" t="s">
        <v>3072</v>
      </c>
      <c r="E865" s="6">
        <v>45872</v>
      </c>
      <c r="F865" t="s">
        <v>3073</v>
      </c>
      <c r="G865" t="s">
        <v>103</v>
      </c>
      <c r="H865" t="s">
        <v>103</v>
      </c>
      <c r="I865" t="s">
        <v>40</v>
      </c>
      <c r="J865" t="s">
        <v>40</v>
      </c>
      <c r="K865" t="s">
        <v>60</v>
      </c>
      <c r="L865" t="str">
        <f>IF(TRIM(K865)="","Unknown",PROPER(TRIM(K865)))</f>
        <v>South</v>
      </c>
      <c r="M865" t="s">
        <v>224</v>
      </c>
      <c r="N865" t="s">
        <v>225</v>
      </c>
      <c r="O865" t="s">
        <v>44</v>
      </c>
      <c r="P865" t="str">
        <f>IF(TRIM(O865)="","Unknown",PROPER(TRIM(O865)))</f>
        <v>Furniture</v>
      </c>
      <c r="Q865" t="s">
        <v>190</v>
      </c>
      <c r="R865" t="s">
        <v>3074</v>
      </c>
      <c r="S865" t="s">
        <v>65</v>
      </c>
      <c r="T865" t="str">
        <f>IF(TRIM(S865)="","Unknown",PROPER(TRIM(S865)))</f>
        <v>Standard Class</v>
      </c>
      <c r="U865">
        <v>3</v>
      </c>
      <c r="V865">
        <v>1904.78</v>
      </c>
      <c r="W865">
        <v>0.25</v>
      </c>
      <c r="Y865">
        <v>0.25</v>
      </c>
      <c r="Z865">
        <v>4285.76</v>
      </c>
      <c r="AA865">
        <v>2386.33</v>
      </c>
      <c r="AB865">
        <v>1899.43</v>
      </c>
      <c r="AC865" t="s">
        <v>186</v>
      </c>
      <c r="AD865" t="s">
        <v>76</v>
      </c>
      <c r="AE865">
        <f>ROUND((U865*V865)-(U865*V865*Y865),2)</f>
        <v>4285.76</v>
      </c>
      <c r="AF865">
        <f>AE865-AA865</f>
        <v>1899.4300000000003</v>
      </c>
      <c r="AG865" s="7">
        <f>ROUND((AF865/AE865),4)</f>
        <v>0.44319999999999998</v>
      </c>
      <c r="AH865">
        <f>IF(AND(C865&lt;&gt;"",E865&lt;&gt;""),E865 - C865,"")</f>
        <v>2</v>
      </c>
      <c r="AI865" t="str">
        <f>IF(C865="","",TEXT(C865, "mmmm"))</f>
        <v>August</v>
      </c>
      <c r="AJ865">
        <f>IF(C865="","",YEAR(C865))</f>
        <v>2025</v>
      </c>
      <c r="AM865" t="str">
        <f>IF(AN865="","clean","")</f>
        <v>clean</v>
      </c>
      <c r="AN865" t="s">
        <v>3595</v>
      </c>
    </row>
    <row r="866" spans="1:40">
      <c r="A866" t="s">
        <v>3085</v>
      </c>
      <c r="B866" t="s">
        <v>410</v>
      </c>
      <c r="C866" s="6">
        <v>45896</v>
      </c>
      <c r="D866" t="s">
        <v>3086</v>
      </c>
      <c r="E866" s="6">
        <v>45900</v>
      </c>
      <c r="F866" t="s">
        <v>3087</v>
      </c>
      <c r="G866" t="s">
        <v>52</v>
      </c>
      <c r="H866" t="s">
        <v>52</v>
      </c>
      <c r="I866" t="s">
        <v>25</v>
      </c>
      <c r="J866" t="s">
        <v>25</v>
      </c>
      <c r="K866" t="s">
        <v>60</v>
      </c>
      <c r="L866" t="str">
        <f>IF(TRIM(K866)="","Unknown",PROPER(TRIM(K866)))</f>
        <v>South</v>
      </c>
      <c r="M866" t="s">
        <v>212</v>
      </c>
      <c r="N866" t="s">
        <v>213</v>
      </c>
      <c r="O866" t="s">
        <v>83</v>
      </c>
      <c r="P866" t="str">
        <f>IF(TRIM(O866)="","Unknown",PROPER(TRIM(O866)))</f>
        <v>Technology</v>
      </c>
      <c r="Q866" t="s">
        <v>347</v>
      </c>
      <c r="R866" t="s">
        <v>3088</v>
      </c>
      <c r="S866" t="s">
        <v>55</v>
      </c>
      <c r="T866" t="str">
        <f>IF(TRIM(S866)="","Unknown",PROPER(TRIM(S866)))</f>
        <v>First Class</v>
      </c>
      <c r="U866">
        <v>3</v>
      </c>
      <c r="V866">
        <v>2489.12</v>
      </c>
      <c r="W866">
        <v>0</v>
      </c>
      <c r="Y866">
        <v>0</v>
      </c>
      <c r="Z866">
        <v>7467.36</v>
      </c>
      <c r="AA866">
        <v>5010.6099999999997</v>
      </c>
      <c r="AB866">
        <v>2456.75</v>
      </c>
      <c r="AC866" t="s">
        <v>33</v>
      </c>
      <c r="AD866" t="s">
        <v>34</v>
      </c>
      <c r="AE866">
        <f>ROUND((U866*V866)-(U866*V866*Y866),2)</f>
        <v>7467.36</v>
      </c>
      <c r="AF866">
        <f>AE866-AA866</f>
        <v>2456.75</v>
      </c>
      <c r="AG866" s="7">
        <f>ROUND((AF866/AE866),4)</f>
        <v>0.32900000000000001</v>
      </c>
      <c r="AH866">
        <f>IF(AND(C866&lt;&gt;"",E866&lt;&gt;""),E866 - C866,"")</f>
        <v>4</v>
      </c>
      <c r="AI866" t="str">
        <f>IF(C866="","",TEXT(C866, "mmmm"))</f>
        <v>August</v>
      </c>
      <c r="AJ866">
        <f>IF(C866="","",YEAR(C866))</f>
        <v>2025</v>
      </c>
      <c r="AM866" t="str">
        <f>IF(AN866="","clean","")</f>
        <v>clean</v>
      </c>
      <c r="AN866" t="s">
        <v>3595</v>
      </c>
    </row>
    <row r="867" spans="1:40">
      <c r="A867" t="s">
        <v>3093</v>
      </c>
      <c r="B867" t="s">
        <v>4045</v>
      </c>
      <c r="C867" s="6">
        <v>45892</v>
      </c>
      <c r="D867" t="s">
        <v>3094</v>
      </c>
      <c r="E867" s="6">
        <v>45894</v>
      </c>
      <c r="F867" t="s">
        <v>3095</v>
      </c>
      <c r="G867" t="s">
        <v>196</v>
      </c>
      <c r="H867" t="s">
        <v>196</v>
      </c>
      <c r="I867" t="s">
        <v>25</v>
      </c>
      <c r="J867" t="s">
        <v>25</v>
      </c>
      <c r="K867" t="s">
        <v>26</v>
      </c>
      <c r="L867" t="str">
        <f>IF(TRIM(K867)="","Unknown",PROPER(TRIM(K867)))</f>
        <v>North</v>
      </c>
      <c r="M867" t="s">
        <v>27</v>
      </c>
      <c r="N867" t="s">
        <v>28</v>
      </c>
      <c r="O867" t="s">
        <v>44</v>
      </c>
      <c r="P867" t="str">
        <f>IF(TRIM(O867)="","Unknown",PROPER(TRIM(O867)))</f>
        <v>Furniture</v>
      </c>
      <c r="Q867" t="s">
        <v>63</v>
      </c>
      <c r="R867" t="s">
        <v>3096</v>
      </c>
      <c r="S867" t="s">
        <v>47</v>
      </c>
      <c r="T867" t="str">
        <f>IF(TRIM(S867)="","Unknown",PROPER(TRIM(S867)))</f>
        <v>Same Day</v>
      </c>
      <c r="U867">
        <v>6</v>
      </c>
      <c r="V867">
        <v>2742.48</v>
      </c>
      <c r="W867">
        <v>0</v>
      </c>
      <c r="Y867">
        <v>0</v>
      </c>
      <c r="Z867">
        <v>16454.88</v>
      </c>
      <c r="AA867">
        <v>12081.54</v>
      </c>
      <c r="AB867">
        <v>4373.34</v>
      </c>
      <c r="AC867" t="s">
        <v>33</v>
      </c>
      <c r="AD867" t="s">
        <v>34</v>
      </c>
      <c r="AE867">
        <f>ROUND((U867*V867)-(U867*V867*Y867),2)</f>
        <v>16454.88</v>
      </c>
      <c r="AF867">
        <f>AE867-AA867</f>
        <v>4373.34</v>
      </c>
      <c r="AG867" s="7">
        <f>ROUND((AF867/AE867),4)</f>
        <v>0.26579999999999998</v>
      </c>
      <c r="AH867">
        <f>IF(AND(C867&lt;&gt;"",E867&lt;&gt;""),E867 - C867,"")</f>
        <v>2</v>
      </c>
      <c r="AI867" t="str">
        <f>IF(C867="","",TEXT(C867, "mmmm"))</f>
        <v>August</v>
      </c>
      <c r="AJ867">
        <f>IF(C867="","",YEAR(C867))</f>
        <v>2025</v>
      </c>
      <c r="AM867" t="str">
        <f>IF(AN867="","clean","")</f>
        <v>clean</v>
      </c>
      <c r="AN867" t="s">
        <v>3595</v>
      </c>
    </row>
    <row r="868" spans="1:40">
      <c r="A868" t="s">
        <v>3097</v>
      </c>
      <c r="B868" t="s">
        <v>1639</v>
      </c>
      <c r="C868" s="6">
        <v>45760</v>
      </c>
      <c r="D868" t="s">
        <v>2558</v>
      </c>
      <c r="E868" s="6">
        <v>45760</v>
      </c>
      <c r="F868" t="s">
        <v>1189</v>
      </c>
      <c r="G868" t="s">
        <v>136</v>
      </c>
      <c r="H868" t="s">
        <v>136</v>
      </c>
      <c r="I868" t="s">
        <v>104</v>
      </c>
      <c r="J868" t="s">
        <v>104</v>
      </c>
      <c r="K868" t="s">
        <v>60</v>
      </c>
      <c r="L868" t="str">
        <f>IF(TRIM(K868)="","Unknown",PROPER(TRIM(K868)))</f>
        <v>South</v>
      </c>
      <c r="M868" t="s">
        <v>224</v>
      </c>
      <c r="N868" t="s">
        <v>225</v>
      </c>
      <c r="O868" t="s">
        <v>44</v>
      </c>
      <c r="P868" t="str">
        <f>IF(TRIM(O868)="","Unknown",PROPER(TRIM(O868)))</f>
        <v>Furniture</v>
      </c>
      <c r="Q868" t="s">
        <v>190</v>
      </c>
      <c r="R868" t="s">
        <v>3098</v>
      </c>
      <c r="S868" t="s">
        <v>55</v>
      </c>
      <c r="T868" t="str">
        <f>IF(TRIM(S868)="","Unknown",PROPER(TRIM(S868)))</f>
        <v>First Class</v>
      </c>
      <c r="U868">
        <v>6</v>
      </c>
      <c r="V868">
        <v>4414</v>
      </c>
      <c r="W868">
        <v>0.05</v>
      </c>
      <c r="Y868">
        <v>0.05</v>
      </c>
      <c r="Z868">
        <v>25159.8</v>
      </c>
      <c r="AA868">
        <v>21606.83</v>
      </c>
      <c r="AB868">
        <v>3552.97</v>
      </c>
      <c r="AC868" t="s">
        <v>33</v>
      </c>
      <c r="AD868" t="s">
        <v>34</v>
      </c>
      <c r="AE868">
        <f>ROUND((U868*V868)-(U868*V868*Y868),2)</f>
        <v>25159.8</v>
      </c>
      <c r="AF868">
        <f>AE868-AA868</f>
        <v>3552.9699999999975</v>
      </c>
      <c r="AG868" s="7">
        <f>ROUND((AF868/AE868),4)</f>
        <v>0.14119999999999999</v>
      </c>
      <c r="AH868">
        <f>IF(AND(C868&lt;&gt;"",E868&lt;&gt;""),E868 - C868,"")</f>
        <v>0</v>
      </c>
      <c r="AI868" t="str">
        <f>IF(C868="","",TEXT(C868, "mmmm"))</f>
        <v>April</v>
      </c>
      <c r="AJ868">
        <f>IF(C868="","",YEAR(C868))</f>
        <v>2025</v>
      </c>
      <c r="AM868" t="str">
        <f>IF(AN868="","clean","")</f>
        <v>clean</v>
      </c>
      <c r="AN868" t="s">
        <v>3595</v>
      </c>
    </row>
    <row r="869" spans="1:40">
      <c r="A869" t="s">
        <v>3099</v>
      </c>
      <c r="B869" t="s">
        <v>4046</v>
      </c>
      <c r="D869" t="s">
        <v>3100</v>
      </c>
      <c r="E869" s="6">
        <v>45841</v>
      </c>
      <c r="F869" t="s">
        <v>3101</v>
      </c>
      <c r="G869" t="s">
        <v>80</v>
      </c>
      <c r="H869" t="s">
        <v>80</v>
      </c>
      <c r="I869" t="s">
        <v>104</v>
      </c>
      <c r="J869" t="s">
        <v>104</v>
      </c>
      <c r="K869" t="s">
        <v>41</v>
      </c>
      <c r="L869" t="str">
        <f>IF(TRIM(K869)="","Unknown",PROPER(TRIM(K869)))</f>
        <v>East</v>
      </c>
      <c r="M869" t="s">
        <v>284</v>
      </c>
      <c r="N869" t="s">
        <v>285</v>
      </c>
      <c r="O869" t="s">
        <v>29</v>
      </c>
      <c r="P869" t="str">
        <f>IF(TRIM(O869)="","Unknown",PROPER(TRIM(O869)))</f>
        <v>Office Supplies</v>
      </c>
      <c r="Q869" t="s">
        <v>105</v>
      </c>
      <c r="R869" t="s">
        <v>3102</v>
      </c>
      <c r="S869" t="s">
        <v>55</v>
      </c>
      <c r="T869" t="str">
        <f>IF(TRIM(S869)="","Unknown",PROPER(TRIM(S869)))</f>
        <v>First Class</v>
      </c>
      <c r="U869">
        <v>3</v>
      </c>
      <c r="V869">
        <v>608.14</v>
      </c>
      <c r="W869">
        <v>0</v>
      </c>
      <c r="Y869">
        <v>0</v>
      </c>
      <c r="Z869">
        <v>1824.42</v>
      </c>
      <c r="AA869">
        <v>1214.8699999999999</v>
      </c>
      <c r="AB869">
        <v>609.54999999999995</v>
      </c>
      <c r="AC869" t="s">
        <v>33</v>
      </c>
      <c r="AD869" t="s">
        <v>34</v>
      </c>
      <c r="AE869">
        <f>ROUND((U869*V869)-(U869*V869*Y869),2)</f>
        <v>1824.42</v>
      </c>
      <c r="AF869">
        <f>AE869-AA869</f>
        <v>609.55000000000018</v>
      </c>
      <c r="AG869" s="7">
        <f>ROUND((AF869/AE869),4)</f>
        <v>0.33410000000000001</v>
      </c>
      <c r="AH869" t="str">
        <f>IF(AND(C869&lt;&gt;"",E869&lt;&gt;""),E869 - C869,"")</f>
        <v/>
      </c>
      <c r="AI869" t="str">
        <f>IF(C869="","",TEXT(C869, "mmmm"))</f>
        <v/>
      </c>
      <c r="AJ869" t="str">
        <f>IF(C869="","",YEAR(C869))</f>
        <v/>
      </c>
      <c r="AM869" t="s">
        <v>4144</v>
      </c>
      <c r="AN869" t="s">
        <v>4127</v>
      </c>
    </row>
    <row r="870" spans="1:40">
      <c r="A870" t="s">
        <v>3109</v>
      </c>
      <c r="B870" t="s">
        <v>1595</v>
      </c>
      <c r="C870" s="6">
        <v>45749</v>
      </c>
      <c r="D870" t="s">
        <v>3110</v>
      </c>
      <c r="E870" s="6">
        <v>45751</v>
      </c>
      <c r="F870" t="s">
        <v>3111</v>
      </c>
      <c r="G870" t="s">
        <v>158</v>
      </c>
      <c r="H870" t="s">
        <v>158</v>
      </c>
      <c r="I870" t="s">
        <v>110</v>
      </c>
      <c r="J870" t="s">
        <v>110</v>
      </c>
      <c r="K870" t="s">
        <v>41</v>
      </c>
      <c r="L870" t="str">
        <f>IF(TRIM(K870)="","Unknown",PROPER(TRIM(K870)))</f>
        <v>East</v>
      </c>
      <c r="M870" t="s">
        <v>284</v>
      </c>
      <c r="N870" t="s">
        <v>285</v>
      </c>
      <c r="O870" t="s">
        <v>29</v>
      </c>
      <c r="P870" t="str">
        <f>IF(TRIM(O870)="","Unknown",PROPER(TRIM(O870)))</f>
        <v>Office Supplies</v>
      </c>
      <c r="Q870" t="s">
        <v>30</v>
      </c>
      <c r="R870" t="s">
        <v>3112</v>
      </c>
      <c r="S870" t="s">
        <v>47</v>
      </c>
      <c r="T870" t="str">
        <f>IF(TRIM(S870)="","Unknown",PROPER(TRIM(S870)))</f>
        <v>Same Day</v>
      </c>
      <c r="U870">
        <v>5</v>
      </c>
      <c r="V870">
        <v>3234.24</v>
      </c>
      <c r="W870">
        <v>0.1</v>
      </c>
      <c r="Y870">
        <v>0.1</v>
      </c>
      <c r="Z870">
        <v>14554.08</v>
      </c>
      <c r="AA870">
        <v>11166.84</v>
      </c>
      <c r="AB870">
        <v>3387.24</v>
      </c>
      <c r="AC870" t="s">
        <v>33</v>
      </c>
      <c r="AD870" t="s">
        <v>34</v>
      </c>
      <c r="AE870">
        <f>ROUND((U870*V870)-(U870*V870*Y870),2)</f>
        <v>14554.08</v>
      </c>
      <c r="AF870">
        <f>AE870-AA870</f>
        <v>3387.24</v>
      </c>
      <c r="AG870" s="7">
        <f>ROUND((AF870/AE870),4)</f>
        <v>0.23269999999999999</v>
      </c>
      <c r="AH870">
        <f>IF(AND(C870&lt;&gt;"",E870&lt;&gt;""),E870 - C870,"")</f>
        <v>2</v>
      </c>
      <c r="AI870" t="str">
        <f>IF(C870="","",TEXT(C870, "mmmm"))</f>
        <v>April</v>
      </c>
      <c r="AJ870">
        <f>IF(C870="","",YEAR(C870))</f>
        <v>2025</v>
      </c>
      <c r="AM870" t="str">
        <f>IF(AN870="","clean","")</f>
        <v>clean</v>
      </c>
      <c r="AN870" t="s">
        <v>3595</v>
      </c>
    </row>
    <row r="871" spans="1:40">
      <c r="A871" t="s">
        <v>3121</v>
      </c>
      <c r="B871" t="s">
        <v>3613</v>
      </c>
      <c r="C871" s="6">
        <v>45853</v>
      </c>
      <c r="D871" t="s">
        <v>1384</v>
      </c>
      <c r="E871" s="6">
        <v>45857</v>
      </c>
      <c r="F871" t="s">
        <v>3122</v>
      </c>
      <c r="G871" t="s">
        <v>196</v>
      </c>
      <c r="H871" t="s">
        <v>196</v>
      </c>
      <c r="I871" t="s">
        <v>25</v>
      </c>
      <c r="J871" t="s">
        <v>25</v>
      </c>
      <c r="K871" t="s">
        <v>60</v>
      </c>
      <c r="L871" t="str">
        <f>IF(TRIM(K871)="","Unknown",PROPER(TRIM(K871)))</f>
        <v>South</v>
      </c>
      <c r="M871" t="s">
        <v>309</v>
      </c>
      <c r="N871" t="s">
        <v>310</v>
      </c>
      <c r="O871" t="s">
        <v>44</v>
      </c>
      <c r="P871" t="str">
        <f>IF(TRIM(O871)="","Unknown",PROPER(TRIM(O871)))</f>
        <v>Furniture</v>
      </c>
      <c r="Q871" t="s">
        <v>74</v>
      </c>
      <c r="R871" t="s">
        <v>3123</v>
      </c>
      <c r="S871" t="s">
        <v>47</v>
      </c>
      <c r="T871" t="str">
        <f>IF(TRIM(S871)="","Unknown",PROPER(TRIM(S871)))</f>
        <v>Same Day</v>
      </c>
      <c r="U871">
        <v>1</v>
      </c>
      <c r="V871">
        <v>3903.22</v>
      </c>
      <c r="W871">
        <v>0.05</v>
      </c>
      <c r="Y871">
        <v>0.05</v>
      </c>
      <c r="Z871">
        <v>3708.06</v>
      </c>
      <c r="AA871">
        <v>2760.29</v>
      </c>
      <c r="AB871">
        <v>947.77</v>
      </c>
      <c r="AC871" t="s">
        <v>131</v>
      </c>
      <c r="AD871" t="s">
        <v>76</v>
      </c>
      <c r="AE871">
        <f>ROUND((U871*V871)-(U871*V871*Y871),2)</f>
        <v>3708.06</v>
      </c>
      <c r="AF871">
        <f>AE871-AA871</f>
        <v>947.77</v>
      </c>
      <c r="AG871" s="7">
        <f>ROUND((AF871/AE871),4)</f>
        <v>0.25559999999999999</v>
      </c>
      <c r="AH871">
        <f>IF(AND(C871&lt;&gt;"",E871&lt;&gt;""),E871 - C871,"")</f>
        <v>4</v>
      </c>
      <c r="AI871" t="str">
        <f>IF(C871="","",TEXT(C871, "mmmm"))</f>
        <v>July</v>
      </c>
      <c r="AJ871">
        <f>IF(C871="","",YEAR(C871))</f>
        <v>2025</v>
      </c>
      <c r="AM871" t="str">
        <f>IF(AN871="","clean","")</f>
        <v>clean</v>
      </c>
      <c r="AN871" t="s">
        <v>3595</v>
      </c>
    </row>
    <row r="872" spans="1:40">
      <c r="A872" t="s">
        <v>3124</v>
      </c>
      <c r="B872" t="s">
        <v>4051</v>
      </c>
      <c r="C872" s="6">
        <v>45709</v>
      </c>
      <c r="D872" t="s">
        <v>3125</v>
      </c>
      <c r="E872" s="6">
        <v>45709</v>
      </c>
      <c r="F872" t="s">
        <v>3126</v>
      </c>
      <c r="G872" t="s">
        <v>24</v>
      </c>
      <c r="H872" t="s">
        <v>24</v>
      </c>
      <c r="I872" t="s">
        <v>110</v>
      </c>
      <c r="J872" t="s">
        <v>110</v>
      </c>
      <c r="K872" t="s">
        <v>71</v>
      </c>
      <c r="L872" t="str">
        <f>IF(TRIM(K872)="","Unknown",PROPER(TRIM(K872)))</f>
        <v>West</v>
      </c>
      <c r="M872" t="s">
        <v>218</v>
      </c>
      <c r="N872" t="s">
        <v>219</v>
      </c>
      <c r="O872" t="s">
        <v>83</v>
      </c>
      <c r="P872" t="str">
        <f>IF(TRIM(O872)="","Unknown",PROPER(TRIM(O872)))</f>
        <v>Technology</v>
      </c>
      <c r="Q872" t="s">
        <v>207</v>
      </c>
      <c r="R872" t="s">
        <v>3127</v>
      </c>
      <c r="T872" t="str">
        <f>IF(TRIM(S872)="","Unknown",PROPER(TRIM(S872)))</f>
        <v>Unknown</v>
      </c>
      <c r="U872">
        <v>4</v>
      </c>
      <c r="V872">
        <v>2945.07</v>
      </c>
      <c r="W872">
        <v>0.2</v>
      </c>
      <c r="Y872">
        <v>0.2</v>
      </c>
      <c r="Z872">
        <v>9424.2199999999993</v>
      </c>
      <c r="AA872">
        <v>6178.92</v>
      </c>
      <c r="AB872">
        <v>3245.3</v>
      </c>
      <c r="AC872" t="s">
        <v>33</v>
      </c>
      <c r="AD872" t="s">
        <v>34</v>
      </c>
      <c r="AE872">
        <f>ROUND((U872*V872)-(U872*V872*Y872),2)</f>
        <v>9424.2199999999993</v>
      </c>
      <c r="AF872">
        <f>AE872-AA872</f>
        <v>3245.2999999999993</v>
      </c>
      <c r="AG872" s="7">
        <f>ROUND((AF872/AE872),4)</f>
        <v>0.34439999999999998</v>
      </c>
      <c r="AH872">
        <f>IF(AND(C872&lt;&gt;"",E872&lt;&gt;""),E872 - C872,"")</f>
        <v>0</v>
      </c>
      <c r="AI872" t="str">
        <f>IF(C872="","",TEXT(C872, "mmmm"))</f>
        <v>February</v>
      </c>
      <c r="AJ872">
        <f>IF(C872="","",YEAR(C872))</f>
        <v>2025</v>
      </c>
      <c r="AM872" t="s">
        <v>4145</v>
      </c>
      <c r="AN872" t="s">
        <v>3600</v>
      </c>
    </row>
    <row r="873" spans="1:40">
      <c r="A873" t="s">
        <v>3128</v>
      </c>
      <c r="B873" t="s">
        <v>3129</v>
      </c>
      <c r="C873" s="6">
        <v>45876</v>
      </c>
      <c r="D873" t="s">
        <v>1583</v>
      </c>
      <c r="E873" s="6">
        <v>45876</v>
      </c>
      <c r="F873" t="s">
        <v>3130</v>
      </c>
      <c r="G873" t="s">
        <v>334</v>
      </c>
      <c r="H873" t="s">
        <v>334</v>
      </c>
      <c r="I873" t="s">
        <v>25</v>
      </c>
      <c r="J873" t="s">
        <v>25</v>
      </c>
      <c r="K873" t="s">
        <v>71</v>
      </c>
      <c r="L873" t="str">
        <f>IF(TRIM(K873)="","Unknown",PROPER(TRIM(K873)))</f>
        <v>West</v>
      </c>
      <c r="M873" t="s">
        <v>27</v>
      </c>
      <c r="N873" t="s">
        <v>129</v>
      </c>
      <c r="O873" t="s">
        <v>83</v>
      </c>
      <c r="P873" t="str">
        <f>IF(TRIM(O873)="","Unknown",PROPER(TRIM(O873)))</f>
        <v>Technology</v>
      </c>
      <c r="Q873" t="s">
        <v>347</v>
      </c>
      <c r="R873" t="s">
        <v>3131</v>
      </c>
      <c r="T873" t="str">
        <f>IF(TRIM(S873)="","Unknown",PROPER(TRIM(S873)))</f>
        <v>Unknown</v>
      </c>
      <c r="U873">
        <v>9</v>
      </c>
      <c r="V873">
        <v>1076.75</v>
      </c>
      <c r="W873">
        <v>0.2</v>
      </c>
      <c r="Y873">
        <v>0.2</v>
      </c>
      <c r="Z873">
        <v>7752.6</v>
      </c>
      <c r="AA873">
        <v>4689.3</v>
      </c>
      <c r="AB873">
        <v>3063.3</v>
      </c>
      <c r="AC873" t="s">
        <v>33</v>
      </c>
      <c r="AD873" t="s">
        <v>34</v>
      </c>
      <c r="AE873">
        <f>ROUND((U873*V873)-(U873*V873*Y873),2)</f>
        <v>7752.6</v>
      </c>
      <c r="AF873">
        <f>AE873-AA873</f>
        <v>3063.3</v>
      </c>
      <c r="AG873" s="7">
        <f>ROUND((AF873/AE873),4)</f>
        <v>0.39510000000000001</v>
      </c>
      <c r="AH873">
        <f>IF(AND(C873&lt;&gt;"",E873&lt;&gt;""),E873 - C873,"")</f>
        <v>0</v>
      </c>
      <c r="AI873" t="str">
        <f>IF(C873="","",TEXT(C873, "mmmm"))</f>
        <v>August</v>
      </c>
      <c r="AJ873">
        <f>IF(C873="","",YEAR(C873))</f>
        <v>2025</v>
      </c>
      <c r="AM873" t="s">
        <v>4145</v>
      </c>
      <c r="AN873" t="s">
        <v>3600</v>
      </c>
    </row>
    <row r="874" spans="1:40">
      <c r="A874" t="s">
        <v>3136</v>
      </c>
      <c r="B874" t="s">
        <v>4053</v>
      </c>
      <c r="C874" s="6">
        <v>45816</v>
      </c>
      <c r="D874" t="s">
        <v>2061</v>
      </c>
      <c r="E874" s="6">
        <v>45821</v>
      </c>
      <c r="F874" t="s">
        <v>3137</v>
      </c>
      <c r="G874" t="s">
        <v>103</v>
      </c>
      <c r="H874" t="s">
        <v>103</v>
      </c>
      <c r="I874" t="s">
        <v>40</v>
      </c>
      <c r="J874" t="s">
        <v>40</v>
      </c>
      <c r="K874" t="s">
        <v>26</v>
      </c>
      <c r="L874" t="str">
        <f>IF(TRIM(K874)="","Unknown",PROPER(TRIM(K874)))</f>
        <v>North</v>
      </c>
      <c r="M874" t="s">
        <v>27</v>
      </c>
      <c r="N874" t="s">
        <v>28</v>
      </c>
      <c r="O874" t="s">
        <v>83</v>
      </c>
      <c r="P874" t="str">
        <f>IF(TRIM(O874)="","Unknown",PROPER(TRIM(O874)))</f>
        <v>Technology</v>
      </c>
      <c r="Q874" t="s">
        <v>91</v>
      </c>
      <c r="R874" t="s">
        <v>3138</v>
      </c>
      <c r="S874" t="s">
        <v>32</v>
      </c>
      <c r="T874" t="str">
        <f>IF(TRIM(S874)="","Unknown",PROPER(TRIM(S874)))</f>
        <v>Second Class</v>
      </c>
      <c r="U874">
        <v>7</v>
      </c>
      <c r="V874">
        <v>3857.13</v>
      </c>
      <c r="W874">
        <v>0</v>
      </c>
      <c r="Y874">
        <v>0</v>
      </c>
      <c r="Z874">
        <v>26999.91</v>
      </c>
      <c r="AA874">
        <v>17815.98</v>
      </c>
      <c r="AB874">
        <v>9183.93</v>
      </c>
      <c r="AC874" t="s">
        <v>33</v>
      </c>
      <c r="AD874" t="s">
        <v>34</v>
      </c>
      <c r="AE874">
        <f>ROUND((U874*V874)-(U874*V874*Y874),2)</f>
        <v>26999.91</v>
      </c>
      <c r="AF874">
        <f>AE874-AA874</f>
        <v>9183.93</v>
      </c>
      <c r="AG874" s="7">
        <f>ROUND((AF874/AE874),4)</f>
        <v>0.34010000000000001</v>
      </c>
      <c r="AH874">
        <f>IF(AND(C874&lt;&gt;"",E874&lt;&gt;""),E874 - C874,"")</f>
        <v>5</v>
      </c>
      <c r="AI874" t="str">
        <f>IF(C874="","",TEXT(C874, "mmmm"))</f>
        <v>June</v>
      </c>
      <c r="AJ874">
        <f>IF(C874="","",YEAR(C874))</f>
        <v>2025</v>
      </c>
      <c r="AM874" t="str">
        <f>IF(AN874="","clean","")</f>
        <v>clean</v>
      </c>
      <c r="AN874" t="s">
        <v>3595</v>
      </c>
    </row>
    <row r="875" spans="1:40">
      <c r="A875" t="s">
        <v>3156</v>
      </c>
      <c r="B875" t="s">
        <v>1263</v>
      </c>
      <c r="C875" s="6">
        <v>45730</v>
      </c>
      <c r="D875" t="s">
        <v>3157</v>
      </c>
      <c r="E875" s="6">
        <v>45738</v>
      </c>
      <c r="F875" t="s">
        <v>3158</v>
      </c>
      <c r="G875" t="s">
        <v>39</v>
      </c>
      <c r="H875" t="s">
        <v>39</v>
      </c>
      <c r="I875" t="s">
        <v>104</v>
      </c>
      <c r="J875" t="s">
        <v>104</v>
      </c>
      <c r="K875" t="s">
        <v>41</v>
      </c>
      <c r="L875" t="str">
        <f>IF(TRIM(K875)="","Unknown",PROPER(TRIM(K875)))</f>
        <v>East</v>
      </c>
      <c r="M875" t="s">
        <v>116</v>
      </c>
      <c r="N875" t="s">
        <v>117</v>
      </c>
      <c r="O875" t="s">
        <v>83</v>
      </c>
      <c r="P875" t="str">
        <f>IF(TRIM(O875)="","Unknown",PROPER(TRIM(O875)))</f>
        <v>Technology</v>
      </c>
      <c r="Q875" t="s">
        <v>91</v>
      </c>
      <c r="R875" t="s">
        <v>3159</v>
      </c>
      <c r="S875" t="s">
        <v>65</v>
      </c>
      <c r="T875" t="str">
        <f>IF(TRIM(S875)="","Unknown",PROPER(TRIM(S875)))</f>
        <v>Standard Class</v>
      </c>
      <c r="U875">
        <v>2</v>
      </c>
      <c r="V875">
        <v>669.63</v>
      </c>
      <c r="W875">
        <v>0.15</v>
      </c>
      <c r="Y875">
        <v>0.15</v>
      </c>
      <c r="Z875">
        <v>1138.3699999999999</v>
      </c>
      <c r="AA875">
        <v>797.34</v>
      </c>
      <c r="AB875">
        <v>341.03</v>
      </c>
      <c r="AC875" t="s">
        <v>33</v>
      </c>
      <c r="AD875" t="s">
        <v>34</v>
      </c>
      <c r="AE875">
        <f>ROUND((U875*V875)-(U875*V875*Y875),2)</f>
        <v>1138.3699999999999</v>
      </c>
      <c r="AF875">
        <f>AE875-AA875</f>
        <v>341.02999999999986</v>
      </c>
      <c r="AG875" s="7">
        <f>ROUND((AF875/AE875),4)</f>
        <v>0.29959999999999998</v>
      </c>
      <c r="AH875">
        <f>IF(AND(C875&lt;&gt;"",E875&lt;&gt;""),E875 - C875,"")</f>
        <v>8</v>
      </c>
      <c r="AI875" t="str">
        <f>IF(C875="","",TEXT(C875, "mmmm"))</f>
        <v>March</v>
      </c>
      <c r="AJ875">
        <f>IF(C875="","",YEAR(C875))</f>
        <v>2025</v>
      </c>
      <c r="AM875" t="str">
        <f>IF(AN875="","clean","")</f>
        <v>clean</v>
      </c>
      <c r="AN875" t="s">
        <v>3595</v>
      </c>
    </row>
    <row r="876" spans="1:40">
      <c r="A876" t="s">
        <v>3164</v>
      </c>
      <c r="B876" t="s">
        <v>4058</v>
      </c>
      <c r="C876" s="6">
        <v>45934</v>
      </c>
      <c r="D876" t="s">
        <v>2237</v>
      </c>
      <c r="E876" s="6">
        <v>45935</v>
      </c>
      <c r="F876" t="s">
        <v>3165</v>
      </c>
      <c r="G876" t="s">
        <v>136</v>
      </c>
      <c r="H876" t="s">
        <v>136</v>
      </c>
      <c r="I876" t="s">
        <v>104</v>
      </c>
      <c r="J876" t="s">
        <v>104</v>
      </c>
      <c r="K876" t="s">
        <v>3166</v>
      </c>
      <c r="L876" t="str">
        <f>IF(TRIM(K876)="","Unknown",PROPER(TRIM(K876)))</f>
        <v>North</v>
      </c>
      <c r="M876" t="s">
        <v>146</v>
      </c>
      <c r="N876" t="s">
        <v>147</v>
      </c>
      <c r="O876" t="s">
        <v>83</v>
      </c>
      <c r="P876" t="str">
        <f>IF(TRIM(O876)="","Unknown",PROPER(TRIM(O876)))</f>
        <v>Technology</v>
      </c>
      <c r="Q876" t="s">
        <v>91</v>
      </c>
      <c r="R876" t="s">
        <v>3167</v>
      </c>
      <c r="S876" t="s">
        <v>55</v>
      </c>
      <c r="T876" t="str">
        <f>IF(TRIM(S876)="","Unknown",PROPER(TRIM(S876)))</f>
        <v>First Class</v>
      </c>
      <c r="U876">
        <v>4</v>
      </c>
      <c r="V876">
        <v>418.18</v>
      </c>
      <c r="W876">
        <v>0.05</v>
      </c>
      <c r="Y876">
        <v>0.05</v>
      </c>
      <c r="Z876">
        <v>1589.08</v>
      </c>
      <c r="AA876">
        <v>1084.6600000000001</v>
      </c>
      <c r="AB876">
        <v>504.42</v>
      </c>
      <c r="AC876" t="s">
        <v>33</v>
      </c>
      <c r="AD876" t="s">
        <v>34</v>
      </c>
      <c r="AE876">
        <f>ROUND((U876*V876)-(U876*V876*Y876),2)</f>
        <v>1589.08</v>
      </c>
      <c r="AF876">
        <f>AE876-AA876</f>
        <v>504.41999999999985</v>
      </c>
      <c r="AG876" s="7">
        <f>ROUND((AF876/AE876),4)</f>
        <v>0.31740000000000002</v>
      </c>
      <c r="AH876">
        <f>IF(AND(C876&lt;&gt;"",E876&lt;&gt;""),E876 - C876,"")</f>
        <v>1</v>
      </c>
      <c r="AI876" t="str">
        <f>IF(C876="","",TEXT(C876, "mmmm"))</f>
        <v>October</v>
      </c>
      <c r="AJ876">
        <f>IF(C876="","",YEAR(C876))</f>
        <v>2025</v>
      </c>
      <c r="AM876" t="str">
        <f>IF(AN876="","clean","")</f>
        <v>clean</v>
      </c>
      <c r="AN876" t="s">
        <v>3595</v>
      </c>
    </row>
    <row r="877" spans="1:40">
      <c r="A877" t="s">
        <v>3171</v>
      </c>
      <c r="B877" t="s">
        <v>3755</v>
      </c>
      <c r="C877" s="6">
        <v>45844</v>
      </c>
      <c r="D877" t="s">
        <v>2504</v>
      </c>
      <c r="E877" s="6">
        <v>45846</v>
      </c>
      <c r="F877" t="s">
        <v>3172</v>
      </c>
      <c r="G877" t="s">
        <v>70</v>
      </c>
      <c r="H877" t="s">
        <v>70</v>
      </c>
      <c r="I877" t="s">
        <v>104</v>
      </c>
      <c r="J877" t="s">
        <v>104</v>
      </c>
      <c r="K877" t="s">
        <v>26</v>
      </c>
      <c r="L877" t="str">
        <f>IF(TRIM(K877)="","Unknown",PROPER(TRIM(K877)))</f>
        <v>North</v>
      </c>
      <c r="M877" t="s">
        <v>27</v>
      </c>
      <c r="N877" t="s">
        <v>28</v>
      </c>
      <c r="O877" t="s">
        <v>44</v>
      </c>
      <c r="P877" t="str">
        <f>IF(TRIM(O877)="","Unknown",PROPER(TRIM(O877)))</f>
        <v>Furniture</v>
      </c>
      <c r="Q877" t="s">
        <v>63</v>
      </c>
      <c r="R877" t="s">
        <v>3173</v>
      </c>
      <c r="T877" t="str">
        <f>IF(TRIM(S877)="","Unknown",PROPER(TRIM(S877)))</f>
        <v>Unknown</v>
      </c>
      <c r="U877">
        <v>4</v>
      </c>
      <c r="V877">
        <v>715.45</v>
      </c>
      <c r="W877">
        <v>0.05</v>
      </c>
      <c r="Y877">
        <v>0.05</v>
      </c>
      <c r="Z877">
        <v>2718.71</v>
      </c>
      <c r="AA877">
        <v>2065.0500000000002</v>
      </c>
      <c r="AB877">
        <v>653.66</v>
      </c>
      <c r="AC877" t="s">
        <v>119</v>
      </c>
      <c r="AD877" t="s">
        <v>120</v>
      </c>
      <c r="AE877">
        <f>ROUND((U877*V877)-(U877*V877*Y877),2)</f>
        <v>2718.71</v>
      </c>
      <c r="AF877">
        <f>AE877-AA877</f>
        <v>653.65999999999985</v>
      </c>
      <c r="AG877" s="7">
        <f>ROUND((AF877/AE877),4)</f>
        <v>0.2404</v>
      </c>
      <c r="AH877">
        <f>IF(AND(C877&lt;&gt;"",E877&lt;&gt;""),E877 - C877,"")</f>
        <v>2</v>
      </c>
      <c r="AI877" t="str">
        <f>IF(C877="","",TEXT(C877, "mmmm"))</f>
        <v>July</v>
      </c>
      <c r="AJ877">
        <f>IF(C877="","",YEAR(C877))</f>
        <v>2025</v>
      </c>
      <c r="AM877" t="s">
        <v>4145</v>
      </c>
      <c r="AN877" t="s">
        <v>3600</v>
      </c>
    </row>
    <row r="878" spans="1:40">
      <c r="A878" t="s">
        <v>3181</v>
      </c>
      <c r="B878" t="s">
        <v>4060</v>
      </c>
      <c r="C878" s="6">
        <v>45723</v>
      </c>
      <c r="D878" t="s">
        <v>2038</v>
      </c>
      <c r="E878" s="6">
        <v>45724</v>
      </c>
      <c r="F878" t="s">
        <v>3182</v>
      </c>
      <c r="G878" t="s">
        <v>136</v>
      </c>
      <c r="H878" t="s">
        <v>136</v>
      </c>
      <c r="I878" t="s">
        <v>110</v>
      </c>
      <c r="J878" t="s">
        <v>110</v>
      </c>
      <c r="L878" t="str">
        <f>IF(TRIM(K878)="","Unknown",PROPER(TRIM(K878)))</f>
        <v>Unknown</v>
      </c>
      <c r="M878" t="s">
        <v>27</v>
      </c>
      <c r="N878" t="s">
        <v>129</v>
      </c>
      <c r="O878" t="s">
        <v>83</v>
      </c>
      <c r="P878" t="str">
        <f>IF(TRIM(O878)="","Unknown",PROPER(TRIM(O878)))</f>
        <v>Technology</v>
      </c>
      <c r="Q878" t="s">
        <v>91</v>
      </c>
      <c r="R878" t="s">
        <v>3183</v>
      </c>
      <c r="S878" t="s">
        <v>47</v>
      </c>
      <c r="T878" t="str">
        <f>IF(TRIM(S878)="","Unknown",PROPER(TRIM(S878)))</f>
        <v>Same Day</v>
      </c>
      <c r="U878">
        <v>4</v>
      </c>
      <c r="V878">
        <v>3537.48</v>
      </c>
      <c r="W878">
        <v>0</v>
      </c>
      <c r="Y878">
        <v>0</v>
      </c>
      <c r="Z878">
        <v>14149.92</v>
      </c>
      <c r="AA878">
        <v>9466.51</v>
      </c>
      <c r="AB878">
        <v>4683.41</v>
      </c>
      <c r="AC878" t="s">
        <v>33</v>
      </c>
      <c r="AD878" t="s">
        <v>34</v>
      </c>
      <c r="AE878">
        <f>ROUND((U878*V878)-(U878*V878*Y878),2)</f>
        <v>14149.92</v>
      </c>
      <c r="AF878">
        <f>AE878-AA878</f>
        <v>4683.41</v>
      </c>
      <c r="AG878" s="7">
        <f>ROUND((AF878/AE878),4)</f>
        <v>0.33100000000000002</v>
      </c>
      <c r="AH878">
        <f>IF(AND(C878&lt;&gt;"",E878&lt;&gt;""),E878 - C878,"")</f>
        <v>1</v>
      </c>
      <c r="AI878" t="str">
        <f>IF(C878="","",TEXT(C878, "mmmm"))</f>
        <v>March</v>
      </c>
      <c r="AJ878">
        <f>IF(C878="","",YEAR(C878))</f>
        <v>2025</v>
      </c>
      <c r="AM878" t="s">
        <v>4145</v>
      </c>
      <c r="AN878" t="s">
        <v>3597</v>
      </c>
    </row>
    <row r="879" spans="1:40">
      <c r="A879" t="s">
        <v>3192</v>
      </c>
      <c r="B879" t="s">
        <v>3748</v>
      </c>
      <c r="C879" s="6">
        <v>45812</v>
      </c>
      <c r="D879" t="s">
        <v>3193</v>
      </c>
      <c r="E879" s="6">
        <v>45816</v>
      </c>
      <c r="F879" t="s">
        <v>3194</v>
      </c>
      <c r="G879" t="s">
        <v>59</v>
      </c>
      <c r="H879" t="s">
        <v>59</v>
      </c>
      <c r="I879" t="s">
        <v>40</v>
      </c>
      <c r="J879" t="s">
        <v>40</v>
      </c>
      <c r="K879" t="s">
        <v>41</v>
      </c>
      <c r="L879" t="str">
        <f>IF(TRIM(K879)="","Unknown",PROPER(TRIM(K879)))</f>
        <v>East</v>
      </c>
      <c r="M879" t="s">
        <v>201</v>
      </c>
      <c r="N879" t="s">
        <v>202</v>
      </c>
      <c r="O879" t="s">
        <v>44</v>
      </c>
      <c r="P879" t="str">
        <f>IF(TRIM(O879)="","Unknown",PROPER(TRIM(O879)))</f>
        <v>Furniture</v>
      </c>
      <c r="Q879" t="s">
        <v>63</v>
      </c>
      <c r="R879" t="s">
        <v>3195</v>
      </c>
      <c r="S879" t="s">
        <v>32</v>
      </c>
      <c r="T879" t="str">
        <f>IF(TRIM(S879)="","Unknown",PROPER(TRIM(S879)))</f>
        <v>Second Class</v>
      </c>
      <c r="U879">
        <v>1</v>
      </c>
      <c r="V879">
        <v>3501.12</v>
      </c>
      <c r="W879">
        <v>0.2</v>
      </c>
      <c r="Y879">
        <v>0.2</v>
      </c>
      <c r="Z879">
        <v>2800.9</v>
      </c>
      <c r="AA879">
        <v>1735.98</v>
      </c>
      <c r="AB879">
        <v>1064.92</v>
      </c>
      <c r="AC879" t="s">
        <v>33</v>
      </c>
      <c r="AD879" t="s">
        <v>120</v>
      </c>
      <c r="AE879">
        <f>ROUND((U879*V879)-(U879*V879*Y879),2)</f>
        <v>2800.9</v>
      </c>
      <c r="AF879">
        <f>AE879-AA879</f>
        <v>1064.92</v>
      </c>
      <c r="AG879" s="7">
        <f>ROUND((AF879/AE879),4)</f>
        <v>0.38019999999999998</v>
      </c>
      <c r="AH879">
        <f>IF(AND(C879&lt;&gt;"",E879&lt;&gt;""),E879 - C879,"")</f>
        <v>4</v>
      </c>
      <c r="AI879" t="str">
        <f>IF(C879="","",TEXT(C879, "mmmm"))</f>
        <v>June</v>
      </c>
      <c r="AJ879">
        <f>IF(C879="","",YEAR(C879))</f>
        <v>2025</v>
      </c>
      <c r="AM879" t="str">
        <f>IF(AN879="","clean","")</f>
        <v>clean</v>
      </c>
      <c r="AN879" t="s">
        <v>3595</v>
      </c>
    </row>
    <row r="880" spans="1:40">
      <c r="A880" t="s">
        <v>3200</v>
      </c>
      <c r="B880" t="s">
        <v>4062</v>
      </c>
      <c r="C880" s="6">
        <v>45830</v>
      </c>
      <c r="D880" t="s">
        <v>882</v>
      </c>
      <c r="E880" s="6">
        <v>45832</v>
      </c>
      <c r="F880" t="s">
        <v>3201</v>
      </c>
      <c r="G880" t="s">
        <v>158</v>
      </c>
      <c r="H880" t="s">
        <v>158</v>
      </c>
      <c r="I880" t="s">
        <v>104</v>
      </c>
      <c r="J880" t="s">
        <v>104</v>
      </c>
      <c r="K880" t="s">
        <v>41</v>
      </c>
      <c r="L880" t="str">
        <f>IF(TRIM(K880)="","Unknown",PROPER(TRIM(K880)))</f>
        <v>East</v>
      </c>
      <c r="M880" t="s">
        <v>201</v>
      </c>
      <c r="N880" t="s">
        <v>202</v>
      </c>
      <c r="O880" t="s">
        <v>29</v>
      </c>
      <c r="P880" t="str">
        <f>IF(TRIM(O880)="","Unknown",PROPER(TRIM(O880)))</f>
        <v>Office Supplies</v>
      </c>
      <c r="Q880" t="s">
        <v>30</v>
      </c>
      <c r="R880" t="s">
        <v>3202</v>
      </c>
      <c r="S880" t="s">
        <v>65</v>
      </c>
      <c r="T880" t="str">
        <f>IF(TRIM(S880)="","Unknown",PROPER(TRIM(S880)))</f>
        <v>Standard Class</v>
      </c>
      <c r="U880">
        <v>9</v>
      </c>
      <c r="V880">
        <v>951.55</v>
      </c>
      <c r="W880">
        <v>0.15</v>
      </c>
      <c r="Y880">
        <v>0.15</v>
      </c>
      <c r="Z880">
        <v>7279.36</v>
      </c>
      <c r="AA880">
        <v>4870.3900000000003</v>
      </c>
      <c r="AB880">
        <v>2408.9699999999998</v>
      </c>
      <c r="AC880" t="s">
        <v>33</v>
      </c>
      <c r="AD880" t="s">
        <v>34</v>
      </c>
      <c r="AE880">
        <f>ROUND((U880*V880)-(U880*V880*Y880),2)</f>
        <v>7279.36</v>
      </c>
      <c r="AF880">
        <f>AE880-AA880</f>
        <v>2408.9699999999993</v>
      </c>
      <c r="AG880" s="7">
        <f>ROUND((AF880/AE880),4)</f>
        <v>0.33090000000000003</v>
      </c>
      <c r="AH880">
        <f>IF(AND(C880&lt;&gt;"",E880&lt;&gt;""),E880 - C880,"")</f>
        <v>2</v>
      </c>
      <c r="AI880" t="str">
        <f>IF(C880="","",TEXT(C880, "mmmm"))</f>
        <v>June</v>
      </c>
      <c r="AJ880">
        <f>IF(C880="","",YEAR(C880))</f>
        <v>2025</v>
      </c>
      <c r="AM880" t="str">
        <f>IF(AN880="","clean","")</f>
        <v>clean</v>
      </c>
      <c r="AN880" t="s">
        <v>3595</v>
      </c>
    </row>
    <row r="881" spans="1:40">
      <c r="A881" t="s">
        <v>3213</v>
      </c>
      <c r="B881" t="s">
        <v>4065</v>
      </c>
      <c r="C881" s="6">
        <v>45849</v>
      </c>
      <c r="D881" t="s">
        <v>3214</v>
      </c>
      <c r="E881" s="6">
        <v>45847</v>
      </c>
      <c r="F881" t="s">
        <v>3215</v>
      </c>
      <c r="G881" t="s">
        <v>103</v>
      </c>
      <c r="H881" t="s">
        <v>103</v>
      </c>
      <c r="I881" t="s">
        <v>104</v>
      </c>
      <c r="J881" t="s">
        <v>104</v>
      </c>
      <c r="K881" t="s">
        <v>26</v>
      </c>
      <c r="L881" t="str">
        <f>IF(TRIM(K881)="","Unknown",PROPER(TRIM(K881)))</f>
        <v>North</v>
      </c>
      <c r="M881" t="s">
        <v>454</v>
      </c>
      <c r="N881" t="s">
        <v>455</v>
      </c>
      <c r="O881" t="s">
        <v>44</v>
      </c>
      <c r="P881" t="str">
        <f>IF(TRIM(O881)="","Unknown",PROPER(TRIM(O881)))</f>
        <v>Furniture</v>
      </c>
      <c r="Q881" t="s">
        <v>63</v>
      </c>
      <c r="R881" t="s">
        <v>3216</v>
      </c>
      <c r="S881" t="s">
        <v>65</v>
      </c>
      <c r="T881" t="str">
        <f>IF(TRIM(S881)="","Unknown",PROPER(TRIM(S881)))</f>
        <v>Standard Class</v>
      </c>
      <c r="U881">
        <v>9</v>
      </c>
      <c r="V881">
        <v>1706.05</v>
      </c>
      <c r="W881">
        <v>0</v>
      </c>
      <c r="Y881">
        <v>0</v>
      </c>
      <c r="Z881">
        <v>15354.45</v>
      </c>
      <c r="AA881">
        <v>9656.5</v>
      </c>
      <c r="AB881">
        <v>5697.95</v>
      </c>
      <c r="AC881" t="s">
        <v>33</v>
      </c>
      <c r="AD881" t="s">
        <v>34</v>
      </c>
      <c r="AE881">
        <f>ROUND((U881*V881)-(U881*V881*Y881),2)</f>
        <v>15354.45</v>
      </c>
      <c r="AF881">
        <f>AE881-AA881</f>
        <v>5697.9500000000007</v>
      </c>
      <c r="AG881" s="7">
        <f>ROUND((AF881/AE881),4)</f>
        <v>0.37109999999999999</v>
      </c>
      <c r="AH881">
        <f>IF(AND(C881&lt;&gt;"",E881&lt;&gt;""),E881 - C881,"")</f>
        <v>-2</v>
      </c>
      <c r="AI881" t="str">
        <f>IF(C881="","",TEXT(C881, "mmmm"))</f>
        <v>July</v>
      </c>
      <c r="AJ881">
        <f>IF(C881="","",YEAR(C881))</f>
        <v>2025</v>
      </c>
      <c r="AM881" t="s">
        <v>4145</v>
      </c>
      <c r="AN881" t="s">
        <v>4140</v>
      </c>
    </row>
    <row r="882" spans="1:40">
      <c r="A882" t="s">
        <v>3224</v>
      </c>
      <c r="B882" t="s">
        <v>4067</v>
      </c>
      <c r="C882" s="6">
        <v>45938</v>
      </c>
      <c r="D882" t="s">
        <v>282</v>
      </c>
      <c r="E882" s="6">
        <v>45945</v>
      </c>
      <c r="F882" t="s">
        <v>3225</v>
      </c>
      <c r="G882" t="s">
        <v>153</v>
      </c>
      <c r="H882" t="s">
        <v>153</v>
      </c>
      <c r="I882" t="s">
        <v>110</v>
      </c>
      <c r="J882" t="s">
        <v>110</v>
      </c>
      <c r="K882" t="s">
        <v>41</v>
      </c>
      <c r="L882" t="str">
        <f>IF(TRIM(K882)="","Unknown",PROPER(TRIM(K882)))</f>
        <v>East</v>
      </c>
      <c r="M882" t="s">
        <v>42</v>
      </c>
      <c r="N882" t="s">
        <v>43</v>
      </c>
      <c r="O882" t="s">
        <v>83</v>
      </c>
      <c r="P882" t="str">
        <f>IF(TRIM(O882)="","Unknown",PROPER(TRIM(O882)))</f>
        <v>Technology</v>
      </c>
      <c r="Q882" t="s">
        <v>84</v>
      </c>
      <c r="R882" t="s">
        <v>3226</v>
      </c>
      <c r="S882" t="s">
        <v>32</v>
      </c>
      <c r="T882" t="str">
        <f>IF(TRIM(S882)="","Unknown",PROPER(TRIM(S882)))</f>
        <v>Second Class</v>
      </c>
      <c r="U882">
        <v>3</v>
      </c>
      <c r="V882">
        <v>3372.21</v>
      </c>
      <c r="W882">
        <v>0.2</v>
      </c>
      <c r="Y882">
        <v>0.2</v>
      </c>
      <c r="Z882">
        <v>8093.3</v>
      </c>
      <c r="AA882">
        <v>6052.43</v>
      </c>
      <c r="AB882">
        <v>2040.87</v>
      </c>
      <c r="AC882" t="s">
        <v>131</v>
      </c>
      <c r="AD882" t="s">
        <v>76</v>
      </c>
      <c r="AE882">
        <f>ROUND((U882*V882)-(U882*V882*Y882),2)</f>
        <v>8093.3</v>
      </c>
      <c r="AF882">
        <f>AE882-AA882</f>
        <v>2040.87</v>
      </c>
      <c r="AG882" s="7">
        <f>ROUND((AF882/AE882),4)</f>
        <v>0.25219999999999998</v>
      </c>
      <c r="AH882">
        <f>IF(AND(C882&lt;&gt;"",E882&lt;&gt;""),E882 - C882,"")</f>
        <v>7</v>
      </c>
      <c r="AI882" t="str">
        <f>IF(C882="","",TEXT(C882, "mmmm"))</f>
        <v>October</v>
      </c>
      <c r="AJ882">
        <f>IF(C882="","",YEAR(C882))</f>
        <v>2025</v>
      </c>
      <c r="AM882" t="str">
        <f>IF(AN882="","clean","")</f>
        <v>clean</v>
      </c>
      <c r="AN882" t="s">
        <v>3595</v>
      </c>
    </row>
    <row r="883" spans="1:40">
      <c r="A883" t="s">
        <v>3227</v>
      </c>
      <c r="B883" t="s">
        <v>2779</v>
      </c>
      <c r="C883" s="6">
        <v>45704</v>
      </c>
      <c r="D883" t="s">
        <v>3228</v>
      </c>
      <c r="E883" s="6">
        <v>45704</v>
      </c>
      <c r="F883" t="s">
        <v>3229</v>
      </c>
      <c r="G883" t="s">
        <v>169</v>
      </c>
      <c r="H883" t="s">
        <v>169</v>
      </c>
      <c r="I883" t="s">
        <v>40</v>
      </c>
      <c r="J883" t="s">
        <v>40</v>
      </c>
      <c r="K883" t="s">
        <v>41</v>
      </c>
      <c r="L883" t="str">
        <f>IF(TRIM(K883)="","Unknown",PROPER(TRIM(K883)))</f>
        <v>East</v>
      </c>
      <c r="M883" t="s">
        <v>201</v>
      </c>
      <c r="N883" t="s">
        <v>202</v>
      </c>
      <c r="O883" t="s">
        <v>44</v>
      </c>
      <c r="P883" t="str">
        <f>IF(TRIM(O883)="","Unknown",PROPER(TRIM(O883)))</f>
        <v>Furniture</v>
      </c>
      <c r="Q883" t="s">
        <v>63</v>
      </c>
      <c r="R883" t="s">
        <v>3230</v>
      </c>
      <c r="S883" t="s">
        <v>32</v>
      </c>
      <c r="T883" t="str">
        <f>IF(TRIM(S883)="","Unknown",PROPER(TRIM(S883)))</f>
        <v>Second Class</v>
      </c>
      <c r="U883">
        <v>6</v>
      </c>
      <c r="V883">
        <v>1441.91</v>
      </c>
      <c r="W883">
        <v>0</v>
      </c>
      <c r="Y883">
        <v>0</v>
      </c>
      <c r="Z883">
        <v>8651.4599999999991</v>
      </c>
      <c r="AA883">
        <v>5254.62</v>
      </c>
      <c r="AB883">
        <v>3396.84</v>
      </c>
      <c r="AC883" t="s">
        <v>3231</v>
      </c>
      <c r="AD883" t="s">
        <v>120</v>
      </c>
      <c r="AE883">
        <f>ROUND((U883*V883)-(U883*V883*Y883),2)</f>
        <v>8651.4599999999991</v>
      </c>
      <c r="AF883">
        <f>AE883-AA883</f>
        <v>3396.8399999999992</v>
      </c>
      <c r="AG883" s="7">
        <f>ROUND((AF883/AE883),4)</f>
        <v>0.3926</v>
      </c>
      <c r="AH883">
        <f>IF(AND(C883&lt;&gt;"",E883&lt;&gt;""),E883 - C883,"")</f>
        <v>0</v>
      </c>
      <c r="AI883" t="str">
        <f>IF(C883="","",TEXT(C883, "mmmm"))</f>
        <v>February</v>
      </c>
      <c r="AJ883">
        <f>IF(C883="","",YEAR(C883))</f>
        <v>2025</v>
      </c>
      <c r="AM883" t="str">
        <f>IF(AN883="","clean","")</f>
        <v>clean</v>
      </c>
      <c r="AN883" t="s">
        <v>3595</v>
      </c>
    </row>
    <row r="884" spans="1:40">
      <c r="A884" t="s">
        <v>3235</v>
      </c>
      <c r="B884" t="s">
        <v>875</v>
      </c>
      <c r="C884" s="6">
        <v>45910</v>
      </c>
      <c r="D884" t="s">
        <v>1931</v>
      </c>
      <c r="E884" s="6">
        <v>45918</v>
      </c>
      <c r="F884" t="s">
        <v>3236</v>
      </c>
      <c r="G884" t="s">
        <v>141</v>
      </c>
      <c r="H884" t="s">
        <v>141</v>
      </c>
      <c r="I884" t="s">
        <v>110</v>
      </c>
      <c r="J884" t="s">
        <v>110</v>
      </c>
      <c r="K884" t="s">
        <v>60</v>
      </c>
      <c r="L884" t="str">
        <f>IF(TRIM(K884)="","Unknown",PROPER(TRIM(K884)))</f>
        <v>South</v>
      </c>
      <c r="M884" t="s">
        <v>61</v>
      </c>
      <c r="N884" t="s">
        <v>62</v>
      </c>
      <c r="O884" t="s">
        <v>44</v>
      </c>
      <c r="P884" t="str">
        <f>IF(TRIM(O884)="","Unknown",PROPER(TRIM(O884)))</f>
        <v>Furniture</v>
      </c>
      <c r="Q884" t="s">
        <v>63</v>
      </c>
      <c r="R884" t="s">
        <v>3237</v>
      </c>
      <c r="S884" t="s">
        <v>65</v>
      </c>
      <c r="T884" t="str">
        <f>IF(TRIM(S884)="","Unknown",PROPER(TRIM(S884)))</f>
        <v>Standard Class</v>
      </c>
      <c r="U884">
        <v>1</v>
      </c>
      <c r="V884">
        <v>2050.62</v>
      </c>
      <c r="W884">
        <v>0.05</v>
      </c>
      <c r="Y884">
        <v>0.05</v>
      </c>
      <c r="Z884">
        <v>1948.09</v>
      </c>
      <c r="AA884">
        <v>1507.08</v>
      </c>
      <c r="AB884">
        <v>441.01</v>
      </c>
      <c r="AC884" t="s">
        <v>33</v>
      </c>
      <c r="AD884" t="s">
        <v>34</v>
      </c>
      <c r="AE884">
        <f>ROUND((U884*V884)-(U884*V884*Y884),2)</f>
        <v>1948.09</v>
      </c>
      <c r="AF884">
        <f>AE884-AA884</f>
        <v>441.01</v>
      </c>
      <c r="AG884" s="7">
        <f>ROUND((AF884/AE884),4)</f>
        <v>0.22639999999999999</v>
      </c>
      <c r="AH884">
        <f>IF(AND(C884&lt;&gt;"",E884&lt;&gt;""),E884 - C884,"")</f>
        <v>8</v>
      </c>
      <c r="AI884" t="str">
        <f>IF(C884="","",TEXT(C884, "mmmm"))</f>
        <v>September</v>
      </c>
      <c r="AJ884">
        <f>IF(C884="","",YEAR(C884))</f>
        <v>2025</v>
      </c>
      <c r="AM884" t="str">
        <f>IF(AN884="","clean","")</f>
        <v>clean</v>
      </c>
      <c r="AN884" t="s">
        <v>3595</v>
      </c>
    </row>
    <row r="885" spans="1:40">
      <c r="A885" t="s">
        <v>3238</v>
      </c>
      <c r="B885" t="s">
        <v>3760</v>
      </c>
      <c r="C885" s="6">
        <v>45753</v>
      </c>
      <c r="D885" t="s">
        <v>940</v>
      </c>
      <c r="E885" s="6">
        <v>45754</v>
      </c>
      <c r="F885" t="s">
        <v>3080</v>
      </c>
      <c r="G885" t="s">
        <v>136</v>
      </c>
      <c r="H885" t="s">
        <v>136</v>
      </c>
      <c r="I885" t="s">
        <v>110</v>
      </c>
      <c r="J885" t="s">
        <v>110</v>
      </c>
      <c r="K885" t="s">
        <v>41</v>
      </c>
      <c r="L885" t="str">
        <f>IF(TRIM(K885)="","Unknown",PROPER(TRIM(K885)))</f>
        <v>East</v>
      </c>
      <c r="M885" t="s">
        <v>201</v>
      </c>
      <c r="N885" t="s">
        <v>202</v>
      </c>
      <c r="O885" t="s">
        <v>29</v>
      </c>
      <c r="P885" t="str">
        <f>IF(TRIM(O885)="","Unknown",PROPER(TRIM(O885)))</f>
        <v>Office Supplies</v>
      </c>
      <c r="Q885" t="s">
        <v>184</v>
      </c>
      <c r="R885" t="s">
        <v>3239</v>
      </c>
      <c r="S885" t="s">
        <v>32</v>
      </c>
      <c r="T885" t="str">
        <f>IF(TRIM(S885)="","Unknown",PROPER(TRIM(S885)))</f>
        <v>Second Class</v>
      </c>
      <c r="U885">
        <v>2</v>
      </c>
      <c r="V885">
        <v>2030.06</v>
      </c>
      <c r="W885">
        <v>0.25</v>
      </c>
      <c r="Y885">
        <v>0.25</v>
      </c>
      <c r="Z885">
        <v>3045.09</v>
      </c>
      <c r="AA885">
        <v>2601.09</v>
      </c>
      <c r="AB885">
        <v>444</v>
      </c>
      <c r="AC885" t="s">
        <v>33</v>
      </c>
      <c r="AD885" t="s">
        <v>34</v>
      </c>
      <c r="AE885">
        <f>ROUND((U885*V885)-(U885*V885*Y885),2)</f>
        <v>3045.09</v>
      </c>
      <c r="AF885">
        <f>AE885-AA885</f>
        <v>444</v>
      </c>
      <c r="AG885" s="7">
        <f>ROUND((AF885/AE885),4)</f>
        <v>0.14580000000000001</v>
      </c>
      <c r="AH885">
        <f>IF(AND(C885&lt;&gt;"",E885&lt;&gt;""),E885 - C885,"")</f>
        <v>1</v>
      </c>
      <c r="AI885" t="str">
        <f>IF(C885="","",TEXT(C885, "mmmm"))</f>
        <v>April</v>
      </c>
      <c r="AJ885">
        <f>IF(C885="","",YEAR(C885))</f>
        <v>2025</v>
      </c>
      <c r="AM885" t="str">
        <f>IF(AN885="","clean","")</f>
        <v>clean</v>
      </c>
      <c r="AN885" t="s">
        <v>3595</v>
      </c>
    </row>
    <row r="886" spans="1:40">
      <c r="A886" t="s">
        <v>3244</v>
      </c>
      <c r="B886" t="s">
        <v>3756</v>
      </c>
      <c r="C886" s="6">
        <v>45695</v>
      </c>
      <c r="D886" t="s">
        <v>1994</v>
      </c>
      <c r="E886" s="6">
        <v>45696</v>
      </c>
      <c r="F886" t="s">
        <v>3245</v>
      </c>
      <c r="G886" t="s">
        <v>24</v>
      </c>
      <c r="H886" t="s">
        <v>24</v>
      </c>
      <c r="I886" t="s">
        <v>40</v>
      </c>
      <c r="J886" t="s">
        <v>40</v>
      </c>
      <c r="K886" t="s">
        <v>60</v>
      </c>
      <c r="L886" t="str">
        <f>IF(TRIM(K886)="","Unknown",PROPER(TRIM(K886)))</f>
        <v>South</v>
      </c>
      <c r="M886" t="s">
        <v>61</v>
      </c>
      <c r="N886" t="s">
        <v>62</v>
      </c>
      <c r="O886" t="s">
        <v>29</v>
      </c>
      <c r="P886" t="str">
        <f>IF(TRIM(O886)="","Unknown",PROPER(TRIM(O886)))</f>
        <v>Office Supplies</v>
      </c>
      <c r="Q886" t="s">
        <v>105</v>
      </c>
      <c r="R886" t="s">
        <v>3246</v>
      </c>
      <c r="S886" t="s">
        <v>3247</v>
      </c>
      <c r="T886" t="str">
        <f>IF(TRIM(S886)="","Unknown",PROPER(TRIM(S886)))</f>
        <v>Standard Class</v>
      </c>
      <c r="U886">
        <v>2</v>
      </c>
      <c r="V886">
        <v>2432.98</v>
      </c>
      <c r="W886">
        <v>0.1</v>
      </c>
      <c r="Y886">
        <v>0.1</v>
      </c>
      <c r="Z886">
        <v>4379.3599999999997</v>
      </c>
      <c r="AA886">
        <v>3723.93</v>
      </c>
      <c r="AB886">
        <v>655.43</v>
      </c>
      <c r="AC886" t="s">
        <v>33</v>
      </c>
      <c r="AD886" t="s">
        <v>34</v>
      </c>
      <c r="AE886">
        <f>ROUND((U886*V886)-(U886*V886*Y886),2)</f>
        <v>4379.3599999999997</v>
      </c>
      <c r="AF886">
        <f>AE886-AA886</f>
        <v>655.42999999999984</v>
      </c>
      <c r="AG886" s="7">
        <f>ROUND((AF886/AE886),4)</f>
        <v>0.1497</v>
      </c>
      <c r="AH886">
        <f>IF(AND(C886&lt;&gt;"",E886&lt;&gt;""),E886 - C886,"")</f>
        <v>1</v>
      </c>
      <c r="AI886" t="str">
        <f>IF(C886="","",TEXT(C886, "mmmm"))</f>
        <v>February</v>
      </c>
      <c r="AJ886">
        <f>IF(C886="","",YEAR(C886))</f>
        <v>2025</v>
      </c>
      <c r="AM886" t="str">
        <f>IF(AN886="","clean","")</f>
        <v>clean</v>
      </c>
      <c r="AN886" t="s">
        <v>3595</v>
      </c>
    </row>
    <row r="887" spans="1:40">
      <c r="A887" t="s">
        <v>3248</v>
      </c>
      <c r="B887" t="s">
        <v>4070</v>
      </c>
      <c r="C887" s="6">
        <v>45900</v>
      </c>
      <c r="D887" t="s">
        <v>1789</v>
      </c>
      <c r="E887" s="6">
        <v>45897</v>
      </c>
      <c r="F887" t="s">
        <v>3249</v>
      </c>
      <c r="G887" t="s">
        <v>153</v>
      </c>
      <c r="H887" t="s">
        <v>153</v>
      </c>
      <c r="I887" t="s">
        <v>40</v>
      </c>
      <c r="J887" t="s">
        <v>40</v>
      </c>
      <c r="K887" t="s">
        <v>60</v>
      </c>
      <c r="L887" t="str">
        <f>IF(TRIM(K887)="","Unknown",PROPER(TRIM(K887)))</f>
        <v>South</v>
      </c>
      <c r="M887" t="s">
        <v>309</v>
      </c>
      <c r="N887" t="s">
        <v>310</v>
      </c>
      <c r="O887" t="s">
        <v>44</v>
      </c>
      <c r="P887" t="str">
        <f>IF(TRIM(O887)="","Unknown",PROPER(TRIM(O887)))</f>
        <v>Furniture</v>
      </c>
      <c r="Q887" t="s">
        <v>63</v>
      </c>
      <c r="R887" t="s">
        <v>3250</v>
      </c>
      <c r="S887" t="s">
        <v>55</v>
      </c>
      <c r="T887" t="str">
        <f>IF(TRIM(S887)="","Unknown",PROPER(TRIM(S887)))</f>
        <v>First Class</v>
      </c>
      <c r="U887">
        <v>7</v>
      </c>
      <c r="V887">
        <v>977.28</v>
      </c>
      <c r="W887">
        <v>0.2</v>
      </c>
      <c r="Y887">
        <v>0.2</v>
      </c>
      <c r="Z887">
        <v>5472.77</v>
      </c>
      <c r="AA887">
        <v>4477.33</v>
      </c>
      <c r="AB887">
        <v>995.44</v>
      </c>
      <c r="AC887" t="s">
        <v>33</v>
      </c>
      <c r="AD887" t="s">
        <v>34</v>
      </c>
      <c r="AE887">
        <f>ROUND((U887*V887)-(U887*V887*Y887),2)</f>
        <v>5472.77</v>
      </c>
      <c r="AF887">
        <f>AE887-AA887</f>
        <v>995.44000000000051</v>
      </c>
      <c r="AG887" s="7">
        <f>ROUND((AF887/AE887),4)</f>
        <v>0.18190000000000001</v>
      </c>
      <c r="AH887">
        <f>IF(AND(C887&lt;&gt;"",E887&lt;&gt;""),E887 - C887,"")</f>
        <v>-3</v>
      </c>
      <c r="AI887" t="str">
        <f>IF(C887="","",TEXT(C887, "mmmm"))</f>
        <v>August</v>
      </c>
      <c r="AJ887">
        <f>IF(C887="","",YEAR(C887))</f>
        <v>2025</v>
      </c>
      <c r="AM887" t="s">
        <v>4145</v>
      </c>
      <c r="AN887" t="s">
        <v>4140</v>
      </c>
    </row>
    <row r="888" spans="1:40">
      <c r="A888" t="s">
        <v>3251</v>
      </c>
      <c r="B888" t="s">
        <v>1336</v>
      </c>
      <c r="C888" s="6">
        <v>45833</v>
      </c>
      <c r="D888" t="s">
        <v>1336</v>
      </c>
      <c r="E888" s="6">
        <v>45833</v>
      </c>
      <c r="F888" t="s">
        <v>3252</v>
      </c>
      <c r="G888" t="s">
        <v>59</v>
      </c>
      <c r="H888" t="s">
        <v>59</v>
      </c>
      <c r="I888" t="s">
        <v>40</v>
      </c>
      <c r="J888" t="s">
        <v>40</v>
      </c>
      <c r="L888" t="str">
        <f>IF(TRIM(K888)="","Unknown",PROPER(TRIM(K888)))</f>
        <v>Unknown</v>
      </c>
      <c r="M888" t="s">
        <v>146</v>
      </c>
      <c r="N888" t="s">
        <v>147</v>
      </c>
      <c r="O888" t="s">
        <v>29</v>
      </c>
      <c r="P888" t="str">
        <f>IF(TRIM(O888)="","Unknown",PROPER(TRIM(O888)))</f>
        <v>Office Supplies</v>
      </c>
      <c r="Q888" t="s">
        <v>184</v>
      </c>
      <c r="R888" t="s">
        <v>3253</v>
      </c>
      <c r="S888" t="s">
        <v>32</v>
      </c>
      <c r="T888" t="str">
        <f>IF(TRIM(S888)="","Unknown",PROPER(TRIM(S888)))</f>
        <v>Second Class</v>
      </c>
      <c r="U888">
        <v>6</v>
      </c>
      <c r="V888">
        <v>1366.13</v>
      </c>
      <c r="W888">
        <v>0.1</v>
      </c>
      <c r="Y888">
        <v>0.1</v>
      </c>
      <c r="Z888">
        <v>7377.1</v>
      </c>
      <c r="AA888">
        <v>5085.21</v>
      </c>
      <c r="AB888">
        <v>2291.89</v>
      </c>
      <c r="AC888" t="s">
        <v>33</v>
      </c>
      <c r="AD888" t="s">
        <v>34</v>
      </c>
      <c r="AE888">
        <f>ROUND((U888*V888)-(U888*V888*Y888),2)</f>
        <v>7377.1</v>
      </c>
      <c r="AF888">
        <f>AE888-AA888</f>
        <v>2291.8900000000003</v>
      </c>
      <c r="AG888" s="7">
        <f>ROUND((AF888/AE888),4)</f>
        <v>0.31069999999999998</v>
      </c>
      <c r="AH888">
        <f>IF(AND(C888&lt;&gt;"",E888&lt;&gt;""),E888 - C888,"")</f>
        <v>0</v>
      </c>
      <c r="AI888" t="str">
        <f>IF(C888="","",TEXT(C888, "mmmm"))</f>
        <v>June</v>
      </c>
      <c r="AJ888">
        <f>IF(C888="","",YEAR(C888))</f>
        <v>2025</v>
      </c>
      <c r="AM888" t="s">
        <v>4145</v>
      </c>
      <c r="AN888" t="s">
        <v>3597</v>
      </c>
    </row>
    <row r="889" spans="1:40">
      <c r="A889" t="s">
        <v>3265</v>
      </c>
      <c r="B889" t="s">
        <v>4073</v>
      </c>
      <c r="C889" s="6">
        <v>45753</v>
      </c>
      <c r="D889" t="s">
        <v>3266</v>
      </c>
      <c r="E889" s="6">
        <v>45757</v>
      </c>
      <c r="F889" t="s">
        <v>3267</v>
      </c>
      <c r="G889" t="s">
        <v>169</v>
      </c>
      <c r="H889" t="s">
        <v>169</v>
      </c>
      <c r="I889" t="s">
        <v>25</v>
      </c>
      <c r="J889" t="s">
        <v>25</v>
      </c>
      <c r="K889" t="s">
        <v>41</v>
      </c>
      <c r="L889" t="str">
        <f>IF(TRIM(K889)="","Unknown",PROPER(TRIM(K889)))</f>
        <v>East</v>
      </c>
      <c r="M889" t="s">
        <v>42</v>
      </c>
      <c r="N889" t="s">
        <v>43</v>
      </c>
      <c r="O889" t="s">
        <v>44</v>
      </c>
      <c r="P889" t="str">
        <f>IF(TRIM(O889)="","Unknown",PROPER(TRIM(O889)))</f>
        <v>Furniture</v>
      </c>
      <c r="Q889" t="s">
        <v>190</v>
      </c>
      <c r="R889" t="s">
        <v>1509</v>
      </c>
      <c r="S889" t="s">
        <v>65</v>
      </c>
      <c r="T889" t="str">
        <f>IF(TRIM(S889)="","Unknown",PROPER(TRIM(S889)))</f>
        <v>Standard Class</v>
      </c>
      <c r="U889">
        <v>2</v>
      </c>
      <c r="V889">
        <v>1337.67</v>
      </c>
      <c r="W889">
        <v>0</v>
      </c>
      <c r="Y889">
        <v>0</v>
      </c>
      <c r="Z889">
        <v>2675.34</v>
      </c>
      <c r="AA889">
        <v>1595.87</v>
      </c>
      <c r="AB889">
        <v>1079.47</v>
      </c>
      <c r="AC889" t="s">
        <v>33</v>
      </c>
      <c r="AD889" t="s">
        <v>34</v>
      </c>
      <c r="AE889">
        <f>ROUND((U889*V889)-(U889*V889*Y889),2)</f>
        <v>2675.34</v>
      </c>
      <c r="AF889">
        <f>AE889-AA889</f>
        <v>1079.4700000000003</v>
      </c>
      <c r="AG889" s="7">
        <f>ROUND((AF889/AE889),4)</f>
        <v>0.40350000000000003</v>
      </c>
      <c r="AH889">
        <f>IF(AND(C889&lt;&gt;"",E889&lt;&gt;""),E889 - C889,"")</f>
        <v>4</v>
      </c>
      <c r="AI889" t="str">
        <f>IF(C889="","",TEXT(C889, "mmmm"))</f>
        <v>April</v>
      </c>
      <c r="AJ889">
        <f>IF(C889="","",YEAR(C889))</f>
        <v>2025</v>
      </c>
      <c r="AM889" t="str">
        <f>IF(AN889="","clean","")</f>
        <v>clean</v>
      </c>
      <c r="AN889" t="s">
        <v>3595</v>
      </c>
    </row>
    <row r="890" spans="1:40">
      <c r="A890" t="s">
        <v>3268</v>
      </c>
      <c r="B890" t="s">
        <v>3771</v>
      </c>
      <c r="C890" s="6">
        <v>45875</v>
      </c>
      <c r="D890" t="s">
        <v>524</v>
      </c>
      <c r="E890" s="6">
        <v>45880</v>
      </c>
      <c r="F890" t="s">
        <v>3269</v>
      </c>
      <c r="G890" t="s">
        <v>59</v>
      </c>
      <c r="H890" t="s">
        <v>59</v>
      </c>
      <c r="I890" t="s">
        <v>25</v>
      </c>
      <c r="J890" t="s">
        <v>25</v>
      </c>
      <c r="K890" t="s">
        <v>71</v>
      </c>
      <c r="L890" t="str">
        <f>IF(TRIM(K890)="","Unknown",PROPER(TRIM(K890)))</f>
        <v>West</v>
      </c>
      <c r="M890" t="s">
        <v>81</v>
      </c>
      <c r="N890" t="s">
        <v>82</v>
      </c>
      <c r="O890" t="s">
        <v>29</v>
      </c>
      <c r="P890" t="str">
        <f>IF(TRIM(O890)="","Unknown",PROPER(TRIM(O890)))</f>
        <v>Office Supplies</v>
      </c>
      <c r="Q890" t="s">
        <v>105</v>
      </c>
      <c r="R890" t="s">
        <v>3270</v>
      </c>
      <c r="S890" t="s">
        <v>55</v>
      </c>
      <c r="T890" t="str">
        <f>IF(TRIM(S890)="","Unknown",PROPER(TRIM(S890)))</f>
        <v>First Class</v>
      </c>
      <c r="U890">
        <v>2</v>
      </c>
      <c r="V890">
        <v>2375.94</v>
      </c>
      <c r="W890">
        <v>0.25</v>
      </c>
      <c r="Y890">
        <v>0.25</v>
      </c>
      <c r="Z890">
        <v>3563.91</v>
      </c>
      <c r="AA890">
        <v>2639.7</v>
      </c>
      <c r="AB890">
        <v>924.21</v>
      </c>
      <c r="AC890" t="s">
        <v>33</v>
      </c>
      <c r="AD890" t="s">
        <v>34</v>
      </c>
      <c r="AE890">
        <f>ROUND((U890*V890)-(U890*V890*Y890),2)</f>
        <v>3563.91</v>
      </c>
      <c r="AF890">
        <f>AE890-AA890</f>
        <v>924.21</v>
      </c>
      <c r="AG890" s="7">
        <f>ROUND((AF890/AE890),4)</f>
        <v>0.25929999999999997</v>
      </c>
      <c r="AH890">
        <f>IF(AND(C890&lt;&gt;"",E890&lt;&gt;""),E890 - C890,"")</f>
        <v>5</v>
      </c>
      <c r="AI890" t="str">
        <f>IF(C890="","",TEXT(C890, "mmmm"))</f>
        <v>August</v>
      </c>
      <c r="AJ890">
        <f>IF(C890="","",YEAR(C890))</f>
        <v>2025</v>
      </c>
      <c r="AM890" t="str">
        <f>IF(AN890="","clean","")</f>
        <v>clean</v>
      </c>
      <c r="AN890" t="s">
        <v>3595</v>
      </c>
    </row>
    <row r="891" spans="1:40">
      <c r="A891" t="s">
        <v>3279</v>
      </c>
      <c r="B891" t="s">
        <v>4075</v>
      </c>
      <c r="C891" s="6">
        <v>45752</v>
      </c>
      <c r="D891" t="s">
        <v>3280</v>
      </c>
      <c r="E891" s="6">
        <v>45752</v>
      </c>
      <c r="F891" t="s">
        <v>3281</v>
      </c>
      <c r="G891" t="s">
        <v>158</v>
      </c>
      <c r="H891" t="s">
        <v>158</v>
      </c>
      <c r="I891" t="s">
        <v>25</v>
      </c>
      <c r="J891" t="s">
        <v>25</v>
      </c>
      <c r="K891" t="s">
        <v>41</v>
      </c>
      <c r="L891" t="str">
        <f>IF(TRIM(K891)="","Unknown",PROPER(TRIM(K891)))</f>
        <v>East</v>
      </c>
      <c r="M891" t="s">
        <v>174</v>
      </c>
      <c r="N891" t="s">
        <v>175</v>
      </c>
      <c r="O891" t="s">
        <v>29</v>
      </c>
      <c r="P891" t="str">
        <f>IF(TRIM(O891)="","Unknown",PROPER(TRIM(O891)))</f>
        <v>Office Supplies</v>
      </c>
      <c r="Q891" t="s">
        <v>184</v>
      </c>
      <c r="R891" t="s">
        <v>3282</v>
      </c>
      <c r="S891" t="s">
        <v>65</v>
      </c>
      <c r="T891" t="str">
        <f>IF(TRIM(S891)="","Unknown",PROPER(TRIM(S891)))</f>
        <v>Standard Class</v>
      </c>
      <c r="U891">
        <v>6</v>
      </c>
      <c r="V891">
        <v>1829.69</v>
      </c>
      <c r="W891">
        <v>0.25</v>
      </c>
      <c r="Y891">
        <v>0.25</v>
      </c>
      <c r="Z891">
        <v>8233.6</v>
      </c>
      <c r="AA891">
        <v>4713.79</v>
      </c>
      <c r="AB891">
        <v>3519.81</v>
      </c>
      <c r="AC891" t="s">
        <v>33</v>
      </c>
      <c r="AD891" t="s">
        <v>34</v>
      </c>
      <c r="AE891">
        <f>ROUND((U891*V891)-(U891*V891*Y891),2)</f>
        <v>8233.61</v>
      </c>
      <c r="AF891">
        <f>AE891-AA891</f>
        <v>3519.8200000000006</v>
      </c>
      <c r="AG891" s="7">
        <f>ROUND((AF891/AE891),4)</f>
        <v>0.42749999999999999</v>
      </c>
      <c r="AH891">
        <f>IF(AND(C891&lt;&gt;"",E891&lt;&gt;""),E891 - C891,"")</f>
        <v>0</v>
      </c>
      <c r="AI891" t="str">
        <f>IF(C891="","",TEXT(C891, "mmmm"))</f>
        <v>April</v>
      </c>
      <c r="AJ891">
        <f>IF(C891="","",YEAR(C891))</f>
        <v>2025</v>
      </c>
      <c r="AM891" t="str">
        <f>IF(AN891="","clean","")</f>
        <v>clean</v>
      </c>
    </row>
    <row r="892" spans="1:40">
      <c r="A892" t="s">
        <v>3291</v>
      </c>
      <c r="B892" t="s">
        <v>4077</v>
      </c>
      <c r="C892" s="6">
        <v>45694</v>
      </c>
      <c r="D892" t="s">
        <v>3292</v>
      </c>
      <c r="E892" s="6">
        <v>45698</v>
      </c>
      <c r="F892" t="s">
        <v>3293</v>
      </c>
      <c r="G892" t="s">
        <v>70</v>
      </c>
      <c r="H892" t="s">
        <v>70</v>
      </c>
      <c r="I892" t="s">
        <v>110</v>
      </c>
      <c r="J892" t="s">
        <v>110</v>
      </c>
      <c r="K892" t="s">
        <v>26</v>
      </c>
      <c r="L892" t="str">
        <f>IF(TRIM(K892)="","Unknown",PROPER(TRIM(K892)))</f>
        <v>North</v>
      </c>
      <c r="M892" t="s">
        <v>163</v>
      </c>
      <c r="N892" t="s">
        <v>164</v>
      </c>
      <c r="O892" t="s">
        <v>44</v>
      </c>
      <c r="P892" t="str">
        <f>IF(TRIM(O892)="","Unknown",PROPER(TRIM(O892)))</f>
        <v>Furniture</v>
      </c>
      <c r="Q892" t="s">
        <v>190</v>
      </c>
      <c r="R892" t="s">
        <v>3294</v>
      </c>
      <c r="S892" t="s">
        <v>65</v>
      </c>
      <c r="T892" t="str">
        <f>IF(TRIM(S892)="","Unknown",PROPER(TRIM(S892)))</f>
        <v>Standard Class</v>
      </c>
      <c r="U892">
        <v>2</v>
      </c>
      <c r="V892">
        <v>319.57</v>
      </c>
      <c r="W892">
        <v>0.2</v>
      </c>
      <c r="Y892">
        <v>0.2</v>
      </c>
      <c r="Z892">
        <v>511.31</v>
      </c>
      <c r="AA892">
        <v>436.43</v>
      </c>
      <c r="AB892">
        <v>74.88</v>
      </c>
      <c r="AC892" t="s">
        <v>33</v>
      </c>
      <c r="AD892" t="s">
        <v>34</v>
      </c>
      <c r="AE892">
        <f>ROUND((U892*V892)-(U892*V892*Y892),2)</f>
        <v>511.31</v>
      </c>
      <c r="AF892">
        <f>AE892-AA892</f>
        <v>74.88</v>
      </c>
      <c r="AG892" s="7">
        <f>ROUND((AF892/AE892),4)</f>
        <v>0.1464</v>
      </c>
      <c r="AH892">
        <f>IF(AND(C892&lt;&gt;"",E892&lt;&gt;""),E892 - C892,"")</f>
        <v>4</v>
      </c>
      <c r="AI892" t="str">
        <f>IF(C892="","",TEXT(C892, "mmmm"))</f>
        <v>February</v>
      </c>
      <c r="AJ892">
        <f>IF(C892="","",YEAR(C892))</f>
        <v>2025</v>
      </c>
      <c r="AM892" t="str">
        <f>IF(AN892="","clean","")</f>
        <v>clean</v>
      </c>
      <c r="AN892" t="s">
        <v>3595</v>
      </c>
    </row>
    <row r="893" spans="1:40">
      <c r="A893" t="s">
        <v>3304</v>
      </c>
      <c r="B893" t="s">
        <v>4079</v>
      </c>
      <c r="C893" s="6">
        <v>45663</v>
      </c>
      <c r="D893" t="s">
        <v>1915</v>
      </c>
      <c r="E893" s="6">
        <v>45669</v>
      </c>
      <c r="F893" t="s">
        <v>3305</v>
      </c>
      <c r="G893" t="s">
        <v>39</v>
      </c>
      <c r="H893" t="s">
        <v>39</v>
      </c>
      <c r="I893" t="s">
        <v>110</v>
      </c>
      <c r="J893" t="s">
        <v>110</v>
      </c>
      <c r="K893" t="s">
        <v>71</v>
      </c>
      <c r="L893" t="str">
        <f>IF(TRIM(K893)="","Unknown",PROPER(TRIM(K893)))</f>
        <v>West</v>
      </c>
      <c r="M893" t="s">
        <v>230</v>
      </c>
      <c r="N893" t="s">
        <v>231</v>
      </c>
      <c r="O893" t="s">
        <v>29</v>
      </c>
      <c r="P893" t="str">
        <f>IF(TRIM(O893)="","Unknown",PROPER(TRIM(O893)))</f>
        <v>Office Supplies</v>
      </c>
      <c r="Q893" t="s">
        <v>30</v>
      </c>
      <c r="R893" t="s">
        <v>3306</v>
      </c>
      <c r="S893" t="s">
        <v>47</v>
      </c>
      <c r="T893" t="str">
        <f>IF(TRIM(S893)="","Unknown",PROPER(TRIM(S893)))</f>
        <v>Same Day</v>
      </c>
      <c r="U893">
        <v>3</v>
      </c>
      <c r="V893">
        <v>668.33</v>
      </c>
      <c r="W893">
        <v>0.15</v>
      </c>
      <c r="Y893">
        <v>0.15</v>
      </c>
      <c r="Z893">
        <v>1704.24</v>
      </c>
      <c r="AA893">
        <v>957.55</v>
      </c>
      <c r="AB893">
        <v>746.69</v>
      </c>
      <c r="AC893" t="s">
        <v>33</v>
      </c>
      <c r="AD893" t="s">
        <v>34</v>
      </c>
      <c r="AE893">
        <f>ROUND((U893*V893)-(U893*V893*Y893),2)</f>
        <v>1704.24</v>
      </c>
      <c r="AF893">
        <f>AE893-AA893</f>
        <v>746.69</v>
      </c>
      <c r="AG893" s="7">
        <f>ROUND((AF893/AE893),4)</f>
        <v>0.43809999999999999</v>
      </c>
      <c r="AH893">
        <f>IF(AND(C893&lt;&gt;"",E893&lt;&gt;""),E893 - C893,"")</f>
        <v>6</v>
      </c>
      <c r="AI893" t="str">
        <f>IF(C893="","",TEXT(C893, "mmmm"))</f>
        <v>January</v>
      </c>
      <c r="AJ893">
        <f>IF(C893="","",YEAR(C893))</f>
        <v>2025</v>
      </c>
      <c r="AM893" t="str">
        <f>IF(AN893="","clean","")</f>
        <v>clean</v>
      </c>
      <c r="AN893" t="s">
        <v>3595</v>
      </c>
    </row>
    <row r="894" spans="1:40">
      <c r="A894" t="s">
        <v>3307</v>
      </c>
      <c r="B894" t="s">
        <v>4080</v>
      </c>
      <c r="D894" t="s">
        <v>1861</v>
      </c>
      <c r="E894" s="6">
        <v>45738</v>
      </c>
      <c r="F894" t="s">
        <v>3308</v>
      </c>
      <c r="G894" t="s">
        <v>136</v>
      </c>
      <c r="H894" t="s">
        <v>136</v>
      </c>
      <c r="I894" t="s">
        <v>25</v>
      </c>
      <c r="J894" t="s">
        <v>25</v>
      </c>
      <c r="K894" t="s">
        <v>71</v>
      </c>
      <c r="L894" t="str">
        <f>IF(TRIM(K894)="","Unknown",PROPER(TRIM(K894)))</f>
        <v>West</v>
      </c>
      <c r="M894" t="s">
        <v>230</v>
      </c>
      <c r="N894" t="s">
        <v>231</v>
      </c>
      <c r="O894" t="s">
        <v>29</v>
      </c>
      <c r="P894" t="str">
        <f>IF(TRIM(O894)="","Unknown",PROPER(TRIM(O894)))</f>
        <v>Office Supplies</v>
      </c>
      <c r="Q894" t="s">
        <v>30</v>
      </c>
      <c r="R894" t="s">
        <v>3309</v>
      </c>
      <c r="S894" t="s">
        <v>55</v>
      </c>
      <c r="T894" t="str">
        <f>IF(TRIM(S894)="","Unknown",PROPER(TRIM(S894)))</f>
        <v>First Class</v>
      </c>
      <c r="U894">
        <v>8</v>
      </c>
      <c r="V894">
        <v>4436.74</v>
      </c>
      <c r="W894">
        <v>0.05</v>
      </c>
      <c r="Y894">
        <v>0.05</v>
      </c>
      <c r="Z894">
        <v>33719.22</v>
      </c>
      <c r="AA894">
        <v>28924.43</v>
      </c>
      <c r="AB894">
        <v>4794.79</v>
      </c>
      <c r="AC894" t="s">
        <v>33</v>
      </c>
      <c r="AD894" t="s">
        <v>34</v>
      </c>
      <c r="AE894">
        <f>ROUND((U894*V894)-(U894*V894*Y894),2)</f>
        <v>33719.22</v>
      </c>
      <c r="AF894">
        <f>AE894-AA894</f>
        <v>4794.7900000000009</v>
      </c>
      <c r="AG894" s="7">
        <f>ROUND((AF894/AE894),4)</f>
        <v>0.14219999999999999</v>
      </c>
      <c r="AH894" t="str">
        <f>IF(AND(C894&lt;&gt;"",E894&lt;&gt;""),E894 - C894,"")</f>
        <v/>
      </c>
      <c r="AI894" t="str">
        <f>IF(C894="","",TEXT(C894, "mmmm"))</f>
        <v/>
      </c>
      <c r="AJ894" t="str">
        <f>IF(C894="","",YEAR(C894))</f>
        <v/>
      </c>
      <c r="AM894" t="s">
        <v>4144</v>
      </c>
      <c r="AN894" t="s">
        <v>4127</v>
      </c>
    </row>
    <row r="895" spans="1:40">
      <c r="A895" t="s">
        <v>3310</v>
      </c>
      <c r="B895" t="s">
        <v>4081</v>
      </c>
      <c r="C895" s="6">
        <v>45763</v>
      </c>
      <c r="D895" t="s">
        <v>3311</v>
      </c>
      <c r="E895" s="6">
        <v>45764</v>
      </c>
      <c r="F895" t="s">
        <v>3312</v>
      </c>
      <c r="G895" t="s">
        <v>80</v>
      </c>
      <c r="H895" t="s">
        <v>80</v>
      </c>
      <c r="I895" t="s">
        <v>40</v>
      </c>
      <c r="J895" t="s">
        <v>40</v>
      </c>
      <c r="K895" t="s">
        <v>26</v>
      </c>
      <c r="L895" t="str">
        <f>IF(TRIM(K895)="","Unknown",PROPER(TRIM(K895)))</f>
        <v>North</v>
      </c>
      <c r="M895" t="s">
        <v>163</v>
      </c>
      <c r="N895" t="s">
        <v>164</v>
      </c>
      <c r="O895" t="s">
        <v>83</v>
      </c>
      <c r="P895" t="str">
        <f>IF(TRIM(O895)="","Unknown",PROPER(TRIM(O895)))</f>
        <v>Technology</v>
      </c>
      <c r="Q895" t="s">
        <v>347</v>
      </c>
      <c r="R895" t="s">
        <v>3313</v>
      </c>
      <c r="S895" t="s">
        <v>55</v>
      </c>
      <c r="T895" t="str">
        <f>IF(TRIM(S895)="","Unknown",PROPER(TRIM(S895)))</f>
        <v>First Class</v>
      </c>
      <c r="U895">
        <v>1</v>
      </c>
      <c r="V895">
        <v>2720.17</v>
      </c>
      <c r="W895">
        <v>0</v>
      </c>
      <c r="Y895">
        <v>0</v>
      </c>
      <c r="Z895">
        <v>2720.17</v>
      </c>
      <c r="AA895">
        <v>1834.23</v>
      </c>
      <c r="AB895">
        <v>885.94</v>
      </c>
      <c r="AC895" t="s">
        <v>33</v>
      </c>
      <c r="AD895" t="s">
        <v>34</v>
      </c>
      <c r="AE895">
        <f>ROUND((U895*V895)-(U895*V895*Y895),2)</f>
        <v>2720.17</v>
      </c>
      <c r="AF895">
        <f>AE895-AA895</f>
        <v>885.94</v>
      </c>
      <c r="AG895" s="7">
        <f>ROUND((AF895/AE895),4)</f>
        <v>0.32569999999999999</v>
      </c>
      <c r="AH895">
        <f>IF(AND(C895&lt;&gt;"",E895&lt;&gt;""),E895 - C895,"")</f>
        <v>1</v>
      </c>
      <c r="AI895" t="str">
        <f>IF(C895="","",TEXT(C895, "mmmm"))</f>
        <v>April</v>
      </c>
      <c r="AJ895">
        <f>IF(C895="","",YEAR(C895))</f>
        <v>2025</v>
      </c>
      <c r="AM895" t="str">
        <f>IF(AN895="","clean","")</f>
        <v>clean</v>
      </c>
      <c r="AN895" t="s">
        <v>3595</v>
      </c>
    </row>
    <row r="896" spans="1:40">
      <c r="A896" t="s">
        <v>3314</v>
      </c>
      <c r="B896" t="s">
        <v>2721</v>
      </c>
      <c r="C896" s="6">
        <v>45879</v>
      </c>
      <c r="D896" t="s">
        <v>3315</v>
      </c>
      <c r="E896" s="6">
        <v>45883</v>
      </c>
      <c r="F896" t="s">
        <v>3316</v>
      </c>
      <c r="G896" t="s">
        <v>103</v>
      </c>
      <c r="H896" t="s">
        <v>103</v>
      </c>
      <c r="I896" t="s">
        <v>25</v>
      </c>
      <c r="J896" t="s">
        <v>25</v>
      </c>
      <c r="K896" t="s">
        <v>71</v>
      </c>
      <c r="L896" t="str">
        <f>IF(TRIM(K896)="","Unknown",PROPER(TRIM(K896)))</f>
        <v>West</v>
      </c>
      <c r="M896" t="s">
        <v>27</v>
      </c>
      <c r="N896" t="s">
        <v>129</v>
      </c>
      <c r="O896" t="s">
        <v>83</v>
      </c>
      <c r="P896" t="str">
        <f>IF(TRIM(O896)="","Unknown",PROPER(TRIM(O896)))</f>
        <v>Technology</v>
      </c>
      <c r="Q896" t="s">
        <v>84</v>
      </c>
      <c r="R896" t="s">
        <v>3317</v>
      </c>
      <c r="S896" t="s">
        <v>65</v>
      </c>
      <c r="T896" t="str">
        <f>IF(TRIM(S896)="","Unknown",PROPER(TRIM(S896)))</f>
        <v>Standard Class</v>
      </c>
      <c r="U896">
        <v>5</v>
      </c>
      <c r="V896">
        <v>2190.14</v>
      </c>
      <c r="W896">
        <v>0.25</v>
      </c>
      <c r="Y896">
        <v>0.25</v>
      </c>
      <c r="Z896">
        <v>8213.02</v>
      </c>
      <c r="AA896">
        <v>5569.3</v>
      </c>
      <c r="AB896">
        <v>2643.72</v>
      </c>
      <c r="AC896" t="s">
        <v>33</v>
      </c>
      <c r="AD896" t="s">
        <v>34</v>
      </c>
      <c r="AE896">
        <f>ROUND((U896*V896)-(U896*V896*Y896),2)</f>
        <v>8213.0300000000007</v>
      </c>
      <c r="AF896">
        <f>AE896-AA896</f>
        <v>2643.7300000000005</v>
      </c>
      <c r="AG896" s="7">
        <f>ROUND((AF896/AE896),4)</f>
        <v>0.32190000000000002</v>
      </c>
      <c r="AH896">
        <f>IF(AND(C896&lt;&gt;"",E896&lt;&gt;""),E896 - C896,"")</f>
        <v>4</v>
      </c>
      <c r="AI896" t="str">
        <f>IF(C896="","",TEXT(C896, "mmmm"))</f>
        <v>August</v>
      </c>
      <c r="AJ896">
        <f>IF(C896="","",YEAR(C896))</f>
        <v>2025</v>
      </c>
      <c r="AM896" t="str">
        <f>IF(AN896="","clean","")</f>
        <v>clean</v>
      </c>
    </row>
    <row r="897" spans="1:40">
      <c r="A897" t="s">
        <v>3321</v>
      </c>
      <c r="B897" t="s">
        <v>4083</v>
      </c>
      <c r="C897" s="6">
        <v>45940</v>
      </c>
      <c r="D897" t="s">
        <v>3322</v>
      </c>
      <c r="E897" s="6">
        <v>45941</v>
      </c>
      <c r="F897" t="s">
        <v>3323</v>
      </c>
      <c r="G897" t="s">
        <v>24</v>
      </c>
      <c r="H897" t="s">
        <v>24</v>
      </c>
      <c r="I897" t="s">
        <v>104</v>
      </c>
      <c r="J897" t="s">
        <v>104</v>
      </c>
      <c r="K897" t="s">
        <v>41</v>
      </c>
      <c r="L897" t="str">
        <f>IF(TRIM(K897)="","Unknown",PROPER(TRIM(K897)))</f>
        <v>East</v>
      </c>
      <c r="M897" t="s">
        <v>42</v>
      </c>
      <c r="N897" t="s">
        <v>43</v>
      </c>
      <c r="O897" t="s">
        <v>44</v>
      </c>
      <c r="P897" t="str">
        <f>IF(TRIM(O897)="","Unknown",PROPER(TRIM(O897)))</f>
        <v>Furniture</v>
      </c>
      <c r="Q897" t="s">
        <v>74</v>
      </c>
      <c r="R897" t="s">
        <v>3324</v>
      </c>
      <c r="S897" t="s">
        <v>32</v>
      </c>
      <c r="T897" t="str">
        <f>IF(TRIM(S897)="","Unknown",PROPER(TRIM(S897)))</f>
        <v>Second Class</v>
      </c>
      <c r="U897">
        <v>7</v>
      </c>
      <c r="V897">
        <v>3791.96</v>
      </c>
      <c r="W897">
        <v>0.05</v>
      </c>
      <c r="Y897">
        <v>0.05</v>
      </c>
      <c r="Z897">
        <v>25216.53</v>
      </c>
      <c r="AA897">
        <v>14216.94</v>
      </c>
      <c r="AB897">
        <v>10999.59</v>
      </c>
      <c r="AC897" t="s">
        <v>186</v>
      </c>
      <c r="AD897" t="s">
        <v>76</v>
      </c>
      <c r="AE897">
        <f>ROUND((U897*V897)-(U897*V897*Y897),2)</f>
        <v>25216.53</v>
      </c>
      <c r="AF897">
        <f>AE897-AA897</f>
        <v>10999.589999999998</v>
      </c>
      <c r="AG897" s="7">
        <f>ROUND((AF897/AE897),4)</f>
        <v>0.43619999999999998</v>
      </c>
      <c r="AH897">
        <f>IF(AND(C897&lt;&gt;"",E897&lt;&gt;""),E897 - C897,"")</f>
        <v>1</v>
      </c>
      <c r="AI897" t="str">
        <f>IF(C897="","",TEXT(C897, "mmmm"))</f>
        <v>October</v>
      </c>
      <c r="AJ897">
        <f>IF(C897="","",YEAR(C897))</f>
        <v>2025</v>
      </c>
      <c r="AM897" t="str">
        <f>IF(AN897="","clean","")</f>
        <v>clean</v>
      </c>
      <c r="AN897" t="s">
        <v>3595</v>
      </c>
    </row>
    <row r="898" spans="1:40">
      <c r="A898" t="s">
        <v>3328</v>
      </c>
      <c r="B898" t="s">
        <v>2554</v>
      </c>
      <c r="C898" s="6">
        <v>45853</v>
      </c>
      <c r="D898" t="s">
        <v>642</v>
      </c>
      <c r="E898" s="6">
        <v>45856</v>
      </c>
      <c r="F898" t="s">
        <v>3329</v>
      </c>
      <c r="G898" t="s">
        <v>103</v>
      </c>
      <c r="H898" t="s">
        <v>103</v>
      </c>
      <c r="I898" t="s">
        <v>40</v>
      </c>
      <c r="J898" t="s">
        <v>40</v>
      </c>
      <c r="L898" t="str">
        <f>IF(TRIM(K898)="","Unknown",PROPER(TRIM(K898)))</f>
        <v>Unknown</v>
      </c>
      <c r="M898" t="s">
        <v>309</v>
      </c>
      <c r="N898" t="s">
        <v>310</v>
      </c>
      <c r="O898" t="s">
        <v>83</v>
      </c>
      <c r="P898" t="str">
        <f>IF(TRIM(O898)="","Unknown",PROPER(TRIM(O898)))</f>
        <v>Technology</v>
      </c>
      <c r="Q898" t="s">
        <v>347</v>
      </c>
      <c r="R898" t="s">
        <v>3330</v>
      </c>
      <c r="S898" t="s">
        <v>55</v>
      </c>
      <c r="T898" t="str">
        <f>IF(TRIM(S898)="","Unknown",PROPER(TRIM(S898)))</f>
        <v>First Class</v>
      </c>
      <c r="U898">
        <v>6</v>
      </c>
      <c r="V898">
        <v>2382.88</v>
      </c>
      <c r="W898">
        <v>0.1</v>
      </c>
      <c r="Y898">
        <v>0.1</v>
      </c>
      <c r="Z898">
        <v>12867.55</v>
      </c>
      <c r="AA898">
        <v>10068.94</v>
      </c>
      <c r="AB898">
        <v>2798.61</v>
      </c>
      <c r="AC898" t="s">
        <v>33</v>
      </c>
      <c r="AD898" t="s">
        <v>34</v>
      </c>
      <c r="AE898">
        <f>ROUND((U898*V898)-(U898*V898*Y898),2)</f>
        <v>12867.55</v>
      </c>
      <c r="AF898">
        <f>AE898-AA898</f>
        <v>2798.6099999999988</v>
      </c>
      <c r="AG898" s="7">
        <f>ROUND((AF898/AE898),4)</f>
        <v>0.2175</v>
      </c>
      <c r="AH898">
        <f>IF(AND(C898&lt;&gt;"",E898&lt;&gt;""),E898 - C898,"")</f>
        <v>3</v>
      </c>
      <c r="AI898" t="str">
        <f>IF(C898="","",TEXT(C898, "mmmm"))</f>
        <v>July</v>
      </c>
      <c r="AJ898">
        <f>IF(C898="","",YEAR(C898))</f>
        <v>2025</v>
      </c>
      <c r="AM898" t="s">
        <v>4145</v>
      </c>
      <c r="AN898" t="s">
        <v>3597</v>
      </c>
    </row>
    <row r="899" spans="1:40">
      <c r="A899" t="s">
        <v>3331</v>
      </c>
      <c r="B899" t="s">
        <v>422</v>
      </c>
      <c r="C899" s="6">
        <v>45750</v>
      </c>
      <c r="D899" t="s">
        <v>2851</v>
      </c>
      <c r="E899" s="6">
        <v>45750</v>
      </c>
      <c r="F899" t="s">
        <v>3332</v>
      </c>
      <c r="G899" t="s">
        <v>196</v>
      </c>
      <c r="H899" t="s">
        <v>196</v>
      </c>
      <c r="I899" t="s">
        <v>110</v>
      </c>
      <c r="J899" t="s">
        <v>110</v>
      </c>
      <c r="L899" t="str">
        <f>IF(TRIM(K899)="","Unknown",PROPER(TRIM(K899)))</f>
        <v>Unknown</v>
      </c>
      <c r="M899" t="s">
        <v>294</v>
      </c>
      <c r="N899" t="s">
        <v>295</v>
      </c>
      <c r="O899" t="s">
        <v>44</v>
      </c>
      <c r="P899" t="str">
        <f>IF(TRIM(O899)="","Unknown",PROPER(TRIM(O899)))</f>
        <v>Furniture</v>
      </c>
      <c r="Q899" t="s">
        <v>74</v>
      </c>
      <c r="R899" t="s">
        <v>3333</v>
      </c>
      <c r="S899" t="s">
        <v>55</v>
      </c>
      <c r="T899" t="str">
        <f>IF(TRIM(S899)="","Unknown",PROPER(TRIM(S899)))</f>
        <v>First Class</v>
      </c>
      <c r="U899">
        <v>9</v>
      </c>
      <c r="V899">
        <v>3462.7</v>
      </c>
      <c r="W899">
        <v>0.15</v>
      </c>
      <c r="Y899">
        <v>0.15</v>
      </c>
      <c r="Z899">
        <v>26489.65</v>
      </c>
      <c r="AA899">
        <v>15818.46</v>
      </c>
      <c r="AB899">
        <v>10671.19</v>
      </c>
      <c r="AC899" t="s">
        <v>186</v>
      </c>
      <c r="AD899" t="s">
        <v>120</v>
      </c>
      <c r="AE899">
        <f>ROUND((U899*V899)-(U899*V899*Y899),2)</f>
        <v>26489.66</v>
      </c>
      <c r="AF899">
        <f>AE899-AA899</f>
        <v>10671.2</v>
      </c>
      <c r="AG899" s="7">
        <f>ROUND((AF899/AE899),4)</f>
        <v>0.40279999999999999</v>
      </c>
      <c r="AH899">
        <f>IF(AND(C899&lt;&gt;"",E899&lt;&gt;""),E899 - C899,"")</f>
        <v>0</v>
      </c>
      <c r="AI899" t="str">
        <f>IF(C899="","",TEXT(C899, "mmmm"))</f>
        <v>April</v>
      </c>
      <c r="AJ899">
        <f>IF(C899="","",YEAR(C899))</f>
        <v>2025</v>
      </c>
      <c r="AM899" t="s">
        <v>4145</v>
      </c>
      <c r="AN899" t="s">
        <v>3597</v>
      </c>
    </row>
    <row r="900" spans="1:40">
      <c r="A900" t="s">
        <v>3334</v>
      </c>
      <c r="B900" t="s">
        <v>4085</v>
      </c>
      <c r="C900" s="6">
        <v>45803</v>
      </c>
      <c r="D900" t="s">
        <v>3335</v>
      </c>
      <c r="F900" t="s">
        <v>3336</v>
      </c>
      <c r="G900" t="s">
        <v>334</v>
      </c>
      <c r="H900" t="s">
        <v>334</v>
      </c>
      <c r="I900" t="s">
        <v>40</v>
      </c>
      <c r="J900" t="s">
        <v>40</v>
      </c>
      <c r="K900" t="s">
        <v>60</v>
      </c>
      <c r="L900" t="str">
        <f>IF(TRIM(K900)="","Unknown",PROPER(TRIM(K900)))</f>
        <v>South</v>
      </c>
      <c r="M900" t="s">
        <v>97</v>
      </c>
      <c r="N900" t="s">
        <v>98</v>
      </c>
      <c r="O900" t="s">
        <v>83</v>
      </c>
      <c r="P900" t="str">
        <f>IF(TRIM(O900)="","Unknown",PROPER(TRIM(O900)))</f>
        <v>Technology</v>
      </c>
      <c r="Q900" t="s">
        <v>207</v>
      </c>
      <c r="R900" t="s">
        <v>3337</v>
      </c>
      <c r="S900" t="s">
        <v>32</v>
      </c>
      <c r="T900" t="str">
        <f>IF(TRIM(S900)="","Unknown",PROPER(TRIM(S900)))</f>
        <v>Second Class</v>
      </c>
      <c r="U900">
        <v>9</v>
      </c>
      <c r="V900">
        <v>4302.0200000000004</v>
      </c>
      <c r="W900">
        <v>0.05</v>
      </c>
      <c r="Y900">
        <v>0.05</v>
      </c>
      <c r="Z900">
        <v>36782.269999999997</v>
      </c>
      <c r="AA900">
        <v>25902.81</v>
      </c>
      <c r="AB900">
        <v>10879.46</v>
      </c>
      <c r="AC900" t="s">
        <v>33</v>
      </c>
      <c r="AD900" t="s">
        <v>34</v>
      </c>
      <c r="AE900">
        <f>ROUND((U900*V900)-(U900*V900*Y900),2)</f>
        <v>36782.269999999997</v>
      </c>
      <c r="AF900">
        <f>AE900-AA900</f>
        <v>10879.459999999995</v>
      </c>
      <c r="AG900" s="7">
        <f>ROUND((AF900/AE900),4)</f>
        <v>0.29580000000000001</v>
      </c>
      <c r="AH900" t="str">
        <f>IF(AND(C900&lt;&gt;"",E900&lt;&gt;""),E900 - C900,"")</f>
        <v/>
      </c>
      <c r="AI900" t="str">
        <f>IF(C900="","",TEXT(C900, "mmmm"))</f>
        <v>May</v>
      </c>
      <c r="AJ900">
        <f>IF(C900="","",YEAR(C900))</f>
        <v>2025</v>
      </c>
      <c r="AM900" t="s">
        <v>4144</v>
      </c>
      <c r="AN900" t="s">
        <v>4136</v>
      </c>
    </row>
    <row r="901" spans="1:40">
      <c r="A901" t="s">
        <v>3346</v>
      </c>
      <c r="B901" t="s">
        <v>2413</v>
      </c>
      <c r="C901" s="6">
        <v>45926</v>
      </c>
      <c r="D901" t="s">
        <v>847</v>
      </c>
      <c r="E901" s="6">
        <v>45934</v>
      </c>
      <c r="F901" t="s">
        <v>3347</v>
      </c>
      <c r="G901" t="s">
        <v>136</v>
      </c>
      <c r="H901" t="s">
        <v>136</v>
      </c>
      <c r="I901" t="s">
        <v>40</v>
      </c>
      <c r="J901" t="s">
        <v>40</v>
      </c>
      <c r="K901" t="s">
        <v>41</v>
      </c>
      <c r="L901" t="str">
        <f>IF(TRIM(K901)="","Unknown",PROPER(TRIM(K901)))</f>
        <v>East</v>
      </c>
      <c r="M901" t="s">
        <v>201</v>
      </c>
      <c r="N901" t="s">
        <v>202</v>
      </c>
      <c r="O901" t="s">
        <v>83</v>
      </c>
      <c r="P901" t="str">
        <f>IF(TRIM(O901)="","Unknown",PROPER(TRIM(O901)))</f>
        <v>Technology</v>
      </c>
      <c r="Q901" t="s">
        <v>207</v>
      </c>
      <c r="R901" t="s">
        <v>3348</v>
      </c>
      <c r="S901" t="s">
        <v>32</v>
      </c>
      <c r="T901" t="str">
        <f>IF(TRIM(S901)="","Unknown",PROPER(TRIM(S901)))</f>
        <v>Second Class</v>
      </c>
      <c r="U901">
        <v>7</v>
      </c>
      <c r="V901">
        <v>1509.59</v>
      </c>
      <c r="W901">
        <v>0.05</v>
      </c>
      <c r="Y901">
        <v>0.05</v>
      </c>
      <c r="Z901">
        <v>10038.77</v>
      </c>
      <c r="AA901">
        <v>5673.1</v>
      </c>
      <c r="AB901">
        <v>4365.67</v>
      </c>
      <c r="AC901" t="s">
        <v>33</v>
      </c>
      <c r="AD901" t="s">
        <v>34</v>
      </c>
      <c r="AE901">
        <f>ROUND((U901*V901)-(U901*V901*Y901),2)</f>
        <v>10038.77</v>
      </c>
      <c r="AF901">
        <f>AE901-AA901</f>
        <v>4365.67</v>
      </c>
      <c r="AG901" s="7">
        <f>ROUND((AF901/AE901),4)</f>
        <v>0.43490000000000001</v>
      </c>
      <c r="AH901">
        <f>IF(AND(C901&lt;&gt;"",E901&lt;&gt;""),E901 - C901,"")</f>
        <v>8</v>
      </c>
      <c r="AI901" t="str">
        <f>IF(C901="","",TEXT(C901, "mmmm"))</f>
        <v>September</v>
      </c>
      <c r="AJ901">
        <f>IF(C901="","",YEAR(C901))</f>
        <v>2025</v>
      </c>
      <c r="AM901" t="str">
        <f>IF(AN901="","clean","")</f>
        <v>clean</v>
      </c>
      <c r="AN901" t="s">
        <v>3595</v>
      </c>
    </row>
    <row r="902" spans="1:40">
      <c r="A902" t="s">
        <v>3353</v>
      </c>
      <c r="B902" t="s">
        <v>3653</v>
      </c>
      <c r="C902" s="6">
        <v>45927</v>
      </c>
      <c r="D902" t="s">
        <v>3354</v>
      </c>
      <c r="E902" s="6">
        <v>45928</v>
      </c>
      <c r="F902" t="s">
        <v>3355</v>
      </c>
      <c r="G902" t="s">
        <v>24</v>
      </c>
      <c r="H902" t="s">
        <v>24</v>
      </c>
      <c r="I902" t="s">
        <v>110</v>
      </c>
      <c r="J902" t="s">
        <v>110</v>
      </c>
      <c r="K902" t="s">
        <v>71</v>
      </c>
      <c r="L902" t="str">
        <f>IF(TRIM(K902)="","Unknown",PROPER(TRIM(K902)))</f>
        <v>West</v>
      </c>
      <c r="M902" t="s">
        <v>72</v>
      </c>
      <c r="N902" t="s">
        <v>73</v>
      </c>
      <c r="O902" t="s">
        <v>29</v>
      </c>
      <c r="P902" t="str">
        <f>IF(TRIM(O902)="","Unknown",PROPER(TRIM(O902)))</f>
        <v>Office Supplies</v>
      </c>
      <c r="Q902" t="s">
        <v>30</v>
      </c>
      <c r="R902" t="s">
        <v>3356</v>
      </c>
      <c r="S902" t="s">
        <v>55</v>
      </c>
      <c r="T902" t="str">
        <f>IF(TRIM(S902)="","Unknown",PROPER(TRIM(S902)))</f>
        <v>First Class</v>
      </c>
      <c r="U902">
        <v>3</v>
      </c>
      <c r="V902">
        <v>4177.63</v>
      </c>
      <c r="W902">
        <v>0.25</v>
      </c>
      <c r="Y902">
        <v>0.25</v>
      </c>
      <c r="Z902">
        <v>9399.67</v>
      </c>
      <c r="AA902">
        <v>6540.37</v>
      </c>
      <c r="AB902">
        <v>2859.3</v>
      </c>
      <c r="AC902" t="s">
        <v>33</v>
      </c>
      <c r="AD902" t="s">
        <v>34</v>
      </c>
      <c r="AE902">
        <f>ROUND((U902*V902)-(U902*V902*Y902),2)</f>
        <v>9399.67</v>
      </c>
      <c r="AF902">
        <f>AE902-AA902</f>
        <v>2859.3</v>
      </c>
      <c r="AG902" s="7">
        <f>ROUND((AF902/AE902),4)</f>
        <v>0.30420000000000003</v>
      </c>
      <c r="AH902">
        <f>IF(AND(C902&lt;&gt;"",E902&lt;&gt;""),E902 - C902,"")</f>
        <v>1</v>
      </c>
      <c r="AI902" t="str">
        <f>IF(C902="","",TEXT(C902, "mmmm"))</f>
        <v>September</v>
      </c>
      <c r="AJ902">
        <f>IF(C902="","",YEAR(C902))</f>
        <v>2025</v>
      </c>
      <c r="AM902" t="str">
        <f>IF(AN902="","clean","")</f>
        <v>clean</v>
      </c>
      <c r="AN902" t="s">
        <v>3595</v>
      </c>
    </row>
    <row r="903" spans="1:40">
      <c r="A903" t="s">
        <v>3357</v>
      </c>
      <c r="B903" t="s">
        <v>422</v>
      </c>
      <c r="C903" s="6">
        <v>45750</v>
      </c>
      <c r="D903" t="s">
        <v>3358</v>
      </c>
      <c r="E903" s="6">
        <v>45754</v>
      </c>
      <c r="F903" t="s">
        <v>3359</v>
      </c>
      <c r="G903" t="s">
        <v>70</v>
      </c>
      <c r="H903" t="s">
        <v>70</v>
      </c>
      <c r="I903" t="s">
        <v>40</v>
      </c>
      <c r="J903" t="s">
        <v>40</v>
      </c>
      <c r="K903" t="s">
        <v>71</v>
      </c>
      <c r="L903" t="str">
        <f>IF(TRIM(K903)="","Unknown",PROPER(TRIM(K903)))</f>
        <v>West</v>
      </c>
      <c r="M903" t="s">
        <v>230</v>
      </c>
      <c r="N903" t="s">
        <v>231</v>
      </c>
      <c r="O903" t="s">
        <v>29</v>
      </c>
      <c r="P903" t="str">
        <f>IF(TRIM(O903)="","Unknown",PROPER(TRIM(O903)))</f>
        <v>Office Supplies</v>
      </c>
      <c r="Q903" t="s">
        <v>30</v>
      </c>
      <c r="R903" t="s">
        <v>3360</v>
      </c>
      <c r="S903" t="s">
        <v>47</v>
      </c>
      <c r="T903" t="str">
        <f>IF(TRIM(S903)="","Unknown",PROPER(TRIM(S903)))</f>
        <v>Same Day</v>
      </c>
      <c r="U903">
        <v>1</v>
      </c>
      <c r="V903">
        <v>1470.57</v>
      </c>
      <c r="W903">
        <v>0</v>
      </c>
      <c r="Y903">
        <v>0</v>
      </c>
      <c r="Z903">
        <v>1470.57</v>
      </c>
      <c r="AA903">
        <v>834.02</v>
      </c>
      <c r="AB903">
        <v>636.54999999999995</v>
      </c>
      <c r="AC903" t="s">
        <v>33</v>
      </c>
      <c r="AD903" t="s">
        <v>120</v>
      </c>
      <c r="AE903">
        <f>ROUND((U903*V903)-(U903*V903*Y903),2)</f>
        <v>1470.57</v>
      </c>
      <c r="AF903">
        <f>AE903-AA903</f>
        <v>636.54999999999995</v>
      </c>
      <c r="AG903" s="7">
        <f>ROUND((AF903/AE903),4)</f>
        <v>0.43290000000000001</v>
      </c>
      <c r="AH903">
        <f>IF(AND(C903&lt;&gt;"",E903&lt;&gt;""),E903 - C903,"")</f>
        <v>4</v>
      </c>
      <c r="AI903" t="str">
        <f>IF(C903="","",TEXT(C903, "mmmm"))</f>
        <v>April</v>
      </c>
      <c r="AJ903">
        <f>IF(C903="","",YEAR(C903))</f>
        <v>2025</v>
      </c>
      <c r="AM903" t="str">
        <f>IF(AN903="","clean","")</f>
        <v>clean</v>
      </c>
      <c r="AN903" t="s">
        <v>3595</v>
      </c>
    </row>
    <row r="904" spans="1:40">
      <c r="A904" t="s">
        <v>3365</v>
      </c>
      <c r="B904" t="s">
        <v>3828</v>
      </c>
      <c r="C904" s="6">
        <v>45919</v>
      </c>
      <c r="D904" t="s">
        <v>1932</v>
      </c>
      <c r="E904" s="6">
        <v>45919</v>
      </c>
      <c r="F904" t="s">
        <v>3366</v>
      </c>
      <c r="G904" t="s">
        <v>90</v>
      </c>
      <c r="H904" t="s">
        <v>90</v>
      </c>
      <c r="I904" t="s">
        <v>110</v>
      </c>
      <c r="J904" t="s">
        <v>110</v>
      </c>
      <c r="K904" t="s">
        <v>26</v>
      </c>
      <c r="L904" t="str">
        <f>IF(TRIM(K904)="","Unknown",PROPER(TRIM(K904)))</f>
        <v>North</v>
      </c>
      <c r="M904" t="s">
        <v>454</v>
      </c>
      <c r="N904" t="s">
        <v>455</v>
      </c>
      <c r="O904" t="s">
        <v>44</v>
      </c>
      <c r="P904" t="str">
        <f>IF(TRIM(O904)="","Unknown",PROPER(TRIM(O904)))</f>
        <v>Furniture</v>
      </c>
      <c r="Q904" t="s">
        <v>74</v>
      </c>
      <c r="R904" t="s">
        <v>3367</v>
      </c>
      <c r="S904" t="s">
        <v>47</v>
      </c>
      <c r="T904" t="str">
        <f>IF(TRIM(S904)="","Unknown",PROPER(TRIM(S904)))</f>
        <v>Same Day</v>
      </c>
      <c r="U904">
        <v>4</v>
      </c>
      <c r="V904">
        <v>1584.11</v>
      </c>
      <c r="W904">
        <v>0</v>
      </c>
      <c r="Y904">
        <v>0</v>
      </c>
      <c r="Z904">
        <v>6336.44</v>
      </c>
      <c r="AA904">
        <v>4680.68</v>
      </c>
      <c r="AB904">
        <v>1655.76</v>
      </c>
      <c r="AC904" t="s">
        <v>33</v>
      </c>
      <c r="AD904" t="s">
        <v>34</v>
      </c>
      <c r="AE904">
        <f>ROUND((U904*V904)-(U904*V904*Y904),2)</f>
        <v>6336.44</v>
      </c>
      <c r="AF904">
        <f>AE904-AA904</f>
        <v>1655.7599999999993</v>
      </c>
      <c r="AG904" s="7">
        <f>ROUND((AF904/AE904),4)</f>
        <v>0.26129999999999998</v>
      </c>
      <c r="AH904">
        <f>IF(AND(C904&lt;&gt;"",E904&lt;&gt;""),E904 - C904,"")</f>
        <v>0</v>
      </c>
      <c r="AI904" t="str">
        <f>IF(C904="","",TEXT(C904, "mmmm"))</f>
        <v>September</v>
      </c>
      <c r="AJ904">
        <f>IF(C904="","",YEAR(C904))</f>
        <v>2025</v>
      </c>
      <c r="AM904" t="str">
        <f>IF(AN904="","clean","")</f>
        <v>clean</v>
      </c>
      <c r="AN904" t="s">
        <v>3595</v>
      </c>
    </row>
    <row r="905" spans="1:40">
      <c r="A905" t="s">
        <v>3368</v>
      </c>
      <c r="B905" t="s">
        <v>4088</v>
      </c>
      <c r="C905" s="6">
        <v>45694</v>
      </c>
      <c r="D905" t="s">
        <v>3369</v>
      </c>
      <c r="E905" s="6">
        <v>45700</v>
      </c>
      <c r="F905" t="s">
        <v>3370</v>
      </c>
      <c r="G905" t="s">
        <v>70</v>
      </c>
      <c r="H905" t="s">
        <v>70</v>
      </c>
      <c r="I905" t="s">
        <v>40</v>
      </c>
      <c r="J905" t="s">
        <v>40</v>
      </c>
      <c r="K905" t="s">
        <v>41</v>
      </c>
      <c r="L905" t="str">
        <f>IF(TRIM(K905)="","Unknown",PROPER(TRIM(K905)))</f>
        <v>East</v>
      </c>
      <c r="M905" t="s">
        <v>174</v>
      </c>
      <c r="N905" t="s">
        <v>175</v>
      </c>
      <c r="O905" t="s">
        <v>29</v>
      </c>
      <c r="P905" t="str">
        <f>IF(TRIM(O905)="","Unknown",PROPER(TRIM(O905)))</f>
        <v>Office Supplies</v>
      </c>
      <c r="Q905" t="s">
        <v>53</v>
      </c>
      <c r="R905" t="s">
        <v>3371</v>
      </c>
      <c r="S905" t="s">
        <v>65</v>
      </c>
      <c r="T905" t="str">
        <f>IF(TRIM(S905)="","Unknown",PROPER(TRIM(S905)))</f>
        <v>Standard Class</v>
      </c>
      <c r="U905">
        <v>9</v>
      </c>
      <c r="V905">
        <v>3237.16</v>
      </c>
      <c r="W905">
        <v>0.25</v>
      </c>
      <c r="Y905">
        <v>0.25</v>
      </c>
      <c r="Z905">
        <v>21850.83</v>
      </c>
      <c r="AA905">
        <v>16600.13</v>
      </c>
      <c r="AB905">
        <v>5250.7</v>
      </c>
      <c r="AC905" t="s">
        <v>33</v>
      </c>
      <c r="AD905" t="s">
        <v>34</v>
      </c>
      <c r="AE905">
        <f>ROUND((U905*V905)-(U905*V905*Y905),2)</f>
        <v>21850.83</v>
      </c>
      <c r="AF905">
        <f>AE905-AA905</f>
        <v>5250.7000000000007</v>
      </c>
      <c r="AG905" s="7">
        <f>ROUND((AF905/AE905),4)</f>
        <v>0.24030000000000001</v>
      </c>
      <c r="AH905">
        <f>IF(AND(C905&lt;&gt;"",E905&lt;&gt;""),E905 - C905,"")</f>
        <v>6</v>
      </c>
      <c r="AI905" t="str">
        <f>IF(C905="","",TEXT(C905, "mmmm"))</f>
        <v>February</v>
      </c>
      <c r="AJ905">
        <f>IF(C905="","",YEAR(C905))</f>
        <v>2025</v>
      </c>
      <c r="AM905" t="str">
        <f>IF(AN905="","clean","")</f>
        <v>clean</v>
      </c>
      <c r="AN905" t="s">
        <v>3595</v>
      </c>
    </row>
    <row r="906" spans="1:40">
      <c r="A906" t="s">
        <v>3377</v>
      </c>
      <c r="B906" t="s">
        <v>2367</v>
      </c>
      <c r="C906" s="6">
        <v>45856</v>
      </c>
      <c r="D906" t="s">
        <v>3378</v>
      </c>
      <c r="E906" s="6">
        <v>45863</v>
      </c>
      <c r="F906" t="s">
        <v>3379</v>
      </c>
      <c r="G906" t="s">
        <v>136</v>
      </c>
      <c r="H906" t="s">
        <v>136</v>
      </c>
      <c r="I906" t="s">
        <v>40</v>
      </c>
      <c r="J906" t="s">
        <v>40</v>
      </c>
      <c r="K906" t="s">
        <v>26</v>
      </c>
      <c r="L906" t="str">
        <f>IF(TRIM(K906)="","Unknown",PROPER(TRIM(K906)))</f>
        <v>North</v>
      </c>
      <c r="M906" t="s">
        <v>163</v>
      </c>
      <c r="N906" t="s">
        <v>164</v>
      </c>
      <c r="O906" t="s">
        <v>83</v>
      </c>
      <c r="P906" t="str">
        <f>IF(TRIM(O906)="","Unknown",PROPER(TRIM(O906)))</f>
        <v>Technology</v>
      </c>
      <c r="Q906" t="s">
        <v>207</v>
      </c>
      <c r="R906" t="s">
        <v>3380</v>
      </c>
      <c r="S906" t="s">
        <v>55</v>
      </c>
      <c r="T906" t="str">
        <f>IF(TRIM(S906)="","Unknown",PROPER(TRIM(S906)))</f>
        <v>First Class</v>
      </c>
      <c r="U906">
        <v>9</v>
      </c>
      <c r="V906">
        <v>3989.52</v>
      </c>
      <c r="W906">
        <v>-0.02</v>
      </c>
      <c r="Y906">
        <v>0</v>
      </c>
      <c r="Z906">
        <v>35905.68</v>
      </c>
      <c r="AA906">
        <v>23916.1</v>
      </c>
      <c r="AB906">
        <v>11989.58</v>
      </c>
      <c r="AC906" t="s">
        <v>33</v>
      </c>
      <c r="AD906" t="s">
        <v>34</v>
      </c>
      <c r="AE906">
        <f>ROUND((U906*V906)-(U906*V906*Y906),2)</f>
        <v>35905.68</v>
      </c>
      <c r="AF906">
        <f>AE906-AA906</f>
        <v>11989.580000000002</v>
      </c>
      <c r="AG906" s="7">
        <f>ROUND((AF906/AE906),4)</f>
        <v>0.33389999999999997</v>
      </c>
      <c r="AH906">
        <f>IF(AND(C906&lt;&gt;"",E906&lt;&gt;""),E906 - C906,"")</f>
        <v>7</v>
      </c>
      <c r="AI906" t="str">
        <f>IF(C906="","",TEXT(C906, "mmmm"))</f>
        <v>July</v>
      </c>
      <c r="AJ906">
        <f>IF(C906="","",YEAR(C906))</f>
        <v>2025</v>
      </c>
      <c r="AM906" t="s">
        <v>4145</v>
      </c>
      <c r="AN906" t="s">
        <v>3596</v>
      </c>
    </row>
    <row r="907" spans="1:40">
      <c r="A907" t="s">
        <v>3381</v>
      </c>
      <c r="B907" t="s">
        <v>4090</v>
      </c>
      <c r="D907" t="s">
        <v>3382</v>
      </c>
      <c r="F907" t="s">
        <v>3383</v>
      </c>
      <c r="G907" t="s">
        <v>103</v>
      </c>
      <c r="H907" t="s">
        <v>103</v>
      </c>
      <c r="I907" t="s">
        <v>110</v>
      </c>
      <c r="J907" t="s">
        <v>110</v>
      </c>
      <c r="K907" t="s">
        <v>71</v>
      </c>
      <c r="L907" t="str">
        <f>IF(TRIM(K907)="","Unknown",PROPER(TRIM(K907)))</f>
        <v>West</v>
      </c>
      <c r="M907" t="s">
        <v>230</v>
      </c>
      <c r="N907" t="s">
        <v>231</v>
      </c>
      <c r="O907" t="s">
        <v>29</v>
      </c>
      <c r="P907" t="str">
        <f>IF(TRIM(O907)="","Unknown",PROPER(TRIM(O907)))</f>
        <v>Office Supplies</v>
      </c>
      <c r="Q907" t="s">
        <v>53</v>
      </c>
      <c r="R907" t="s">
        <v>3384</v>
      </c>
      <c r="S907" t="s">
        <v>55</v>
      </c>
      <c r="T907" t="str">
        <f>IF(TRIM(S907)="","Unknown",PROPER(TRIM(S907)))</f>
        <v>First Class</v>
      </c>
      <c r="U907">
        <v>1</v>
      </c>
      <c r="V907">
        <v>3515.15</v>
      </c>
      <c r="W907">
        <v>0</v>
      </c>
      <c r="Y907">
        <v>0</v>
      </c>
      <c r="Z907">
        <v>3515.15</v>
      </c>
      <c r="AA907">
        <v>2216.34</v>
      </c>
      <c r="AB907">
        <v>1298.81</v>
      </c>
      <c r="AC907" t="s">
        <v>33</v>
      </c>
      <c r="AD907" t="s">
        <v>34</v>
      </c>
      <c r="AE907">
        <f>ROUND((U907*V907)-(U907*V907*Y907),2)</f>
        <v>3515.15</v>
      </c>
      <c r="AF907">
        <f>AE907-AA907</f>
        <v>1298.81</v>
      </c>
      <c r="AG907" s="7">
        <f>ROUND((AF907/AE907),4)</f>
        <v>0.3695</v>
      </c>
      <c r="AH907" t="str">
        <f>IF(AND(C907&lt;&gt;"",E907&lt;&gt;""),E907 - C907,"")</f>
        <v/>
      </c>
      <c r="AI907" t="str">
        <f>IF(C907="","",TEXT(C907, "mmmm"))</f>
        <v/>
      </c>
      <c r="AJ907" t="str">
        <f>IF(C907="","",YEAR(C907))</f>
        <v/>
      </c>
      <c r="AM907" t="s">
        <v>4144</v>
      </c>
      <c r="AN907" t="s">
        <v>4123</v>
      </c>
    </row>
    <row r="908" spans="1:40">
      <c r="A908" t="s">
        <v>3392</v>
      </c>
      <c r="B908" t="s">
        <v>4092</v>
      </c>
      <c r="C908" s="6">
        <v>45797</v>
      </c>
      <c r="D908" t="s">
        <v>3393</v>
      </c>
      <c r="E908" s="6">
        <v>45799</v>
      </c>
      <c r="F908" t="s">
        <v>3394</v>
      </c>
      <c r="G908" t="s">
        <v>196</v>
      </c>
      <c r="H908" t="s">
        <v>196</v>
      </c>
      <c r="I908" t="s">
        <v>110</v>
      </c>
      <c r="J908" t="s">
        <v>110</v>
      </c>
      <c r="K908" t="s">
        <v>41</v>
      </c>
      <c r="L908" t="str">
        <f>IF(TRIM(K908)="","Unknown",PROPER(TRIM(K908)))</f>
        <v>East</v>
      </c>
      <c r="M908" t="s">
        <v>42</v>
      </c>
      <c r="N908" t="s">
        <v>43</v>
      </c>
      <c r="O908" t="s">
        <v>44</v>
      </c>
      <c r="P908" t="str">
        <f>IF(TRIM(O908)="","Unknown",PROPER(TRIM(O908)))</f>
        <v>Furniture</v>
      </c>
      <c r="Q908" t="s">
        <v>45</v>
      </c>
      <c r="R908" t="s">
        <v>3395</v>
      </c>
      <c r="S908" t="s">
        <v>32</v>
      </c>
      <c r="T908" t="str">
        <f>IF(TRIM(S908)="","Unknown",PROPER(TRIM(S908)))</f>
        <v>Second Class</v>
      </c>
      <c r="U908">
        <v>2</v>
      </c>
      <c r="V908">
        <v>210.08</v>
      </c>
      <c r="W908">
        <v>0.2</v>
      </c>
      <c r="Y908">
        <v>0.2</v>
      </c>
      <c r="Z908">
        <v>336.13</v>
      </c>
      <c r="AA908">
        <v>242.19</v>
      </c>
      <c r="AB908">
        <v>93.94</v>
      </c>
      <c r="AC908" t="s">
        <v>33</v>
      </c>
      <c r="AD908" t="s">
        <v>34</v>
      </c>
      <c r="AE908">
        <f>ROUND((U908*V908)-(U908*V908*Y908),2)</f>
        <v>336.13</v>
      </c>
      <c r="AF908">
        <f>AE908-AA908</f>
        <v>93.94</v>
      </c>
      <c r="AG908" s="7">
        <f>ROUND((AF908/AE908),4)</f>
        <v>0.27950000000000003</v>
      </c>
      <c r="AH908">
        <f>IF(AND(C908&lt;&gt;"",E908&lt;&gt;""),E908 - C908,"")</f>
        <v>2</v>
      </c>
      <c r="AI908" t="str">
        <f>IF(C908="","",TEXT(C908, "mmmm"))</f>
        <v>May</v>
      </c>
      <c r="AJ908">
        <f>IF(C908="","",YEAR(C908))</f>
        <v>2025</v>
      </c>
      <c r="AM908" t="str">
        <f>IF(AN908="","clean","")</f>
        <v>clean</v>
      </c>
      <c r="AN908" t="s">
        <v>3595</v>
      </c>
    </row>
    <row r="909" spans="1:40">
      <c r="A909" t="s">
        <v>3396</v>
      </c>
      <c r="B909" t="s">
        <v>2757</v>
      </c>
      <c r="D909" t="s">
        <v>3397</v>
      </c>
      <c r="E909" s="6">
        <v>45806</v>
      </c>
      <c r="F909" t="s">
        <v>3398</v>
      </c>
      <c r="G909" t="s">
        <v>141</v>
      </c>
      <c r="H909" t="s">
        <v>141</v>
      </c>
      <c r="I909" t="s">
        <v>110</v>
      </c>
      <c r="J909" t="s">
        <v>110</v>
      </c>
      <c r="K909" t="s">
        <v>60</v>
      </c>
      <c r="L909" t="str">
        <f>IF(TRIM(K909)="","Unknown",PROPER(TRIM(K909)))</f>
        <v>South</v>
      </c>
      <c r="M909" t="s">
        <v>309</v>
      </c>
      <c r="N909" t="s">
        <v>310</v>
      </c>
      <c r="O909" t="s">
        <v>44</v>
      </c>
      <c r="P909" t="str">
        <f>IF(TRIM(O909)="","Unknown",PROPER(TRIM(O909)))</f>
        <v>Furniture</v>
      </c>
      <c r="Q909" t="s">
        <v>63</v>
      </c>
      <c r="R909" t="s">
        <v>3399</v>
      </c>
      <c r="S909" t="s">
        <v>32</v>
      </c>
      <c r="T909" t="str">
        <f>IF(TRIM(S909)="","Unknown",PROPER(TRIM(S909)))</f>
        <v>Second Class</v>
      </c>
      <c r="U909">
        <v>1</v>
      </c>
      <c r="V909">
        <v>1744.35</v>
      </c>
      <c r="W909">
        <v>0.25</v>
      </c>
      <c r="Y909">
        <v>0.25</v>
      </c>
      <c r="Z909">
        <v>1308.26</v>
      </c>
      <c r="AA909">
        <v>1083.56</v>
      </c>
      <c r="AB909">
        <v>224.7</v>
      </c>
      <c r="AC909" t="s">
        <v>33</v>
      </c>
      <c r="AD909" t="s">
        <v>34</v>
      </c>
      <c r="AE909">
        <f>ROUND((U909*V909)-(U909*V909*Y909),2)</f>
        <v>1308.26</v>
      </c>
      <c r="AF909">
        <f>AE909-AA909</f>
        <v>224.70000000000005</v>
      </c>
      <c r="AG909" s="7">
        <f>ROUND((AF909/AE909),4)</f>
        <v>0.17180000000000001</v>
      </c>
      <c r="AH909" t="str">
        <f>IF(AND(C909&lt;&gt;"",E909&lt;&gt;""),E909 - C909,"")</f>
        <v/>
      </c>
      <c r="AI909" t="str">
        <f>IF(C909="","",TEXT(C909, "mmmm"))</f>
        <v/>
      </c>
      <c r="AJ909" t="str">
        <f>IF(C909="","",YEAR(C909))</f>
        <v/>
      </c>
      <c r="AM909" t="s">
        <v>4144</v>
      </c>
      <c r="AN909" t="s">
        <v>4127</v>
      </c>
    </row>
    <row r="910" spans="1:40">
      <c r="A910" t="s">
        <v>3412</v>
      </c>
      <c r="B910" t="s">
        <v>4095</v>
      </c>
      <c r="C910" s="6">
        <v>45793</v>
      </c>
      <c r="D910" t="s">
        <v>3393</v>
      </c>
      <c r="E910" s="6">
        <v>45799</v>
      </c>
      <c r="F910" t="s">
        <v>3413</v>
      </c>
      <c r="G910" t="s">
        <v>59</v>
      </c>
      <c r="H910" t="s">
        <v>59</v>
      </c>
      <c r="I910" t="s">
        <v>104</v>
      </c>
      <c r="J910" t="s">
        <v>104</v>
      </c>
      <c r="K910" t="s">
        <v>60</v>
      </c>
      <c r="L910" t="str">
        <f>IF(TRIM(K910)="","Unknown",PROPER(TRIM(K910)))</f>
        <v>South</v>
      </c>
      <c r="M910" t="s">
        <v>309</v>
      </c>
      <c r="N910" t="s">
        <v>310</v>
      </c>
      <c r="O910" t="s">
        <v>83</v>
      </c>
      <c r="P910" t="str">
        <f>IF(TRIM(O910)="","Unknown",PROPER(TRIM(O910)))</f>
        <v>Technology</v>
      </c>
      <c r="Q910" t="s">
        <v>84</v>
      </c>
      <c r="R910" t="s">
        <v>3414</v>
      </c>
      <c r="S910" t="s">
        <v>47</v>
      </c>
      <c r="T910" t="str">
        <f>IF(TRIM(S910)="","Unknown",PROPER(TRIM(S910)))</f>
        <v>Same Day</v>
      </c>
      <c r="U910">
        <v>8</v>
      </c>
      <c r="V910">
        <v>579.79999999999995</v>
      </c>
      <c r="W910">
        <v>0.2</v>
      </c>
      <c r="Y910">
        <v>0.2</v>
      </c>
      <c r="Z910">
        <v>3710.72</v>
      </c>
      <c r="AA910">
        <v>3115.29</v>
      </c>
      <c r="AB910">
        <v>595.42999999999995</v>
      </c>
      <c r="AC910" t="s">
        <v>33</v>
      </c>
      <c r="AD910" t="s">
        <v>34</v>
      </c>
      <c r="AE910">
        <f>ROUND((U910*V910)-(U910*V910*Y910),2)</f>
        <v>3710.72</v>
      </c>
      <c r="AF910">
        <f>AE910-AA910</f>
        <v>595.42999999999984</v>
      </c>
      <c r="AG910" s="7">
        <f>ROUND((AF910/AE910),4)</f>
        <v>0.1605</v>
      </c>
      <c r="AH910">
        <f>IF(AND(C910&lt;&gt;"",E910&lt;&gt;""),E910 - C910,"")</f>
        <v>6</v>
      </c>
      <c r="AI910" t="str">
        <f>IF(C910="","",TEXT(C910, "mmmm"))</f>
        <v>May</v>
      </c>
      <c r="AJ910">
        <f>IF(C910="","",YEAR(C910))</f>
        <v>2025</v>
      </c>
      <c r="AM910" t="str">
        <f>IF(AN910="","clean","")</f>
        <v>clean</v>
      </c>
      <c r="AN910" t="s">
        <v>3595</v>
      </c>
    </row>
    <row r="911" spans="1:40">
      <c r="A911" t="s">
        <v>3415</v>
      </c>
      <c r="B911" t="s">
        <v>4096</v>
      </c>
      <c r="C911" s="6">
        <v>45741</v>
      </c>
      <c r="D911" t="s">
        <v>3416</v>
      </c>
      <c r="E911" s="6">
        <v>45749</v>
      </c>
      <c r="F911" t="s">
        <v>3417</v>
      </c>
      <c r="G911" t="s">
        <v>136</v>
      </c>
      <c r="H911" t="s">
        <v>136</v>
      </c>
      <c r="I911" t="s">
        <v>25</v>
      </c>
      <c r="J911" t="s">
        <v>25</v>
      </c>
      <c r="K911" t="s">
        <v>60</v>
      </c>
      <c r="L911" t="str">
        <f>IF(TRIM(K911)="","Unknown",PROPER(TRIM(K911)))</f>
        <v>South</v>
      </c>
      <c r="M911" t="s">
        <v>212</v>
      </c>
      <c r="N911" t="s">
        <v>213</v>
      </c>
      <c r="O911" t="s">
        <v>44</v>
      </c>
      <c r="P911" t="str">
        <f>IF(TRIM(O911)="","Unknown",PROPER(TRIM(O911)))</f>
        <v>Furniture</v>
      </c>
      <c r="Q911" t="s">
        <v>190</v>
      </c>
      <c r="R911" t="s">
        <v>3418</v>
      </c>
      <c r="S911" t="s">
        <v>32</v>
      </c>
      <c r="T911" t="str">
        <f>IF(TRIM(S911)="","Unknown",PROPER(TRIM(S911)))</f>
        <v>Second Class</v>
      </c>
      <c r="U911">
        <v>4</v>
      </c>
      <c r="V911">
        <v>2233.64</v>
      </c>
      <c r="W911">
        <v>0.05</v>
      </c>
      <c r="Y911">
        <v>0.05</v>
      </c>
      <c r="Z911">
        <v>8487.83</v>
      </c>
      <c r="AA911">
        <v>5245.72</v>
      </c>
      <c r="AB911">
        <v>3242.11</v>
      </c>
      <c r="AC911" t="s">
        <v>33</v>
      </c>
      <c r="AD911" t="s">
        <v>34</v>
      </c>
      <c r="AE911">
        <f>ROUND((U911*V911)-(U911*V911*Y911),2)</f>
        <v>8487.83</v>
      </c>
      <c r="AF911">
        <f>AE911-AA911</f>
        <v>3242.1099999999997</v>
      </c>
      <c r="AG911" s="7">
        <f>ROUND((AF911/AE911),4)</f>
        <v>0.38200000000000001</v>
      </c>
      <c r="AH911">
        <f>IF(AND(C911&lt;&gt;"",E911&lt;&gt;""),E911 - C911,"")</f>
        <v>8</v>
      </c>
      <c r="AI911" t="str">
        <f>IF(C911="","",TEXT(C911, "mmmm"))</f>
        <v>March</v>
      </c>
      <c r="AJ911">
        <f>IF(C911="","",YEAR(C911))</f>
        <v>2025</v>
      </c>
      <c r="AM911" t="str">
        <f>IF(AN911="","clean","")</f>
        <v>clean</v>
      </c>
      <c r="AN911" t="s">
        <v>3595</v>
      </c>
    </row>
    <row r="912" spans="1:40">
      <c r="A912" t="s">
        <v>3439</v>
      </c>
      <c r="B912" t="s">
        <v>4099</v>
      </c>
      <c r="C912" s="6">
        <v>45724</v>
      </c>
      <c r="D912" t="s">
        <v>3440</v>
      </c>
      <c r="E912" s="6">
        <v>45725</v>
      </c>
      <c r="F912" t="s">
        <v>3441</v>
      </c>
      <c r="G912" t="s">
        <v>136</v>
      </c>
      <c r="H912" t="s">
        <v>136</v>
      </c>
      <c r="I912" t="s">
        <v>110</v>
      </c>
      <c r="J912" t="s">
        <v>110</v>
      </c>
      <c r="K912" t="s">
        <v>26</v>
      </c>
      <c r="L912" t="str">
        <f>IF(TRIM(K912)="","Unknown",PROPER(TRIM(K912)))</f>
        <v>North</v>
      </c>
      <c r="M912" t="s">
        <v>454</v>
      </c>
      <c r="N912" t="s">
        <v>455</v>
      </c>
      <c r="O912" t="s">
        <v>44</v>
      </c>
      <c r="P912" t="str">
        <f>IF(TRIM(O912)="","Unknown",PROPER(TRIM(O912)))</f>
        <v>Furniture</v>
      </c>
      <c r="Q912" t="s">
        <v>63</v>
      </c>
      <c r="R912" t="s">
        <v>3442</v>
      </c>
      <c r="S912" t="s">
        <v>47</v>
      </c>
      <c r="T912" t="str">
        <f>IF(TRIM(S912)="","Unknown",PROPER(TRIM(S912)))</f>
        <v>Same Day</v>
      </c>
      <c r="U912">
        <v>4</v>
      </c>
      <c r="V912">
        <v>3405.68</v>
      </c>
      <c r="W912">
        <v>0.2</v>
      </c>
      <c r="Y912">
        <v>0.2</v>
      </c>
      <c r="Z912">
        <v>10898.18</v>
      </c>
      <c r="AA912">
        <v>6231.41</v>
      </c>
      <c r="AB912">
        <v>4666.7700000000004</v>
      </c>
      <c r="AC912" t="s">
        <v>33</v>
      </c>
      <c r="AD912" t="s">
        <v>34</v>
      </c>
      <c r="AE912">
        <f>ROUND((U912*V912)-(U912*V912*Y912),2)</f>
        <v>10898.18</v>
      </c>
      <c r="AF912">
        <f>AE912-AA912</f>
        <v>4666.7700000000004</v>
      </c>
      <c r="AG912" s="7">
        <f>ROUND((AF912/AE912),4)</f>
        <v>0.42820000000000003</v>
      </c>
      <c r="AH912">
        <f>IF(AND(C912&lt;&gt;"",E912&lt;&gt;""),E912 - C912,"")</f>
        <v>1</v>
      </c>
      <c r="AI912" t="str">
        <f>IF(C912="","",TEXT(C912, "mmmm"))</f>
        <v>March</v>
      </c>
      <c r="AJ912">
        <f>IF(C912="","",YEAR(C912))</f>
        <v>2025</v>
      </c>
      <c r="AM912" t="str">
        <f>IF(AN912="","clean","")</f>
        <v>clean</v>
      </c>
      <c r="AN912" t="s">
        <v>3595</v>
      </c>
    </row>
    <row r="913" spans="1:40">
      <c r="A913" t="s">
        <v>3443</v>
      </c>
      <c r="B913" t="s">
        <v>2902</v>
      </c>
      <c r="C913" s="6">
        <v>45742</v>
      </c>
      <c r="D913" t="s">
        <v>3444</v>
      </c>
      <c r="F913" t="s">
        <v>3445</v>
      </c>
      <c r="G913" t="s">
        <v>136</v>
      </c>
      <c r="H913" t="s">
        <v>136</v>
      </c>
      <c r="I913" t="s">
        <v>40</v>
      </c>
      <c r="J913" t="s">
        <v>40</v>
      </c>
      <c r="K913" t="s">
        <v>41</v>
      </c>
      <c r="L913" t="str">
        <f>IF(TRIM(K913)="","Unknown",PROPER(TRIM(K913)))</f>
        <v>East</v>
      </c>
      <c r="M913" t="s">
        <v>284</v>
      </c>
      <c r="N913" t="s">
        <v>285</v>
      </c>
      <c r="O913" t="s">
        <v>29</v>
      </c>
      <c r="P913" t="str">
        <f>IF(TRIM(O913)="","Unknown",PROPER(TRIM(O913)))</f>
        <v>Office Supplies</v>
      </c>
      <c r="Q913" t="s">
        <v>184</v>
      </c>
      <c r="R913" t="s">
        <v>3446</v>
      </c>
      <c r="S913" t="s">
        <v>55</v>
      </c>
      <c r="T913" t="str">
        <f>IF(TRIM(S913)="","Unknown",PROPER(TRIM(S913)))</f>
        <v>First Class</v>
      </c>
      <c r="U913">
        <v>5</v>
      </c>
      <c r="V913">
        <v>1395.14</v>
      </c>
      <c r="W913">
        <v>0</v>
      </c>
      <c r="Y913">
        <v>0</v>
      </c>
      <c r="Z913">
        <v>6975.7</v>
      </c>
      <c r="AA913">
        <v>4797.88</v>
      </c>
      <c r="AB913">
        <v>2177.8200000000002</v>
      </c>
      <c r="AC913" t="s">
        <v>33</v>
      </c>
      <c r="AD913" t="s">
        <v>76</v>
      </c>
      <c r="AE913">
        <f>ROUND((U913*V913)-(U913*V913*Y913),2)</f>
        <v>6975.7</v>
      </c>
      <c r="AF913">
        <f>AE913-AA913</f>
        <v>2177.8199999999997</v>
      </c>
      <c r="AG913" s="7">
        <f>ROUND((AF913/AE913),4)</f>
        <v>0.31219999999999998</v>
      </c>
      <c r="AH913" t="str">
        <f>IF(AND(C913&lt;&gt;"",E913&lt;&gt;""),E913 - C913,"")</f>
        <v/>
      </c>
      <c r="AI913" t="str">
        <f>IF(C913="","",TEXT(C913, "mmmm"))</f>
        <v>March</v>
      </c>
      <c r="AJ913">
        <f>IF(C913="","",YEAR(C913))</f>
        <v>2025</v>
      </c>
      <c r="AM913" t="s">
        <v>4144</v>
      </c>
      <c r="AN913" t="s">
        <v>4136</v>
      </c>
    </row>
    <row r="914" spans="1:40">
      <c r="A914" t="s">
        <v>3447</v>
      </c>
      <c r="B914" t="s">
        <v>4100</v>
      </c>
      <c r="C914" s="6">
        <v>45906</v>
      </c>
      <c r="D914" t="s">
        <v>2397</v>
      </c>
      <c r="E914" s="6">
        <v>45908</v>
      </c>
      <c r="F914" t="s">
        <v>3448</v>
      </c>
      <c r="G914" t="s">
        <v>153</v>
      </c>
      <c r="H914" t="s">
        <v>153</v>
      </c>
      <c r="I914" t="s">
        <v>110</v>
      </c>
      <c r="J914" t="s">
        <v>110</v>
      </c>
      <c r="K914" t="s">
        <v>71</v>
      </c>
      <c r="L914" t="str">
        <f>IF(TRIM(K914)="","Unknown",PROPER(TRIM(K914)))</f>
        <v>West</v>
      </c>
      <c r="M914" t="s">
        <v>81</v>
      </c>
      <c r="N914" t="s">
        <v>82</v>
      </c>
      <c r="O914" t="s">
        <v>44</v>
      </c>
      <c r="P914" t="str">
        <f>IF(TRIM(O914)="","Unknown",PROPER(TRIM(O914)))</f>
        <v>Furniture</v>
      </c>
      <c r="Q914" t="s">
        <v>63</v>
      </c>
      <c r="R914" t="s">
        <v>3449</v>
      </c>
      <c r="S914" t="s">
        <v>47</v>
      </c>
      <c r="T914" t="str">
        <f>IF(TRIM(S914)="","Unknown",PROPER(TRIM(S914)))</f>
        <v>Same Day</v>
      </c>
      <c r="U914">
        <v>3</v>
      </c>
      <c r="V914">
        <v>2937.23</v>
      </c>
      <c r="W914">
        <v>0</v>
      </c>
      <c r="Y914">
        <v>0</v>
      </c>
      <c r="Z914">
        <v>8811.69</v>
      </c>
      <c r="AA914">
        <v>6765.91</v>
      </c>
      <c r="AB914">
        <v>2045.78</v>
      </c>
      <c r="AC914" t="s">
        <v>33</v>
      </c>
      <c r="AD914" t="s">
        <v>34</v>
      </c>
      <c r="AE914">
        <f>ROUND((U914*V914)-(U914*V914*Y914),2)</f>
        <v>8811.69</v>
      </c>
      <c r="AF914">
        <f>AE914-AA914</f>
        <v>2045.7800000000007</v>
      </c>
      <c r="AG914" s="7">
        <f>ROUND((AF914/AE914),4)</f>
        <v>0.23219999999999999</v>
      </c>
      <c r="AH914">
        <f>IF(AND(C914&lt;&gt;"",E914&lt;&gt;""),E914 - C914,"")</f>
        <v>2</v>
      </c>
      <c r="AI914" t="str">
        <f>IF(C914="","",TEXT(C914, "mmmm"))</f>
        <v>September</v>
      </c>
      <c r="AJ914">
        <f>IF(C914="","",YEAR(C914))</f>
        <v>2025</v>
      </c>
      <c r="AM914" t="str">
        <f>IF(AN914="","clean","")</f>
        <v>clean</v>
      </c>
      <c r="AN914" t="s">
        <v>3595</v>
      </c>
    </row>
    <row r="915" spans="1:40">
      <c r="A915" t="s">
        <v>3450</v>
      </c>
      <c r="B915" t="s">
        <v>4101</v>
      </c>
      <c r="C915" s="6">
        <v>45902</v>
      </c>
      <c r="D915" t="s">
        <v>514</v>
      </c>
      <c r="E915" s="6">
        <v>45905</v>
      </c>
      <c r="F915" t="s">
        <v>3451</v>
      </c>
      <c r="G915" t="s">
        <v>80</v>
      </c>
      <c r="H915" t="s">
        <v>80</v>
      </c>
      <c r="I915" t="s">
        <v>25</v>
      </c>
      <c r="J915" t="s">
        <v>25</v>
      </c>
      <c r="K915" t="s">
        <v>60</v>
      </c>
      <c r="L915" t="str">
        <f>IF(TRIM(K915)="","Unknown",PROPER(TRIM(K915)))</f>
        <v>South</v>
      </c>
      <c r="M915" t="s">
        <v>309</v>
      </c>
      <c r="N915" t="s">
        <v>310</v>
      </c>
      <c r="O915" t="s">
        <v>83</v>
      </c>
      <c r="P915" t="str">
        <f>IF(TRIM(O915)="","Unknown",PROPER(TRIM(O915)))</f>
        <v>Technology</v>
      </c>
      <c r="Q915" t="s">
        <v>207</v>
      </c>
      <c r="R915" t="s">
        <v>3452</v>
      </c>
      <c r="S915" t="s">
        <v>55</v>
      </c>
      <c r="T915" t="str">
        <f>IF(TRIM(S915)="","Unknown",PROPER(TRIM(S915)))</f>
        <v>First Class</v>
      </c>
      <c r="U915">
        <v>5</v>
      </c>
      <c r="V915">
        <v>3406.87</v>
      </c>
      <c r="W915">
        <v>0</v>
      </c>
      <c r="Y915">
        <v>0</v>
      </c>
      <c r="Z915">
        <v>17034.349999999999</v>
      </c>
      <c r="AA915">
        <v>14631.36</v>
      </c>
      <c r="AB915">
        <v>2402.9899999999998</v>
      </c>
      <c r="AC915" t="s">
        <v>33</v>
      </c>
      <c r="AD915" t="s">
        <v>34</v>
      </c>
      <c r="AE915">
        <f>ROUND((U915*V915)-(U915*V915*Y915),2)</f>
        <v>17034.349999999999</v>
      </c>
      <c r="AF915">
        <f>AE915-AA915</f>
        <v>2402.989999999998</v>
      </c>
      <c r="AG915" s="7">
        <f>ROUND((AF915/AE915),4)</f>
        <v>0.1411</v>
      </c>
      <c r="AH915">
        <f>IF(AND(C915&lt;&gt;"",E915&lt;&gt;""),E915 - C915,"")</f>
        <v>3</v>
      </c>
      <c r="AI915" t="str">
        <f>IF(C915="","",TEXT(C915, "mmmm"))</f>
        <v>September</v>
      </c>
      <c r="AJ915">
        <f>IF(C915="","",YEAR(C915))</f>
        <v>2025</v>
      </c>
      <c r="AM915" t="str">
        <f>IF(AN915="","clean","")</f>
        <v>clean</v>
      </c>
      <c r="AN915" t="s">
        <v>3595</v>
      </c>
    </row>
    <row r="916" spans="1:40">
      <c r="A916" t="s">
        <v>3453</v>
      </c>
      <c r="B916" t="s">
        <v>4077</v>
      </c>
      <c r="C916" s="6">
        <v>45694</v>
      </c>
      <c r="D916" t="s">
        <v>1692</v>
      </c>
      <c r="E916" s="6">
        <v>45702</v>
      </c>
      <c r="F916" t="s">
        <v>3454</v>
      </c>
      <c r="G916" t="s">
        <v>334</v>
      </c>
      <c r="H916" t="s">
        <v>334</v>
      </c>
      <c r="I916" t="s">
        <v>25</v>
      </c>
      <c r="J916" t="s">
        <v>25</v>
      </c>
      <c r="K916" t="s">
        <v>71</v>
      </c>
      <c r="L916" t="str">
        <f>IF(TRIM(K916)="","Unknown",PROPER(TRIM(K916)))</f>
        <v>West</v>
      </c>
      <c r="M916" t="s">
        <v>72</v>
      </c>
      <c r="N916" t="s">
        <v>73</v>
      </c>
      <c r="O916" t="s">
        <v>29</v>
      </c>
      <c r="P916" t="str">
        <f>IF(TRIM(O916)="","Unknown",PROPER(TRIM(O916)))</f>
        <v>Office Supplies</v>
      </c>
      <c r="Q916" t="s">
        <v>105</v>
      </c>
      <c r="R916" t="s">
        <v>3455</v>
      </c>
      <c r="S916" t="s">
        <v>32</v>
      </c>
      <c r="T916" t="str">
        <f>IF(TRIM(S916)="","Unknown",PROPER(TRIM(S916)))</f>
        <v>Second Class</v>
      </c>
      <c r="U916">
        <v>2</v>
      </c>
      <c r="V916">
        <v>3992.04</v>
      </c>
      <c r="W916">
        <v>0</v>
      </c>
      <c r="Y916">
        <v>0</v>
      </c>
      <c r="Z916">
        <v>7984.08</v>
      </c>
      <c r="AA916">
        <v>5658.05</v>
      </c>
      <c r="AB916">
        <v>2326.0300000000002</v>
      </c>
      <c r="AC916" t="s">
        <v>33</v>
      </c>
      <c r="AD916" t="s">
        <v>34</v>
      </c>
      <c r="AE916">
        <f>ROUND((U916*V916)-(U916*V916*Y916),2)</f>
        <v>7984.08</v>
      </c>
      <c r="AF916">
        <f>AE916-AA916</f>
        <v>2326.0299999999997</v>
      </c>
      <c r="AG916" s="7">
        <f>ROUND((AF916/AE916),4)</f>
        <v>0.2913</v>
      </c>
      <c r="AH916">
        <f>IF(AND(C916&lt;&gt;"",E916&lt;&gt;""),E916 - C916,"")</f>
        <v>8</v>
      </c>
      <c r="AI916" t="str">
        <f>IF(C916="","",TEXT(C916, "mmmm"))</f>
        <v>February</v>
      </c>
      <c r="AJ916">
        <f>IF(C916="","",YEAR(C916))</f>
        <v>2025</v>
      </c>
      <c r="AM916" t="str">
        <f>IF(AN916="","clean","")</f>
        <v>clean</v>
      </c>
      <c r="AN916" t="s">
        <v>3595</v>
      </c>
    </row>
    <row r="917" spans="1:40">
      <c r="A917" t="s">
        <v>3456</v>
      </c>
      <c r="B917" t="s">
        <v>1046</v>
      </c>
      <c r="C917" s="6">
        <v>45714</v>
      </c>
      <c r="D917" t="s">
        <v>3457</v>
      </c>
      <c r="E917" s="6">
        <v>45722</v>
      </c>
      <c r="F917" t="s">
        <v>3458</v>
      </c>
      <c r="G917" t="s">
        <v>136</v>
      </c>
      <c r="H917" t="s">
        <v>136</v>
      </c>
      <c r="I917" t="s">
        <v>25</v>
      </c>
      <c r="J917" t="s">
        <v>25</v>
      </c>
      <c r="K917" t="s">
        <v>41</v>
      </c>
      <c r="L917" t="str">
        <f>IF(TRIM(K917)="","Unknown",PROPER(TRIM(K917)))</f>
        <v>East</v>
      </c>
      <c r="M917" t="s">
        <v>174</v>
      </c>
      <c r="N917" t="s">
        <v>175</v>
      </c>
      <c r="O917" t="s">
        <v>44</v>
      </c>
      <c r="P917" t="str">
        <f>IF(TRIM(O917)="","Unknown",PROPER(TRIM(O917)))</f>
        <v>Furniture</v>
      </c>
      <c r="Q917" t="s">
        <v>190</v>
      </c>
      <c r="R917" t="s">
        <v>3459</v>
      </c>
      <c r="S917" t="s">
        <v>55</v>
      </c>
      <c r="T917" t="str">
        <f>IF(TRIM(S917)="","Unknown",PROPER(TRIM(S917)))</f>
        <v>First Class</v>
      </c>
      <c r="U917">
        <v>9</v>
      </c>
      <c r="V917">
        <v>3043.37</v>
      </c>
      <c r="W917">
        <v>0.2</v>
      </c>
      <c r="Y917">
        <v>0.2</v>
      </c>
      <c r="Z917">
        <v>21912.26</v>
      </c>
      <c r="AA917">
        <v>16367.78</v>
      </c>
      <c r="AB917">
        <v>5544.48</v>
      </c>
      <c r="AC917" t="s">
        <v>131</v>
      </c>
      <c r="AD917" t="s">
        <v>76</v>
      </c>
      <c r="AE917">
        <f>ROUND((U917*V917)-(U917*V917*Y917),2)</f>
        <v>21912.26</v>
      </c>
      <c r="AF917">
        <f>AE917-AA917</f>
        <v>5544.4799999999977</v>
      </c>
      <c r="AG917" s="7">
        <f>ROUND((AF917/AE917),4)</f>
        <v>0.253</v>
      </c>
      <c r="AH917">
        <f>IF(AND(C917&lt;&gt;"",E917&lt;&gt;""),E917 - C917,"")</f>
        <v>8</v>
      </c>
      <c r="AI917" t="str">
        <f>IF(C917="","",TEXT(C917, "mmmm"))</f>
        <v>February</v>
      </c>
      <c r="AJ917">
        <f>IF(C917="","",YEAR(C917))</f>
        <v>2025</v>
      </c>
      <c r="AM917" t="str">
        <f>IF(AN917="","clean","")</f>
        <v>clean</v>
      </c>
      <c r="AN917" t="s">
        <v>3595</v>
      </c>
    </row>
    <row r="918" spans="1:40">
      <c r="A918" t="s">
        <v>3464</v>
      </c>
      <c r="B918" t="s">
        <v>3692</v>
      </c>
      <c r="C918" s="6">
        <v>45758</v>
      </c>
      <c r="D918" t="s">
        <v>1885</v>
      </c>
      <c r="E918" s="6">
        <v>45762</v>
      </c>
      <c r="F918" t="s">
        <v>3465</v>
      </c>
      <c r="G918" t="s">
        <v>80</v>
      </c>
      <c r="H918" t="s">
        <v>80</v>
      </c>
      <c r="I918" t="s">
        <v>110</v>
      </c>
      <c r="J918" t="s">
        <v>110</v>
      </c>
      <c r="K918" t="s">
        <v>60</v>
      </c>
      <c r="L918" t="str">
        <f>IF(TRIM(K918)="","Unknown",PROPER(TRIM(K918)))</f>
        <v>South</v>
      </c>
      <c r="M918" t="s">
        <v>212</v>
      </c>
      <c r="N918" t="s">
        <v>213</v>
      </c>
      <c r="O918" t="s">
        <v>29</v>
      </c>
      <c r="P918" t="str">
        <f>IF(TRIM(O918)="","Unknown",PROPER(TRIM(O918)))</f>
        <v>Office Supplies</v>
      </c>
      <c r="Q918" t="s">
        <v>148</v>
      </c>
      <c r="R918" t="s">
        <v>3466</v>
      </c>
      <c r="S918" t="s">
        <v>47</v>
      </c>
      <c r="T918" t="str">
        <f>IF(TRIM(S918)="","Unknown",PROPER(TRIM(S918)))</f>
        <v>Same Day</v>
      </c>
      <c r="U918">
        <v>9</v>
      </c>
      <c r="V918">
        <v>224.94</v>
      </c>
      <c r="W918">
        <v>0.05</v>
      </c>
      <c r="Y918">
        <v>0.05</v>
      </c>
      <c r="Z918">
        <v>1923.24</v>
      </c>
      <c r="AA918">
        <v>1093.6600000000001</v>
      </c>
      <c r="AB918">
        <v>829.58</v>
      </c>
      <c r="AC918" t="s">
        <v>33</v>
      </c>
      <c r="AD918" t="s">
        <v>34</v>
      </c>
      <c r="AE918">
        <f>ROUND((U918*V918)-(U918*V918*Y918),2)</f>
        <v>1923.24</v>
      </c>
      <c r="AF918">
        <f>AE918-AA918</f>
        <v>829.57999999999993</v>
      </c>
      <c r="AG918" s="7">
        <f>ROUND((AF918/AE918),4)</f>
        <v>0.43130000000000002</v>
      </c>
      <c r="AH918">
        <f>IF(AND(C918&lt;&gt;"",E918&lt;&gt;""),E918 - C918,"")</f>
        <v>4</v>
      </c>
      <c r="AI918" t="str">
        <f>IF(C918="","",TEXT(C918, "mmmm"))</f>
        <v>April</v>
      </c>
      <c r="AJ918">
        <f>IF(C918="","",YEAR(C918))</f>
        <v>2025</v>
      </c>
      <c r="AM918" t="str">
        <f>IF(AN918="","clean","")</f>
        <v>clean</v>
      </c>
      <c r="AN918" t="s">
        <v>3595</v>
      </c>
    </row>
    <row r="919" spans="1:40">
      <c r="A919" t="s">
        <v>3467</v>
      </c>
      <c r="B919" t="s">
        <v>4103</v>
      </c>
      <c r="C919" s="6">
        <v>45722</v>
      </c>
      <c r="D919" t="s">
        <v>701</v>
      </c>
      <c r="E919" s="6">
        <v>45723</v>
      </c>
      <c r="F919" t="s">
        <v>3468</v>
      </c>
      <c r="G919" t="s">
        <v>169</v>
      </c>
      <c r="H919" t="s">
        <v>169</v>
      </c>
      <c r="I919" t="s">
        <v>110</v>
      </c>
      <c r="J919" t="s">
        <v>110</v>
      </c>
      <c r="L919" t="str">
        <f>IF(TRIM(K919)="","Unknown",PROPER(TRIM(K919)))</f>
        <v>Unknown</v>
      </c>
      <c r="M919" t="s">
        <v>454</v>
      </c>
      <c r="N919" t="s">
        <v>455</v>
      </c>
      <c r="O919" t="s">
        <v>44</v>
      </c>
      <c r="P919" t="str">
        <f>IF(TRIM(O919)="","Unknown",PROPER(TRIM(O919)))</f>
        <v>Furniture</v>
      </c>
      <c r="Q919" t="s">
        <v>74</v>
      </c>
      <c r="R919" t="s">
        <v>1541</v>
      </c>
      <c r="S919" t="s">
        <v>47</v>
      </c>
      <c r="T919" t="str">
        <f>IF(TRIM(S919)="","Unknown",PROPER(TRIM(S919)))</f>
        <v>Same Day</v>
      </c>
      <c r="U919">
        <v>6</v>
      </c>
      <c r="V919">
        <v>796.65</v>
      </c>
      <c r="W919">
        <v>0.1</v>
      </c>
      <c r="Y919">
        <v>0.1</v>
      </c>
      <c r="Z919">
        <v>4301.91</v>
      </c>
      <c r="AA919">
        <v>2374.4</v>
      </c>
      <c r="AB919">
        <v>1927.51</v>
      </c>
      <c r="AC919" t="s">
        <v>33</v>
      </c>
      <c r="AD919" t="s">
        <v>34</v>
      </c>
      <c r="AE919">
        <f>ROUND((U919*V919)-(U919*V919*Y919),2)</f>
        <v>4301.91</v>
      </c>
      <c r="AF919">
        <f>AE919-AA919</f>
        <v>1927.5099999999998</v>
      </c>
      <c r="AG919" s="7">
        <f>ROUND((AF919/AE919),4)</f>
        <v>0.4481</v>
      </c>
      <c r="AH919">
        <f>IF(AND(C919&lt;&gt;"",E919&lt;&gt;""),E919 - C919,"")</f>
        <v>1</v>
      </c>
      <c r="AI919" t="str">
        <f>IF(C919="","",TEXT(C919, "mmmm"))</f>
        <v>March</v>
      </c>
      <c r="AJ919">
        <f>IF(C919="","",YEAR(C919))</f>
        <v>2025</v>
      </c>
      <c r="AM919" t="s">
        <v>4145</v>
      </c>
      <c r="AN919" t="s">
        <v>3597</v>
      </c>
    </row>
    <row r="920" spans="1:40">
      <c r="A920" t="s">
        <v>3469</v>
      </c>
      <c r="B920" t="s">
        <v>4104</v>
      </c>
      <c r="C920" s="6">
        <v>45814</v>
      </c>
      <c r="D920" t="s">
        <v>3470</v>
      </c>
      <c r="E920" s="6">
        <v>45815</v>
      </c>
      <c r="F920" t="s">
        <v>3471</v>
      </c>
      <c r="G920" t="s">
        <v>80</v>
      </c>
      <c r="H920" t="s">
        <v>80</v>
      </c>
      <c r="I920" t="s">
        <v>104</v>
      </c>
      <c r="J920" t="s">
        <v>104</v>
      </c>
      <c r="K920" t="s">
        <v>71</v>
      </c>
      <c r="L920" t="str">
        <f>IF(TRIM(K920)="","Unknown",PROPER(TRIM(K920)))</f>
        <v>West</v>
      </c>
      <c r="M920" t="s">
        <v>230</v>
      </c>
      <c r="N920" t="s">
        <v>231</v>
      </c>
      <c r="O920" t="s">
        <v>44</v>
      </c>
      <c r="P920" t="str">
        <f>IF(TRIM(O920)="","Unknown",PROPER(TRIM(O920)))</f>
        <v>Furniture</v>
      </c>
      <c r="Q920" t="s">
        <v>45</v>
      </c>
      <c r="R920" t="s">
        <v>3472</v>
      </c>
      <c r="S920" t="s">
        <v>65</v>
      </c>
      <c r="T920" t="str">
        <f>IF(TRIM(S920)="","Unknown",PROPER(TRIM(S920)))</f>
        <v>Standard Class</v>
      </c>
      <c r="U920">
        <v>9</v>
      </c>
      <c r="V920">
        <v>2932.92</v>
      </c>
      <c r="W920">
        <v>0.15</v>
      </c>
      <c r="Y920">
        <v>0.15</v>
      </c>
      <c r="Z920">
        <v>22436.84</v>
      </c>
      <c r="AA920">
        <v>17454.669999999998</v>
      </c>
      <c r="AB920">
        <v>4982.17</v>
      </c>
      <c r="AC920" t="s">
        <v>33</v>
      </c>
      <c r="AD920" t="s">
        <v>76</v>
      </c>
      <c r="AE920">
        <f>ROUND((U920*V920)-(U920*V920*Y920),2)</f>
        <v>22436.84</v>
      </c>
      <c r="AF920">
        <f>AE920-AA920</f>
        <v>4982.1700000000019</v>
      </c>
      <c r="AG920" s="7">
        <f>ROUND((AF920/AE920),4)</f>
        <v>0.22209999999999999</v>
      </c>
      <c r="AH920">
        <f>IF(AND(C920&lt;&gt;"",E920&lt;&gt;""),E920 - C920,"")</f>
        <v>1</v>
      </c>
      <c r="AI920" t="str">
        <f>IF(C920="","",TEXT(C920, "mmmm"))</f>
        <v>June</v>
      </c>
      <c r="AJ920">
        <f>IF(C920="","",YEAR(C920))</f>
        <v>2025</v>
      </c>
      <c r="AM920" t="str">
        <f>IF(AN920="","clean","")</f>
        <v>clean</v>
      </c>
      <c r="AN920" t="s">
        <v>3595</v>
      </c>
    </row>
    <row r="921" spans="1:40">
      <c r="A921" t="s">
        <v>3478</v>
      </c>
      <c r="B921" t="s">
        <v>4106</v>
      </c>
      <c r="C921" s="6">
        <v>45689</v>
      </c>
      <c r="D921" t="s">
        <v>3479</v>
      </c>
      <c r="E921" s="6">
        <v>45696</v>
      </c>
      <c r="F921" t="s">
        <v>3480</v>
      </c>
      <c r="G921" t="s">
        <v>103</v>
      </c>
      <c r="H921" t="s">
        <v>103</v>
      </c>
      <c r="I921" t="s">
        <v>110</v>
      </c>
      <c r="J921" t="s">
        <v>110</v>
      </c>
      <c r="K921" t="s">
        <v>71</v>
      </c>
      <c r="L921" t="str">
        <f>IF(TRIM(K921)="","Unknown",PROPER(TRIM(K921)))</f>
        <v>West</v>
      </c>
      <c r="M921" t="s">
        <v>218</v>
      </c>
      <c r="N921" t="s">
        <v>219</v>
      </c>
      <c r="O921" t="s">
        <v>29</v>
      </c>
      <c r="P921" t="str">
        <f>IF(TRIM(O921)="","Unknown",PROPER(TRIM(O921)))</f>
        <v>Office Supplies</v>
      </c>
      <c r="Q921" t="s">
        <v>148</v>
      </c>
      <c r="R921" t="s">
        <v>3481</v>
      </c>
      <c r="S921" t="s">
        <v>32</v>
      </c>
      <c r="T921" t="str">
        <f>IF(TRIM(S921)="","Unknown",PROPER(TRIM(S921)))</f>
        <v>Second Class</v>
      </c>
      <c r="U921">
        <v>8</v>
      </c>
      <c r="V921">
        <v>623.30999999999995</v>
      </c>
      <c r="W921">
        <v>0.1</v>
      </c>
      <c r="Y921">
        <v>0.1</v>
      </c>
      <c r="Z921">
        <v>4487.83</v>
      </c>
      <c r="AA921">
        <v>2633.78</v>
      </c>
      <c r="AB921">
        <v>1854.05</v>
      </c>
      <c r="AC921" t="s">
        <v>33</v>
      </c>
      <c r="AD921" t="s">
        <v>34</v>
      </c>
      <c r="AE921">
        <f>ROUND((U921*V921)-(U921*V921*Y921),2)</f>
        <v>4487.83</v>
      </c>
      <c r="AF921">
        <f>AE921-AA921</f>
        <v>1854.0499999999997</v>
      </c>
      <c r="AG921" s="7">
        <f>ROUND((AF921/AE921),4)</f>
        <v>0.41310000000000002</v>
      </c>
      <c r="AH921">
        <f>IF(AND(C921&lt;&gt;"",E921&lt;&gt;""),E921 - C921,"")</f>
        <v>7</v>
      </c>
      <c r="AI921" t="str">
        <f>IF(C921="","",TEXT(C921, "mmmm"))</f>
        <v>February</v>
      </c>
      <c r="AJ921">
        <f>IF(C921="","",YEAR(C921))</f>
        <v>2025</v>
      </c>
      <c r="AM921" t="str">
        <f>IF(AN921="","clean","")</f>
        <v>clean</v>
      </c>
      <c r="AN921" t="s">
        <v>3595</v>
      </c>
    </row>
    <row r="922" spans="1:40">
      <c r="A922" t="s">
        <v>3482</v>
      </c>
      <c r="B922" t="s">
        <v>2554</v>
      </c>
      <c r="C922" s="6">
        <v>45853</v>
      </c>
      <c r="D922" t="s">
        <v>1331</v>
      </c>
      <c r="E922" s="6">
        <v>45854</v>
      </c>
      <c r="F922" t="s">
        <v>3483</v>
      </c>
      <c r="G922" t="s">
        <v>80</v>
      </c>
      <c r="H922" t="s">
        <v>80</v>
      </c>
      <c r="I922" t="s">
        <v>40</v>
      </c>
      <c r="J922" t="s">
        <v>40</v>
      </c>
      <c r="K922" t="s">
        <v>71</v>
      </c>
      <c r="L922" t="str">
        <f>IF(TRIM(K922)="","Unknown",PROPER(TRIM(K922)))</f>
        <v>West</v>
      </c>
      <c r="M922" t="s">
        <v>72</v>
      </c>
      <c r="N922" t="s">
        <v>73</v>
      </c>
      <c r="O922" t="s">
        <v>29</v>
      </c>
      <c r="P922" t="str">
        <f>IF(TRIM(O922)="","Unknown",PROPER(TRIM(O922)))</f>
        <v>Office Supplies</v>
      </c>
      <c r="Q922" t="s">
        <v>30</v>
      </c>
      <c r="R922" t="s">
        <v>3484</v>
      </c>
      <c r="S922" t="s">
        <v>65</v>
      </c>
      <c r="T922" t="str">
        <f>IF(TRIM(S922)="","Unknown",PROPER(TRIM(S922)))</f>
        <v>Standard Class</v>
      </c>
      <c r="U922">
        <v>8</v>
      </c>
      <c r="V922">
        <v>3924.88</v>
      </c>
      <c r="W922">
        <v>0.05</v>
      </c>
      <c r="Y922">
        <v>0.05</v>
      </c>
      <c r="Z922">
        <v>29829.09</v>
      </c>
      <c r="AA922">
        <v>20710.18</v>
      </c>
      <c r="AB922">
        <v>9118.91</v>
      </c>
      <c r="AC922" t="s">
        <v>33</v>
      </c>
      <c r="AD922" t="s">
        <v>34</v>
      </c>
      <c r="AE922">
        <f>ROUND((U922*V922)-(U922*V922*Y922),2)</f>
        <v>29829.09</v>
      </c>
      <c r="AF922">
        <f>AE922-AA922</f>
        <v>9118.91</v>
      </c>
      <c r="AG922" s="7">
        <f>ROUND((AF922/AE922),4)</f>
        <v>0.30570000000000003</v>
      </c>
      <c r="AH922">
        <f>IF(AND(C922&lt;&gt;"",E922&lt;&gt;""),E922 - C922,"")</f>
        <v>1</v>
      </c>
      <c r="AI922" t="str">
        <f>IF(C922="","",TEXT(C922, "mmmm"))</f>
        <v>July</v>
      </c>
      <c r="AJ922">
        <f>IF(C922="","",YEAR(C922))</f>
        <v>2025</v>
      </c>
      <c r="AM922" t="str">
        <f>IF(AN922="","clean","")</f>
        <v>clean</v>
      </c>
      <c r="AN922" t="s">
        <v>3595</v>
      </c>
    </row>
    <row r="923" spans="1:40">
      <c r="A923" t="s">
        <v>3492</v>
      </c>
      <c r="B923" t="s">
        <v>4109</v>
      </c>
      <c r="D923" t="s">
        <v>2428</v>
      </c>
      <c r="E923" s="6">
        <v>45903</v>
      </c>
      <c r="F923" t="s">
        <v>3493</v>
      </c>
      <c r="G923" t="s">
        <v>153</v>
      </c>
      <c r="H923" t="s">
        <v>153</v>
      </c>
      <c r="I923" t="s">
        <v>25</v>
      </c>
      <c r="J923" t="s">
        <v>25</v>
      </c>
      <c r="K923" t="s">
        <v>71</v>
      </c>
      <c r="L923" t="str">
        <f>IF(TRIM(K923)="","Unknown",PROPER(TRIM(K923)))</f>
        <v>West</v>
      </c>
      <c r="M923" t="s">
        <v>27</v>
      </c>
      <c r="N923" t="s">
        <v>129</v>
      </c>
      <c r="O923" t="s">
        <v>29</v>
      </c>
      <c r="P923" t="str">
        <f>IF(TRIM(O923)="","Unknown",PROPER(TRIM(O923)))</f>
        <v>Office Supplies</v>
      </c>
      <c r="Q923" t="s">
        <v>148</v>
      </c>
      <c r="R923" t="s">
        <v>3494</v>
      </c>
      <c r="S923" t="s">
        <v>32</v>
      </c>
      <c r="T923" t="str">
        <f>IF(TRIM(S923)="","Unknown",PROPER(TRIM(S923)))</f>
        <v>Second Class</v>
      </c>
      <c r="U923">
        <v>6</v>
      </c>
      <c r="V923">
        <v>674.36</v>
      </c>
      <c r="W923">
        <v>0.1</v>
      </c>
      <c r="Y923">
        <v>0.1</v>
      </c>
      <c r="Z923">
        <v>3641.54</v>
      </c>
      <c r="AA923">
        <v>2690.37</v>
      </c>
      <c r="AB923">
        <v>951.17</v>
      </c>
      <c r="AC923" t="s">
        <v>33</v>
      </c>
      <c r="AD923" t="s">
        <v>34</v>
      </c>
      <c r="AE923">
        <f>ROUND((U923*V923)-(U923*V923*Y923),2)</f>
        <v>3641.54</v>
      </c>
      <c r="AF923">
        <f>AE923-AA923</f>
        <v>951.17000000000007</v>
      </c>
      <c r="AG923" s="7">
        <f>ROUND((AF923/AE923),4)</f>
        <v>0.26119999999999999</v>
      </c>
      <c r="AH923" t="str">
        <f>IF(AND(C923&lt;&gt;"",E923&lt;&gt;""),E923 - C923,"")</f>
        <v/>
      </c>
      <c r="AI923" t="str">
        <f>IF(C923="","",TEXT(C923, "mmmm"))</f>
        <v/>
      </c>
      <c r="AJ923" t="str">
        <f>IF(C923="","",YEAR(C923))</f>
        <v/>
      </c>
      <c r="AM923" t="s">
        <v>4144</v>
      </c>
      <c r="AN923" t="s">
        <v>4127</v>
      </c>
    </row>
    <row r="924" spans="1:40">
      <c r="A924" t="s">
        <v>3498</v>
      </c>
      <c r="B924" t="s">
        <v>4110</v>
      </c>
      <c r="C924" s="6">
        <v>45896</v>
      </c>
      <c r="D924" t="s">
        <v>392</v>
      </c>
      <c r="E924" s="6">
        <v>45897</v>
      </c>
      <c r="F924" t="s">
        <v>3499</v>
      </c>
      <c r="G924" t="s">
        <v>70</v>
      </c>
      <c r="H924" t="s">
        <v>70</v>
      </c>
      <c r="I924" t="s">
        <v>110</v>
      </c>
      <c r="J924" t="s">
        <v>110</v>
      </c>
      <c r="K924" t="s">
        <v>26</v>
      </c>
      <c r="L924" t="str">
        <f>IF(TRIM(K924)="","Unknown",PROPER(TRIM(K924)))</f>
        <v>North</v>
      </c>
      <c r="M924" t="s">
        <v>163</v>
      </c>
      <c r="N924" t="s">
        <v>164</v>
      </c>
      <c r="O924" t="s">
        <v>29</v>
      </c>
      <c r="P924" t="str">
        <f>IF(TRIM(O924)="","Unknown",PROPER(TRIM(O924)))</f>
        <v>Office Supplies</v>
      </c>
      <c r="Q924" t="s">
        <v>53</v>
      </c>
      <c r="R924" t="s">
        <v>3500</v>
      </c>
      <c r="S924" t="s">
        <v>65</v>
      </c>
      <c r="T924" t="str">
        <f>IF(TRIM(S924)="","Unknown",PROPER(TRIM(S924)))</f>
        <v>Standard Class</v>
      </c>
      <c r="U924">
        <v>6</v>
      </c>
      <c r="V924">
        <v>1182.03</v>
      </c>
      <c r="W924">
        <v>0.15</v>
      </c>
      <c r="Y924">
        <v>0.15</v>
      </c>
      <c r="Z924">
        <v>6028.35</v>
      </c>
      <c r="AA924">
        <v>4433.63</v>
      </c>
      <c r="AB924">
        <v>1594.72</v>
      </c>
      <c r="AC924" t="s">
        <v>33</v>
      </c>
      <c r="AD924" t="s">
        <v>34</v>
      </c>
      <c r="AE924">
        <f>ROUND((U924*V924)-(U924*V924*Y924),2)</f>
        <v>6028.35</v>
      </c>
      <c r="AF924">
        <f>AE924-AA924</f>
        <v>1594.7200000000003</v>
      </c>
      <c r="AG924" s="7">
        <f>ROUND((AF924/AE924),4)</f>
        <v>0.26450000000000001</v>
      </c>
      <c r="AH924">
        <f>IF(AND(C924&lt;&gt;"",E924&lt;&gt;""),E924 - C924,"")</f>
        <v>1</v>
      </c>
      <c r="AI924" t="str">
        <f>IF(C924="","",TEXT(C924, "mmmm"))</f>
        <v>August</v>
      </c>
      <c r="AJ924">
        <f>IF(C924="","",YEAR(C924))</f>
        <v>2025</v>
      </c>
      <c r="AM924" t="str">
        <f>IF(AN924="","clean","")</f>
        <v>clean</v>
      </c>
      <c r="AN924" t="s">
        <v>3595</v>
      </c>
    </row>
    <row r="925" spans="1:40">
      <c r="A925" t="s">
        <v>3508</v>
      </c>
      <c r="B925" t="s">
        <v>4112</v>
      </c>
      <c r="C925" s="6">
        <v>45690</v>
      </c>
      <c r="D925" t="s">
        <v>1173</v>
      </c>
      <c r="E925" s="6">
        <v>45698</v>
      </c>
      <c r="F925" t="s">
        <v>3509</v>
      </c>
      <c r="G925" t="s">
        <v>158</v>
      </c>
      <c r="H925" t="s">
        <v>158</v>
      </c>
      <c r="I925" t="s">
        <v>104</v>
      </c>
      <c r="J925" t="s">
        <v>104</v>
      </c>
      <c r="K925" t="s">
        <v>41</v>
      </c>
      <c r="L925" t="str">
        <f>IF(TRIM(K925)="","Unknown",PROPER(TRIM(K925)))</f>
        <v>East</v>
      </c>
      <c r="M925" t="s">
        <v>174</v>
      </c>
      <c r="N925" t="s">
        <v>175</v>
      </c>
      <c r="O925" t="s">
        <v>83</v>
      </c>
      <c r="P925" t="str">
        <f>IF(TRIM(O925)="","Unknown",PROPER(TRIM(O925)))</f>
        <v>Technology</v>
      </c>
      <c r="Q925" t="s">
        <v>84</v>
      </c>
      <c r="R925" t="s">
        <v>3510</v>
      </c>
      <c r="S925" t="s">
        <v>65</v>
      </c>
      <c r="T925" t="str">
        <f>IF(TRIM(S925)="","Unknown",PROPER(TRIM(S925)))</f>
        <v>Standard Class</v>
      </c>
      <c r="U925">
        <v>4</v>
      </c>
      <c r="V925">
        <v>1912.45</v>
      </c>
      <c r="W925">
        <v>0</v>
      </c>
      <c r="Y925">
        <v>0</v>
      </c>
      <c r="Z925">
        <v>7649.8</v>
      </c>
      <c r="AA925">
        <v>4894.53</v>
      </c>
      <c r="AB925">
        <v>2755.27</v>
      </c>
      <c r="AC925" t="s">
        <v>131</v>
      </c>
      <c r="AD925" t="s">
        <v>120</v>
      </c>
      <c r="AE925">
        <f>ROUND((U925*V925)-(U925*V925*Y925),2)</f>
        <v>7649.8</v>
      </c>
      <c r="AF925">
        <f>AE925-AA925</f>
        <v>2755.2700000000004</v>
      </c>
      <c r="AG925" s="7">
        <f>ROUND((AF925/AE925),4)</f>
        <v>0.36020000000000002</v>
      </c>
      <c r="AH925">
        <f>IF(AND(C925&lt;&gt;"",E925&lt;&gt;""),E925 - C925,"")</f>
        <v>8</v>
      </c>
      <c r="AI925" t="str">
        <f>IF(C925="","",TEXT(C925, "mmmm"))</f>
        <v>February</v>
      </c>
      <c r="AJ925">
        <f>IF(C925="","",YEAR(C925))</f>
        <v>2025</v>
      </c>
      <c r="AM925" t="str">
        <f>IF(AN925="","clean","")</f>
        <v>clean</v>
      </c>
      <c r="AN925" t="s">
        <v>3595</v>
      </c>
    </row>
    <row r="926" spans="1:40">
      <c r="A926" t="s">
        <v>3511</v>
      </c>
      <c r="B926" t="s">
        <v>4113</v>
      </c>
      <c r="C926" s="6">
        <v>45775</v>
      </c>
      <c r="D926" t="s">
        <v>3512</v>
      </c>
      <c r="E926" s="6">
        <v>45778</v>
      </c>
      <c r="F926" t="s">
        <v>3513</v>
      </c>
      <c r="G926" t="s">
        <v>153</v>
      </c>
      <c r="H926" t="s">
        <v>153</v>
      </c>
      <c r="I926" t="s">
        <v>40</v>
      </c>
      <c r="J926" t="s">
        <v>40</v>
      </c>
      <c r="K926" t="s">
        <v>71</v>
      </c>
      <c r="L926" t="str">
        <f>IF(TRIM(K926)="","Unknown",PROPER(TRIM(K926)))</f>
        <v>West</v>
      </c>
      <c r="M926" t="s">
        <v>230</v>
      </c>
      <c r="N926" t="s">
        <v>231</v>
      </c>
      <c r="O926" t="s">
        <v>29</v>
      </c>
      <c r="P926" t="str">
        <f>IF(TRIM(O926)="","Unknown",PROPER(TRIM(O926)))</f>
        <v>Office Supplies</v>
      </c>
      <c r="Q926" t="s">
        <v>148</v>
      </c>
      <c r="R926" t="s">
        <v>3514</v>
      </c>
      <c r="S926" t="s">
        <v>47</v>
      </c>
      <c r="T926" t="str">
        <f>IF(TRIM(S926)="","Unknown",PROPER(TRIM(S926)))</f>
        <v>Same Day</v>
      </c>
      <c r="U926">
        <v>1</v>
      </c>
      <c r="V926">
        <v>1620.87</v>
      </c>
      <c r="W926">
        <v>0</v>
      </c>
      <c r="Y926">
        <v>0</v>
      </c>
      <c r="Z926">
        <v>1620.87</v>
      </c>
      <c r="AA926">
        <v>1103.6099999999999</v>
      </c>
      <c r="AB926">
        <v>517.26</v>
      </c>
      <c r="AC926" t="s">
        <v>33</v>
      </c>
      <c r="AD926" t="s">
        <v>34</v>
      </c>
      <c r="AE926">
        <f>ROUND((U926*V926)-(U926*V926*Y926),2)</f>
        <v>1620.87</v>
      </c>
      <c r="AF926">
        <f>AE926-AA926</f>
        <v>517.26</v>
      </c>
      <c r="AG926" s="7">
        <f>ROUND((AF926/AE926),4)</f>
        <v>0.31909999999999999</v>
      </c>
      <c r="AH926">
        <f>IF(AND(C926&lt;&gt;"",E926&lt;&gt;""),E926 - C926,"")</f>
        <v>3</v>
      </c>
      <c r="AI926" t="str">
        <f>IF(C926="","",TEXT(C926, "mmmm"))</f>
        <v>April</v>
      </c>
      <c r="AJ926">
        <f>IF(C926="","",YEAR(C926))</f>
        <v>2025</v>
      </c>
      <c r="AM926" t="str">
        <f>IF(AN926="","clean","")</f>
        <v>clean</v>
      </c>
      <c r="AN926" t="s">
        <v>3595</v>
      </c>
    </row>
    <row r="927" spans="1:40">
      <c r="A927" t="s">
        <v>3515</v>
      </c>
      <c r="B927" t="s">
        <v>4114</v>
      </c>
      <c r="C927" s="6">
        <v>45675</v>
      </c>
      <c r="D927" t="s">
        <v>3516</v>
      </c>
      <c r="E927" s="6">
        <v>45682</v>
      </c>
      <c r="F927" t="s">
        <v>3517</v>
      </c>
      <c r="G927" t="s">
        <v>90</v>
      </c>
      <c r="H927" t="s">
        <v>90</v>
      </c>
      <c r="I927" t="s">
        <v>110</v>
      </c>
      <c r="J927" t="s">
        <v>110</v>
      </c>
      <c r="K927" t="s">
        <v>60</v>
      </c>
      <c r="L927" t="str">
        <f>IF(TRIM(K927)="","Unknown",PROPER(TRIM(K927)))</f>
        <v>South</v>
      </c>
      <c r="M927" t="s">
        <v>212</v>
      </c>
      <c r="N927" t="s">
        <v>213</v>
      </c>
      <c r="O927" t="s">
        <v>29</v>
      </c>
      <c r="P927" t="str">
        <f>IF(TRIM(O927)="","Unknown",PROPER(TRIM(O927)))</f>
        <v>Office Supplies</v>
      </c>
      <c r="Q927" t="s">
        <v>148</v>
      </c>
      <c r="R927" t="s">
        <v>3518</v>
      </c>
      <c r="S927" t="s">
        <v>47</v>
      </c>
      <c r="T927" t="str">
        <f>IF(TRIM(S927)="","Unknown",PROPER(TRIM(S927)))</f>
        <v>Same Day</v>
      </c>
      <c r="U927">
        <v>2</v>
      </c>
      <c r="V927">
        <v>2098.54</v>
      </c>
      <c r="W927">
        <v>0.15</v>
      </c>
      <c r="Y927">
        <v>0.15</v>
      </c>
      <c r="Z927">
        <v>3567.52</v>
      </c>
      <c r="AA927">
        <v>2411.8000000000002</v>
      </c>
      <c r="AB927">
        <v>1155.72</v>
      </c>
      <c r="AC927" t="s">
        <v>33</v>
      </c>
      <c r="AD927" t="s">
        <v>34</v>
      </c>
      <c r="AE927">
        <f>ROUND((U927*V927)-(U927*V927*Y927),2)</f>
        <v>3567.52</v>
      </c>
      <c r="AF927">
        <f>AE927-AA927</f>
        <v>1155.7199999999998</v>
      </c>
      <c r="AG927" s="7">
        <f>ROUND((AF927/AE927),4)</f>
        <v>0.32400000000000001</v>
      </c>
      <c r="AH927">
        <f>IF(AND(C927&lt;&gt;"",E927&lt;&gt;""),E927 - C927,"")</f>
        <v>7</v>
      </c>
      <c r="AI927" t="str">
        <f>IF(C927="","",TEXT(C927, "mmmm"))</f>
        <v>January</v>
      </c>
      <c r="AJ927">
        <f>IF(C927="","",YEAR(C927))</f>
        <v>2025</v>
      </c>
      <c r="AM927" t="str">
        <f>IF(AN927="","clean","")</f>
        <v>clean</v>
      </c>
      <c r="AN927" t="s">
        <v>3595</v>
      </c>
    </row>
    <row r="928" spans="1:40">
      <c r="A928" t="s">
        <v>3523</v>
      </c>
      <c r="B928" t="s">
        <v>4115</v>
      </c>
      <c r="D928" t="s">
        <v>3524</v>
      </c>
      <c r="E928" s="6">
        <v>45780</v>
      </c>
      <c r="F928" t="s">
        <v>3525</v>
      </c>
      <c r="G928" t="s">
        <v>59</v>
      </c>
      <c r="H928" t="s">
        <v>59</v>
      </c>
      <c r="I928" t="s">
        <v>110</v>
      </c>
      <c r="J928" t="s">
        <v>110</v>
      </c>
      <c r="K928" t="s">
        <v>60</v>
      </c>
      <c r="L928" t="str">
        <f>IF(TRIM(K928)="","Unknown",PROPER(TRIM(K928)))</f>
        <v>South</v>
      </c>
      <c r="M928" t="s">
        <v>309</v>
      </c>
      <c r="N928" t="s">
        <v>310</v>
      </c>
      <c r="O928" t="s">
        <v>83</v>
      </c>
      <c r="P928" t="str">
        <f>IF(TRIM(O928)="","Unknown",PROPER(TRIM(O928)))</f>
        <v>Technology</v>
      </c>
      <c r="Q928" t="s">
        <v>84</v>
      </c>
      <c r="R928" t="s">
        <v>3526</v>
      </c>
      <c r="S928" t="s">
        <v>55</v>
      </c>
      <c r="T928" t="str">
        <f>IF(TRIM(S928)="","Unknown",PROPER(TRIM(S928)))</f>
        <v>First Class</v>
      </c>
      <c r="U928">
        <v>7</v>
      </c>
      <c r="V928">
        <v>3989.9</v>
      </c>
      <c r="W928">
        <v>0.15</v>
      </c>
      <c r="Y928">
        <v>0.15</v>
      </c>
      <c r="Z928">
        <v>23739.9</v>
      </c>
      <c r="AA928">
        <v>17716.52</v>
      </c>
      <c r="AB928">
        <v>6023.38</v>
      </c>
      <c r="AC928" t="s">
        <v>33</v>
      </c>
      <c r="AD928" t="s">
        <v>76</v>
      </c>
      <c r="AE928">
        <f>ROUND((U928*V928)-(U928*V928*Y928),2)</f>
        <v>23739.91</v>
      </c>
      <c r="AF928">
        <f>AE928-AA928</f>
        <v>6023.3899999999994</v>
      </c>
      <c r="AG928" s="7">
        <f>ROUND((AF928/AE928),4)</f>
        <v>0.25369999999999998</v>
      </c>
      <c r="AH928" t="str">
        <f>IF(AND(C928&lt;&gt;"",E928&lt;&gt;""),E928 - C928,"")</f>
        <v/>
      </c>
      <c r="AI928" t="str">
        <f>IF(C928="","",TEXT(C928, "mmmm"))</f>
        <v/>
      </c>
      <c r="AJ928" t="str">
        <f>IF(C928="","",YEAR(C928))</f>
        <v/>
      </c>
      <c r="AM928" t="s">
        <v>4144</v>
      </c>
      <c r="AN928" t="s">
        <v>4127</v>
      </c>
    </row>
    <row r="929" spans="1:40">
      <c r="A929" t="s">
        <v>3530</v>
      </c>
      <c r="B929" t="s">
        <v>4116</v>
      </c>
      <c r="C929" s="6">
        <v>45875</v>
      </c>
      <c r="D929" t="s">
        <v>3129</v>
      </c>
      <c r="E929" s="6">
        <v>45876</v>
      </c>
      <c r="F929" t="s">
        <v>3531</v>
      </c>
      <c r="G929" t="s">
        <v>141</v>
      </c>
      <c r="H929" t="s">
        <v>141</v>
      </c>
      <c r="I929" t="s">
        <v>40</v>
      </c>
      <c r="J929" t="s">
        <v>40</v>
      </c>
      <c r="K929" t="s">
        <v>71</v>
      </c>
      <c r="L929" t="str">
        <f>IF(TRIM(K929)="","Unknown",PROPER(TRIM(K929)))</f>
        <v>West</v>
      </c>
      <c r="M929" t="s">
        <v>72</v>
      </c>
      <c r="N929" t="s">
        <v>73</v>
      </c>
      <c r="O929" t="s">
        <v>29</v>
      </c>
      <c r="P929" t="str">
        <f>IF(TRIM(O929)="","Unknown",PROPER(TRIM(O929)))</f>
        <v>Office Supplies</v>
      </c>
      <c r="Q929" t="s">
        <v>53</v>
      </c>
      <c r="R929" t="s">
        <v>3532</v>
      </c>
      <c r="S929" t="s">
        <v>65</v>
      </c>
      <c r="T929" t="str">
        <f>IF(TRIM(S929)="","Unknown",PROPER(TRIM(S929)))</f>
        <v>Standard Class</v>
      </c>
      <c r="U929">
        <v>4</v>
      </c>
      <c r="V929">
        <v>3523.64</v>
      </c>
      <c r="W929">
        <v>0.1</v>
      </c>
      <c r="Y929">
        <v>0.1</v>
      </c>
      <c r="Z929">
        <v>12685.1</v>
      </c>
      <c r="AA929">
        <v>10779.56</v>
      </c>
      <c r="AB929">
        <v>1905.54</v>
      </c>
      <c r="AC929" t="s">
        <v>119</v>
      </c>
      <c r="AD929" t="s">
        <v>76</v>
      </c>
      <c r="AE929">
        <f>ROUND((U929*V929)-(U929*V929*Y929),2)</f>
        <v>12685.1</v>
      </c>
      <c r="AF929">
        <f>AE929-AA929</f>
        <v>1905.5400000000009</v>
      </c>
      <c r="AG929" s="7">
        <f>ROUND((AF929/AE929),4)</f>
        <v>0.1502</v>
      </c>
      <c r="AH929">
        <f>IF(AND(C929&lt;&gt;"",E929&lt;&gt;""),E929 - C929,"")</f>
        <v>1</v>
      </c>
      <c r="AI929" t="str">
        <f>IF(C929="","",TEXT(C929, "mmmm"))</f>
        <v>August</v>
      </c>
      <c r="AJ929">
        <f>IF(C929="","",YEAR(C929))</f>
        <v>2025</v>
      </c>
      <c r="AM929" t="str">
        <f>IF(AN929="","clean","")</f>
        <v>clean</v>
      </c>
      <c r="AN929" t="s">
        <v>3595</v>
      </c>
    </row>
    <row r="930" spans="1:40">
      <c r="A930" t="s">
        <v>3533</v>
      </c>
      <c r="B930" t="s">
        <v>4117</v>
      </c>
      <c r="C930" s="6">
        <v>45726</v>
      </c>
      <c r="D930" t="s">
        <v>3534</v>
      </c>
      <c r="E930" s="6">
        <v>45727</v>
      </c>
      <c r="F930" t="s">
        <v>1185</v>
      </c>
      <c r="G930" t="s">
        <v>103</v>
      </c>
      <c r="H930" t="s">
        <v>103</v>
      </c>
      <c r="I930" t="s">
        <v>110</v>
      </c>
      <c r="J930" t="s">
        <v>110</v>
      </c>
      <c r="K930" t="s">
        <v>71</v>
      </c>
      <c r="L930" t="str">
        <f>IF(TRIM(K930)="","Unknown",PROPER(TRIM(K930)))</f>
        <v>West</v>
      </c>
      <c r="M930" t="s">
        <v>81</v>
      </c>
      <c r="N930" t="s">
        <v>82</v>
      </c>
      <c r="O930" t="s">
        <v>29</v>
      </c>
      <c r="P930" t="str">
        <f>IF(TRIM(O930)="","Unknown",PROPER(TRIM(O930)))</f>
        <v>Office Supplies</v>
      </c>
      <c r="Q930" t="s">
        <v>148</v>
      </c>
      <c r="R930" t="s">
        <v>3535</v>
      </c>
      <c r="S930" t="s">
        <v>55</v>
      </c>
      <c r="T930" t="str">
        <f>IF(TRIM(S930)="","Unknown",PROPER(TRIM(S930)))</f>
        <v>First Class</v>
      </c>
      <c r="U930">
        <v>2</v>
      </c>
      <c r="V930">
        <v>3922.08</v>
      </c>
      <c r="W930">
        <v>0.25</v>
      </c>
      <c r="Y930">
        <v>0.25</v>
      </c>
      <c r="Z930">
        <v>5883.12</v>
      </c>
      <c r="AA930">
        <v>4647.91</v>
      </c>
      <c r="AB930">
        <v>1235.21</v>
      </c>
      <c r="AC930" t="s">
        <v>33</v>
      </c>
      <c r="AD930" t="s">
        <v>120</v>
      </c>
      <c r="AE930">
        <f>ROUND((U930*V930)-(U930*V930*Y930),2)</f>
        <v>5883.12</v>
      </c>
      <c r="AF930">
        <f>AE930-AA930</f>
        <v>1235.21</v>
      </c>
      <c r="AG930" s="7">
        <f>ROUND((AF930/AE930),4)</f>
        <v>0.21</v>
      </c>
      <c r="AH930">
        <f>IF(AND(C930&lt;&gt;"",E930&lt;&gt;""),E930 - C930,"")</f>
        <v>1</v>
      </c>
      <c r="AI930" t="str">
        <f>IF(C930="","",TEXT(C930, "mmmm"))</f>
        <v>March</v>
      </c>
      <c r="AJ930">
        <f>IF(C930="","",YEAR(C930))</f>
        <v>2025</v>
      </c>
      <c r="AM930" t="str">
        <f>IF(AN930="","clean","")</f>
        <v>clean</v>
      </c>
      <c r="AN930" t="s">
        <v>3595</v>
      </c>
    </row>
    <row r="931" spans="1:40">
      <c r="A931" t="s">
        <v>3542</v>
      </c>
      <c r="B931" t="s">
        <v>4118</v>
      </c>
      <c r="C931" s="6">
        <v>45759</v>
      </c>
      <c r="D931" t="s">
        <v>2635</v>
      </c>
      <c r="E931" s="6">
        <v>45765</v>
      </c>
      <c r="F931" t="s">
        <v>3543</v>
      </c>
      <c r="G931" t="s">
        <v>52</v>
      </c>
      <c r="H931" t="s">
        <v>52</v>
      </c>
      <c r="I931" t="s">
        <v>40</v>
      </c>
      <c r="J931" t="s">
        <v>40</v>
      </c>
      <c r="K931" t="s">
        <v>41</v>
      </c>
      <c r="L931" t="str">
        <f>IF(TRIM(K931)="","Unknown",PROPER(TRIM(K931)))</f>
        <v>East</v>
      </c>
      <c r="M931" t="s">
        <v>284</v>
      </c>
      <c r="N931" t="s">
        <v>285</v>
      </c>
      <c r="O931" t="s">
        <v>83</v>
      </c>
      <c r="P931" t="str">
        <f>IF(TRIM(O931)="","Unknown",PROPER(TRIM(O931)))</f>
        <v>Technology</v>
      </c>
      <c r="Q931" t="s">
        <v>91</v>
      </c>
      <c r="R931" t="s">
        <v>3544</v>
      </c>
      <c r="S931" t="s">
        <v>47</v>
      </c>
      <c r="T931" t="str">
        <f>IF(TRIM(S931)="","Unknown",PROPER(TRIM(S931)))</f>
        <v>Same Day</v>
      </c>
      <c r="U931">
        <v>1</v>
      </c>
      <c r="V931">
        <v>726.89</v>
      </c>
      <c r="W931">
        <v>0.2</v>
      </c>
      <c r="Y931">
        <v>0.2</v>
      </c>
      <c r="Z931">
        <v>581.51</v>
      </c>
      <c r="AA931">
        <v>423.86</v>
      </c>
      <c r="AB931">
        <v>157.65</v>
      </c>
      <c r="AC931" t="s">
        <v>33</v>
      </c>
      <c r="AD931" t="s">
        <v>34</v>
      </c>
      <c r="AE931">
        <f>ROUND((U931*V931)-(U931*V931*Y931),2)</f>
        <v>581.51</v>
      </c>
      <c r="AF931">
        <f>AE931-AA931</f>
        <v>157.64999999999998</v>
      </c>
      <c r="AG931" s="7">
        <f>ROUND((AF931/AE931),4)</f>
        <v>0.27110000000000001</v>
      </c>
      <c r="AH931">
        <f>IF(AND(C931&lt;&gt;"",E931&lt;&gt;""),E931 - C931,"")</f>
        <v>6</v>
      </c>
      <c r="AI931" t="str">
        <f>IF(C931="","",TEXT(C931, "mmmm"))</f>
        <v>April</v>
      </c>
      <c r="AJ931">
        <f>IF(C931="","",YEAR(C931))</f>
        <v>2025</v>
      </c>
      <c r="AM931" t="str">
        <f>IF(AN931="","clean","")</f>
        <v>clean</v>
      </c>
      <c r="AN931" t="s">
        <v>3595</v>
      </c>
    </row>
    <row r="932" spans="1:40">
      <c r="A932" t="s">
        <v>3559</v>
      </c>
      <c r="B932" t="s">
        <v>3741</v>
      </c>
      <c r="C932" s="6">
        <v>45776</v>
      </c>
      <c r="D932" t="s">
        <v>3560</v>
      </c>
      <c r="E932" s="6">
        <v>45780</v>
      </c>
      <c r="F932" t="s">
        <v>2801</v>
      </c>
      <c r="G932" t="s">
        <v>169</v>
      </c>
      <c r="H932" t="s">
        <v>169</v>
      </c>
      <c r="I932" t="s">
        <v>104</v>
      </c>
      <c r="J932" t="s">
        <v>104</v>
      </c>
      <c r="K932" t="s">
        <v>26</v>
      </c>
      <c r="L932" t="str">
        <f>IF(TRIM(K932)="","Unknown",PROPER(TRIM(K932)))</f>
        <v>North</v>
      </c>
      <c r="M932" t="s">
        <v>294</v>
      </c>
      <c r="N932" t="s">
        <v>295</v>
      </c>
      <c r="O932" t="s">
        <v>29</v>
      </c>
      <c r="P932" t="str">
        <f>IF(TRIM(O932)="","Unknown",PROPER(TRIM(O932)))</f>
        <v>Office Supplies</v>
      </c>
      <c r="Q932" t="s">
        <v>30</v>
      </c>
      <c r="R932" t="s">
        <v>3561</v>
      </c>
      <c r="S932" t="s">
        <v>55</v>
      </c>
      <c r="T932" t="str">
        <f>IF(TRIM(S932)="","Unknown",PROPER(TRIM(S932)))</f>
        <v>First Class</v>
      </c>
      <c r="U932">
        <v>4</v>
      </c>
      <c r="V932">
        <v>1786.65</v>
      </c>
      <c r="W932">
        <v>0.05</v>
      </c>
      <c r="Y932">
        <v>0.05</v>
      </c>
      <c r="Z932">
        <v>6789.27</v>
      </c>
      <c r="AA932">
        <v>5626.43</v>
      </c>
      <c r="AB932">
        <v>1162.8399999999999</v>
      </c>
      <c r="AC932" t="s">
        <v>33</v>
      </c>
      <c r="AD932" t="s">
        <v>34</v>
      </c>
      <c r="AE932">
        <f>ROUND((U932*V932)-(U932*V932*Y932),2)</f>
        <v>6789.27</v>
      </c>
      <c r="AF932">
        <f>AE932-AA932</f>
        <v>1162.8400000000001</v>
      </c>
      <c r="AG932" s="7">
        <f>ROUND((AF932/AE932),4)</f>
        <v>0.17130000000000001</v>
      </c>
      <c r="AH932">
        <f>IF(AND(C932&lt;&gt;"",E932&lt;&gt;""),E932 - C932,"")</f>
        <v>4</v>
      </c>
      <c r="AI932" t="str">
        <f>IF(C932="","",TEXT(C932, "mmmm"))</f>
        <v>April</v>
      </c>
      <c r="AJ932">
        <f>IF(C932="","",YEAR(C932))</f>
        <v>2025</v>
      </c>
      <c r="AM932" t="str">
        <f>IF(AN932="","clean","")</f>
        <v>clean</v>
      </c>
      <c r="AN932" t="s">
        <v>3595</v>
      </c>
    </row>
    <row r="933" spans="1:40">
      <c r="A933" t="s">
        <v>3565</v>
      </c>
      <c r="B933" t="s">
        <v>1479</v>
      </c>
      <c r="C933" s="6">
        <v>45804</v>
      </c>
      <c r="D933" t="s">
        <v>3566</v>
      </c>
      <c r="E933" s="6">
        <v>45811</v>
      </c>
      <c r="F933" t="s">
        <v>3567</v>
      </c>
      <c r="G933" t="s">
        <v>24</v>
      </c>
      <c r="H933" t="s">
        <v>24</v>
      </c>
      <c r="I933" t="s">
        <v>25</v>
      </c>
      <c r="J933" t="s">
        <v>25</v>
      </c>
      <c r="K933" t="s">
        <v>26</v>
      </c>
      <c r="L933" t="str">
        <f>IF(TRIM(K933)="","Unknown",PROPER(TRIM(K933)))</f>
        <v>North</v>
      </c>
      <c r="M933" t="s">
        <v>146</v>
      </c>
      <c r="N933" t="s">
        <v>147</v>
      </c>
      <c r="O933" t="s">
        <v>44</v>
      </c>
      <c r="P933" t="str">
        <f>IF(TRIM(O933)="","Unknown",PROPER(TRIM(O933)))</f>
        <v>Furniture</v>
      </c>
      <c r="Q933" t="s">
        <v>74</v>
      </c>
      <c r="R933" t="s">
        <v>3568</v>
      </c>
      <c r="S933" t="s">
        <v>55</v>
      </c>
      <c r="T933" t="str">
        <f>IF(TRIM(S933)="","Unknown",PROPER(TRIM(S933)))</f>
        <v>First Class</v>
      </c>
      <c r="U933">
        <v>5</v>
      </c>
      <c r="V933">
        <v>881.08</v>
      </c>
      <c r="W933">
        <v>0.25</v>
      </c>
      <c r="Y933">
        <v>0.25</v>
      </c>
      <c r="Z933">
        <v>3304.05</v>
      </c>
      <c r="AA933">
        <v>2279.41</v>
      </c>
      <c r="AB933">
        <v>1024.6400000000001</v>
      </c>
      <c r="AC933" t="s">
        <v>186</v>
      </c>
      <c r="AD933" t="s">
        <v>76</v>
      </c>
      <c r="AE933">
        <f>ROUND((U933*V933)-(U933*V933*Y933),2)</f>
        <v>3304.05</v>
      </c>
      <c r="AF933">
        <f>AE933-AA933</f>
        <v>1024.6400000000003</v>
      </c>
      <c r="AG933" s="7">
        <f>ROUND((AF933/AE933),4)</f>
        <v>0.31009999999999999</v>
      </c>
      <c r="AH933">
        <f>IF(AND(C933&lt;&gt;"",E933&lt;&gt;""),E933 - C933,"")</f>
        <v>7</v>
      </c>
      <c r="AI933" t="str">
        <f>IF(C933="","",TEXT(C933, "mmmm"))</f>
        <v>May</v>
      </c>
      <c r="AJ933">
        <f>IF(C933="","",YEAR(C933))</f>
        <v>2025</v>
      </c>
      <c r="AM933" t="str">
        <f>IF(AN933="","clean","")</f>
        <v>clean</v>
      </c>
      <c r="AN933" t="s">
        <v>3595</v>
      </c>
    </row>
  </sheetData>
  <autoFilter ref="A1:AN933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6" workbookViewId="0">
      <selection activeCell="B10" sqref="B10"/>
    </sheetView>
  </sheetViews>
  <sheetFormatPr defaultRowHeight="13.5"/>
  <cols>
    <col min="1" max="2" width="28" customWidth="1"/>
  </cols>
  <sheetData>
    <row r="1" spans="1:2" ht="14" customHeight="1">
      <c r="A1" s="1" t="s">
        <v>3569</v>
      </c>
      <c r="B1" s="1" t="s">
        <v>3570</v>
      </c>
    </row>
    <row r="2" spans="1:2" ht="40.5">
      <c r="A2" s="2" t="s">
        <v>3571</v>
      </c>
      <c r="B2" s="2" t="s">
        <v>3572</v>
      </c>
    </row>
    <row r="3" spans="1:2" ht="27">
      <c r="A3" s="2" t="s">
        <v>3573</v>
      </c>
      <c r="B3" s="2" t="s">
        <v>3574</v>
      </c>
    </row>
    <row r="4" spans="1:2" ht="27">
      <c r="A4" s="2" t="s">
        <v>3575</v>
      </c>
      <c r="B4" s="2" t="s">
        <v>3574</v>
      </c>
    </row>
    <row r="5" spans="1:2" ht="27">
      <c r="A5" s="2" t="s">
        <v>3576</v>
      </c>
      <c r="B5" s="2" t="s">
        <v>3577</v>
      </c>
    </row>
    <row r="6" spans="1:2" ht="40.5">
      <c r="A6" s="2" t="s">
        <v>3578</v>
      </c>
      <c r="B6" s="2" t="s">
        <v>3579</v>
      </c>
    </row>
    <row r="7" spans="1:2" ht="54">
      <c r="A7" s="2" t="s">
        <v>3580</v>
      </c>
      <c r="B7" s="2" t="s">
        <v>3581</v>
      </c>
    </row>
    <row r="8" spans="1:2" ht="27">
      <c r="A8" s="2" t="s">
        <v>3582</v>
      </c>
      <c r="B8" s="2" t="s">
        <v>3583</v>
      </c>
    </row>
    <row r="9" spans="1:2" ht="40.5">
      <c r="A9" s="2" t="s">
        <v>3584</v>
      </c>
      <c r="B9" s="2" t="s">
        <v>3585</v>
      </c>
    </row>
    <row r="10" spans="1:2" ht="67.5">
      <c r="A10" s="2" t="s">
        <v>3586</v>
      </c>
      <c r="B10" s="2" t="s">
        <v>3587</v>
      </c>
    </row>
    <row r="11" spans="1:2" ht="40.5">
      <c r="A11" s="2" t="s">
        <v>3588</v>
      </c>
      <c r="B11" s="2" t="s">
        <v>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Undale</cp:lastModifiedBy>
  <dcterms:modified xsi:type="dcterms:W3CDTF">2026-06-26T19:20:56Z</dcterms:modified>
</cp:coreProperties>
</file>